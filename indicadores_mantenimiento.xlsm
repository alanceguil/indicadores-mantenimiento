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0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lanc\Downloads\"/>
    </mc:Choice>
  </mc:AlternateContent>
  <xr:revisionPtr revIDLastSave="0" documentId="13_ncr:1_{45B8DC6C-23B3-4177-A5A8-1C619706BF0F}" xr6:coauthVersionLast="47" xr6:coauthVersionMax="47" xr10:uidLastSave="{00000000-0000-0000-0000-000000000000}"/>
  <bookViews>
    <workbookView xWindow="-120" yWindow="-120" windowWidth="29040" windowHeight="15720" tabRatio="682" firstSheet="2" activeTab="2" xr2:uid="{00000000-000D-0000-FFFF-FFFF00000000}"/>
  </bookViews>
  <sheets>
    <sheet name="tablas dinamicas 2" sheetId="20" state="veryHidden" r:id="rId1"/>
    <sheet name="tablas dinamicas 1" sheetId="24" state="veryHidden" r:id="rId2"/>
    <sheet name="DATOS" sheetId="2" r:id="rId3"/>
    <sheet name="Dashboard" sheetId="21" r:id="rId4"/>
  </sheets>
  <definedNames>
    <definedName name="ISFOXAutomaticLabelingDisabled" hidden="1">"True"</definedName>
    <definedName name="ISFOXClassificationHistory_0" hidden="1">"LX-LA\lxobs;fefbef8c-7b5a-4780-b5b0-d8f48ccc3373;INTERNAL;2021-08-05T14:22:19;;|"</definedName>
    <definedName name="ISFOXClassificationId" hidden="1">"fefbef8c-7b5a-4780-b5b0-d8f48ccc3373"</definedName>
    <definedName name="ISFOXClassificationInKeywords" hidden="1">"INTERNAL"</definedName>
    <definedName name="ISFOXClassificationName" hidden="1">"INTERNAL"</definedName>
    <definedName name="ISFOXDocumentClassificationVersion" hidden="1">3</definedName>
    <definedName name="ISFOXDoVersioningOnSave" hidden="1">0</definedName>
    <definedName name="ISFOXLabelingDefaultPosition">4</definedName>
    <definedName name="ISFOXLabelingVisibleInDocument" hidden="1">"True"</definedName>
    <definedName name="ISFOXOldClassificationId" hidden="1">"fefbef8c-7b5a-4780-b5b0-d8f48ccc3373"</definedName>
    <definedName name="ISFOXOldClassificationIdBackup" hidden="1">"fefbef8c-7b5a-4780-b5b0-d8f48ccc3373"</definedName>
    <definedName name="ISFOXPrefix" hidden="1">" "</definedName>
    <definedName name="ISFOXPreviousClassificationId" hidden="1">"fefbef8c-7b5a-4780-b5b0-d8f48ccc3373"</definedName>
    <definedName name="ISFOXSaveAsProcess" hidden="1">"True"</definedName>
    <definedName name="ISFOXShowClassificationRequestWindow" hidden="1">"False"</definedName>
    <definedName name="ISFOXVersionHistoryCount" hidden="1">1</definedName>
    <definedName name="ISFOXVersioningChanged" hidden="1">"False"</definedName>
    <definedName name="ISFOXWorkbookInitialized" hidden="1">"False"</definedName>
    <definedName name="NativeTimeline_FECHA_________ORDEN">#N/A</definedName>
    <definedName name="SegmentaciónDeDatos_GRADO____INCIDENCIA_FALLA">#N/A</definedName>
    <definedName name="SegmentaciónDeDatos_ID_EQUIPO1">#N/A</definedName>
    <definedName name="SegmentaciónDeDatos_PERSONA_A_CARGO">#N/A</definedName>
  </definedNames>
  <calcPr calcId="191029"/>
  <pivotCaches>
    <pivotCache cacheId="7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18" i="2" l="1"/>
  <c r="Y918" i="2"/>
  <c r="X917" i="2"/>
  <c r="Y917" i="2"/>
  <c r="X916" i="2"/>
  <c r="Y916" i="2"/>
  <c r="X915" i="2" l="1"/>
  <c r="Y915" i="2"/>
  <c r="X914" i="2"/>
  <c r="Y914" i="2"/>
  <c r="X913" i="2"/>
  <c r="Y913" i="2"/>
  <c r="X912" i="2"/>
  <c r="Y912" i="2"/>
  <c r="X911" i="2" l="1"/>
  <c r="Y911" i="2"/>
  <c r="X910" i="2"/>
  <c r="Y910" i="2"/>
  <c r="X909" i="2"/>
  <c r="Y909" i="2"/>
  <c r="X908" i="2"/>
  <c r="Y908" i="2"/>
  <c r="X907" i="2"/>
  <c r="Y907" i="2"/>
  <c r="X906" i="2"/>
  <c r="Y906" i="2"/>
  <c r="X905" i="2"/>
  <c r="Y905" i="2"/>
  <c r="X904" i="2"/>
  <c r="Y904" i="2"/>
  <c r="X903" i="2"/>
  <c r="Y903" i="2"/>
  <c r="X902" i="2"/>
  <c r="Y902" i="2"/>
  <c r="X901" i="2"/>
  <c r="Y901" i="2"/>
  <c r="X900" i="2"/>
  <c r="Y900" i="2"/>
  <c r="X899" i="2"/>
  <c r="Y899" i="2"/>
  <c r="X898" i="2"/>
  <c r="Y898" i="2"/>
  <c r="X897" i="2"/>
  <c r="Y897" i="2"/>
  <c r="X896" i="2"/>
  <c r="Y896" i="2"/>
  <c r="X895" i="2"/>
  <c r="Y895" i="2"/>
  <c r="X894" i="2"/>
  <c r="Y894" i="2"/>
  <c r="X893" i="2"/>
  <c r="Y893" i="2"/>
  <c r="X892" i="2"/>
  <c r="Y892" i="2"/>
  <c r="X891" i="2"/>
  <c r="Y891" i="2"/>
  <c r="X890" i="2"/>
  <c r="Y890" i="2"/>
  <c r="X889" i="2"/>
  <c r="Y889" i="2"/>
  <c r="X888" i="2"/>
  <c r="Y888" i="2"/>
  <c r="X887" i="2"/>
  <c r="Y887" i="2"/>
  <c r="X886" i="2"/>
  <c r="Y886" i="2"/>
  <c r="X885" i="2"/>
  <c r="Y885" i="2"/>
  <c r="X884" i="2" l="1"/>
  <c r="Y884" i="2"/>
  <c r="X883" i="2"/>
  <c r="Y883" i="2"/>
  <c r="X882" i="2"/>
  <c r="Y882" i="2"/>
  <c r="X881" i="2"/>
  <c r="Y881" i="2"/>
  <c r="X880" i="2"/>
  <c r="Y880" i="2"/>
  <c r="X879" i="2"/>
  <c r="Y879" i="2"/>
  <c r="X878" i="2"/>
  <c r="Y878" i="2"/>
  <c r="X877" i="2"/>
  <c r="Y877" i="2"/>
  <c r="X876" i="2"/>
  <c r="Y876" i="2"/>
  <c r="X875" i="2"/>
  <c r="Y875" i="2"/>
  <c r="X874" i="2"/>
  <c r="Y874" i="2"/>
  <c r="X873" i="2"/>
  <c r="Y873" i="2"/>
  <c r="X872" i="2"/>
  <c r="Y872" i="2"/>
  <c r="X871" i="2"/>
  <c r="Y871" i="2"/>
  <c r="X870" i="2" l="1"/>
  <c r="Y870" i="2"/>
  <c r="X869" i="2"/>
  <c r="Y869" i="2"/>
  <c r="X868" i="2"/>
  <c r="Y868" i="2"/>
  <c r="X867" i="2"/>
  <c r="Y867" i="2"/>
  <c r="X866" i="2"/>
  <c r="Y866" i="2"/>
  <c r="X865" i="2"/>
  <c r="Y865" i="2"/>
  <c r="X864" i="2"/>
  <c r="Y864" i="2"/>
  <c r="X863" i="2"/>
  <c r="Y863" i="2"/>
  <c r="X862" i="2"/>
  <c r="Y862" i="2"/>
  <c r="X861" i="2"/>
  <c r="Y861" i="2"/>
  <c r="X860" i="2"/>
  <c r="Y860" i="2"/>
  <c r="X859" i="2"/>
  <c r="Y859" i="2"/>
  <c r="X858" i="2"/>
  <c r="Y858" i="2"/>
  <c r="X857" i="2"/>
  <c r="Y857" i="2"/>
  <c r="X856" i="2"/>
  <c r="Y856" i="2"/>
  <c r="X855" i="2"/>
  <c r="Y855" i="2"/>
  <c r="X854" i="2"/>
  <c r="Y854" i="2"/>
  <c r="X853" i="2"/>
  <c r="Y853" i="2"/>
  <c r="X852" i="2" l="1"/>
  <c r="Y852" i="2"/>
  <c r="X851" i="2"/>
  <c r="Y851" i="2"/>
  <c r="X850" i="2"/>
  <c r="Y850" i="2"/>
  <c r="X849" i="2"/>
  <c r="Y849" i="2"/>
  <c r="X848" i="2"/>
  <c r="Y848" i="2"/>
  <c r="X847" i="2"/>
  <c r="Y847" i="2"/>
  <c r="X846" i="2"/>
  <c r="Y846" i="2"/>
  <c r="X845" i="2"/>
  <c r="Y845" i="2"/>
  <c r="X844" i="2"/>
  <c r="Y844" i="2"/>
  <c r="X843" i="2"/>
  <c r="Y843" i="2"/>
  <c r="X842" i="2"/>
  <c r="Y842" i="2"/>
  <c r="X841" i="2"/>
  <c r="Y841" i="2"/>
  <c r="X840" i="2"/>
  <c r="Y840" i="2"/>
  <c r="X839" i="2"/>
  <c r="Y839" i="2"/>
  <c r="X838" i="2"/>
  <c r="Y838" i="2"/>
  <c r="X837" i="2"/>
  <c r="Y837" i="2"/>
  <c r="X836" i="2"/>
  <c r="Y836" i="2"/>
  <c r="X835" i="2" l="1"/>
  <c r="Y835" i="2"/>
  <c r="X834" i="2"/>
  <c r="Y834" i="2"/>
  <c r="X833" i="2"/>
  <c r="Y833" i="2"/>
  <c r="X832" i="2"/>
  <c r="Y832" i="2"/>
  <c r="X831" i="2"/>
  <c r="Y831" i="2"/>
  <c r="X830" i="2"/>
  <c r="Y830" i="2"/>
  <c r="X829" i="2"/>
  <c r="Y829" i="2"/>
  <c r="X828" i="2"/>
  <c r="Y828" i="2"/>
  <c r="X827" i="2"/>
  <c r="Y827" i="2"/>
  <c r="X826" i="2"/>
  <c r="Y826" i="2"/>
  <c r="X825" i="2"/>
  <c r="Y825" i="2"/>
  <c r="X824" i="2"/>
  <c r="Y824" i="2"/>
  <c r="X823" i="2"/>
  <c r="Y823" i="2"/>
  <c r="X822" i="2"/>
  <c r="Y822" i="2"/>
  <c r="X821" i="2"/>
  <c r="Y821" i="2"/>
  <c r="X820" i="2"/>
  <c r="Y820" i="2"/>
  <c r="X819" i="2"/>
  <c r="Y819" i="2"/>
  <c r="X818" i="2"/>
  <c r="Y818" i="2"/>
  <c r="X817" i="2"/>
  <c r="Y817" i="2"/>
  <c r="X816" i="2"/>
  <c r="Y816" i="2"/>
  <c r="X815" i="2"/>
  <c r="Y815" i="2"/>
  <c r="X814" i="2"/>
  <c r="Y814" i="2"/>
  <c r="X813" i="2"/>
  <c r="Y813" i="2"/>
  <c r="X812" i="2"/>
  <c r="Y812" i="2"/>
  <c r="X811" i="2"/>
  <c r="Y811" i="2"/>
  <c r="X810" i="2"/>
  <c r="Y810" i="2"/>
  <c r="X809" i="2"/>
  <c r="Y809" i="2"/>
  <c r="X808" i="2"/>
  <c r="Y808" i="2"/>
  <c r="X807" i="2"/>
  <c r="Y807" i="2"/>
  <c r="X806" i="2"/>
  <c r="Y806" i="2"/>
  <c r="X805" i="2"/>
  <c r="Y805" i="2"/>
  <c r="X804" i="2"/>
  <c r="Y804" i="2"/>
  <c r="X803" i="2"/>
  <c r="Y803" i="2"/>
  <c r="X802" i="2"/>
  <c r="Y802" i="2"/>
  <c r="X801" i="2"/>
  <c r="Y801" i="2"/>
  <c r="X800" i="2"/>
  <c r="Y800" i="2"/>
  <c r="X799" i="2"/>
  <c r="Y799" i="2"/>
  <c r="X798" i="2"/>
  <c r="Y798" i="2"/>
  <c r="X797" i="2"/>
  <c r="Y797" i="2"/>
  <c r="X796" i="2"/>
  <c r="Y796" i="2"/>
  <c r="X795" i="2"/>
  <c r="Y795" i="2"/>
  <c r="X794" i="2"/>
  <c r="Y794" i="2"/>
  <c r="X793" i="2"/>
  <c r="Y793" i="2"/>
  <c r="X792" i="2"/>
  <c r="Y792" i="2"/>
  <c r="X791" i="2"/>
  <c r="Y791" i="2"/>
  <c r="X790" i="2"/>
  <c r="Y790" i="2"/>
  <c r="X789" i="2"/>
  <c r="Y789" i="2"/>
  <c r="X788" i="2"/>
  <c r="Y788" i="2"/>
  <c r="X787" i="2"/>
  <c r="Y787" i="2"/>
  <c r="X786" i="2"/>
  <c r="Y786" i="2"/>
  <c r="X785" i="2"/>
  <c r="Y785" i="2"/>
  <c r="X784" i="2"/>
  <c r="Y784" i="2"/>
  <c r="X783" i="2"/>
  <c r="Y783" i="2"/>
  <c r="X782" i="2"/>
  <c r="Y782" i="2"/>
  <c r="X781" i="2"/>
  <c r="Y781" i="2"/>
  <c r="X780" i="2"/>
  <c r="Y780" i="2"/>
  <c r="X779" i="2" l="1"/>
  <c r="Y779" i="2"/>
  <c r="X778" i="2"/>
  <c r="Y778" i="2"/>
  <c r="X777" i="2"/>
  <c r="Y777" i="2"/>
  <c r="X776" i="2"/>
  <c r="Y776" i="2"/>
  <c r="X775" i="2"/>
  <c r="Y775" i="2"/>
  <c r="X774" i="2"/>
  <c r="Y774" i="2"/>
  <c r="X773" i="2"/>
  <c r="Y773" i="2"/>
  <c r="X772" i="2"/>
  <c r="Y772" i="2"/>
  <c r="X771" i="2"/>
  <c r="Y771" i="2"/>
  <c r="X770" i="2"/>
  <c r="Y770" i="2"/>
  <c r="X769" i="2"/>
  <c r="Y769" i="2"/>
  <c r="X768" i="2"/>
  <c r="Y768" i="2"/>
  <c r="X767" i="2"/>
  <c r="Y767" i="2"/>
  <c r="X766" i="2"/>
  <c r="Y766" i="2"/>
  <c r="X765" i="2"/>
  <c r="Y765" i="2"/>
  <c r="X764" i="2"/>
  <c r="Y764" i="2"/>
  <c r="X763" i="2"/>
  <c r="Y763" i="2"/>
  <c r="X762" i="2"/>
  <c r="Y762" i="2"/>
  <c r="X761" i="2"/>
  <c r="Y761" i="2"/>
  <c r="X760" i="2"/>
  <c r="Y760" i="2"/>
  <c r="X759" i="2"/>
  <c r="Y759" i="2"/>
  <c r="X758" i="2"/>
  <c r="Y758" i="2"/>
  <c r="X757" i="2"/>
  <c r="Y757" i="2"/>
  <c r="X756" i="2"/>
  <c r="Y756" i="2"/>
  <c r="X755" i="2"/>
  <c r="Y755" i="2"/>
  <c r="X754" i="2"/>
  <c r="Y754" i="2"/>
  <c r="X753" i="2"/>
  <c r="Y753" i="2"/>
  <c r="X752" i="2"/>
  <c r="Y752" i="2"/>
  <c r="X751" i="2"/>
  <c r="Y751" i="2"/>
  <c r="X750" i="2"/>
  <c r="Y750" i="2"/>
  <c r="X749" i="2"/>
  <c r="Y749" i="2"/>
  <c r="X748" i="2" l="1"/>
  <c r="Y748" i="2"/>
  <c r="X747" i="2"/>
  <c r="Y747" i="2"/>
  <c r="X746" i="2"/>
  <c r="Y746" i="2"/>
  <c r="X745" i="2"/>
  <c r="Y745" i="2"/>
  <c r="X744" i="2"/>
  <c r="Y744" i="2"/>
  <c r="X743" i="2"/>
  <c r="Y743" i="2"/>
  <c r="X742" i="2"/>
  <c r="Y742" i="2"/>
  <c r="X741" i="2"/>
  <c r="Y741" i="2"/>
  <c r="X740" i="2"/>
  <c r="Y740" i="2"/>
  <c r="X739" i="2"/>
  <c r="Y739" i="2"/>
  <c r="X738" i="2"/>
  <c r="Y738" i="2"/>
  <c r="X737" i="2"/>
  <c r="Y737" i="2"/>
  <c r="X736" i="2"/>
  <c r="Y736" i="2"/>
  <c r="X734" i="2"/>
  <c r="X735" i="2"/>
  <c r="Y735" i="2"/>
  <c r="Y734" i="2"/>
  <c r="X733" i="2"/>
  <c r="Y733" i="2"/>
  <c r="X732" i="2"/>
  <c r="Y732" i="2"/>
  <c r="X731" i="2"/>
  <c r="Y731" i="2"/>
  <c r="X730" i="2"/>
  <c r="Y730" i="2"/>
  <c r="X729" i="2"/>
  <c r="Y729" i="2"/>
  <c r="X728" i="2"/>
  <c r="Y728" i="2"/>
  <c r="X727" i="2"/>
  <c r="Y727" i="2"/>
  <c r="X726" i="2"/>
  <c r="Y726" i="2"/>
  <c r="X725" i="2"/>
  <c r="Y725" i="2"/>
  <c r="X724" i="2"/>
  <c r="Y724" i="2"/>
  <c r="X723" i="2"/>
  <c r="Y723" i="2"/>
  <c r="X722" i="2"/>
  <c r="Y722" i="2"/>
  <c r="X721" i="2"/>
  <c r="Y721" i="2"/>
  <c r="X720" i="2"/>
  <c r="Y720" i="2"/>
  <c r="Y719" i="2"/>
  <c r="X719" i="2"/>
  <c r="Y718" i="2"/>
  <c r="X718" i="2"/>
  <c r="Y717" i="2"/>
  <c r="X717" i="2"/>
  <c r="Y716" i="2"/>
  <c r="X716" i="2"/>
  <c r="Y715" i="2"/>
  <c r="X715" i="2"/>
  <c r="Y714" i="2"/>
  <c r="X714" i="2"/>
  <c r="Y713" i="2"/>
  <c r="X713" i="2"/>
  <c r="Y712" i="2"/>
  <c r="X712" i="2"/>
  <c r="Y711" i="2"/>
  <c r="X711" i="2"/>
  <c r="Y710" i="2"/>
  <c r="X710" i="2"/>
  <c r="Y709" i="2"/>
  <c r="X709" i="2"/>
  <c r="Y708" i="2"/>
  <c r="X708" i="2"/>
  <c r="Y707" i="2"/>
  <c r="X707" i="2"/>
  <c r="X706" i="2"/>
  <c r="Y706" i="2"/>
  <c r="X705" i="2"/>
  <c r="Y705" i="2"/>
  <c r="X704" i="2"/>
  <c r="Y704" i="2"/>
  <c r="X703" i="2"/>
  <c r="Y703" i="2"/>
  <c r="X702" i="2"/>
  <c r="Y702" i="2"/>
  <c r="X701" i="2"/>
  <c r="Y701" i="2"/>
  <c r="X700" i="2"/>
  <c r="Y700" i="2"/>
  <c r="X699" i="2" l="1"/>
  <c r="Y699" i="2"/>
  <c r="X698" i="2"/>
  <c r="Y698" i="2"/>
  <c r="X697" i="2"/>
  <c r="Y697" i="2"/>
  <c r="X696" i="2"/>
  <c r="Y696" i="2"/>
  <c r="X695" i="2"/>
  <c r="Y695" i="2"/>
  <c r="X694" i="2"/>
  <c r="Y694" i="2"/>
  <c r="X693" i="2"/>
  <c r="Y693" i="2"/>
  <c r="X692" i="2"/>
  <c r="Y692" i="2"/>
  <c r="X691" i="2"/>
  <c r="Y691" i="2"/>
  <c r="X690" i="2"/>
  <c r="Y690" i="2"/>
  <c r="X689" i="2"/>
  <c r="Y689" i="2"/>
  <c r="X688" i="2"/>
  <c r="Y688" i="2"/>
  <c r="X687" i="2"/>
  <c r="Y687" i="2"/>
  <c r="X686" i="2"/>
  <c r="Y686" i="2"/>
  <c r="X685" i="2"/>
  <c r="Y685" i="2"/>
  <c r="X684" i="2"/>
  <c r="Y684" i="2"/>
  <c r="X683" i="2"/>
  <c r="Y683" i="2"/>
  <c r="X682" i="2"/>
  <c r="Y682" i="2"/>
  <c r="X681" i="2"/>
  <c r="Y681" i="2"/>
  <c r="X680" i="2"/>
  <c r="Y680" i="2"/>
  <c r="X679" i="2"/>
  <c r="Y679" i="2"/>
  <c r="X678" i="2"/>
  <c r="Y678" i="2"/>
  <c r="X677" i="2"/>
  <c r="Y677" i="2"/>
  <c r="X676" i="2"/>
  <c r="Y676" i="2"/>
  <c r="X675" i="2"/>
  <c r="Y675" i="2"/>
  <c r="X674" i="2"/>
  <c r="Y674" i="2"/>
  <c r="X673" i="2"/>
  <c r="Y673" i="2"/>
  <c r="X672" i="2"/>
  <c r="Y672" i="2"/>
  <c r="X671" i="2"/>
  <c r="Y671" i="2"/>
  <c r="X670" i="2"/>
  <c r="Y670" i="2"/>
  <c r="Y669" i="2"/>
  <c r="X669" i="2"/>
  <c r="X668" i="2"/>
  <c r="Y668" i="2"/>
  <c r="X667" i="2"/>
  <c r="Y667" i="2"/>
  <c r="X666" i="2" l="1"/>
  <c r="Y666" i="2"/>
  <c r="X665" i="2"/>
  <c r="Y665" i="2"/>
  <c r="X664" i="2"/>
  <c r="Y664" i="2"/>
  <c r="X663" i="2"/>
  <c r="Y663" i="2"/>
  <c r="X662" i="2"/>
  <c r="Y662" i="2"/>
  <c r="X661" i="2"/>
  <c r="Y661" i="2"/>
  <c r="X660" i="2"/>
  <c r="Y660" i="2"/>
  <c r="X659" i="2"/>
  <c r="Y659" i="2"/>
  <c r="X658" i="2"/>
  <c r="Y658" i="2"/>
  <c r="X657" i="2"/>
  <c r="Y657" i="2"/>
  <c r="X656" i="2"/>
  <c r="Y656" i="2"/>
  <c r="X655" i="2"/>
  <c r="Y655" i="2"/>
  <c r="X654" i="2"/>
  <c r="Y654" i="2"/>
  <c r="X653" i="2"/>
  <c r="Y653" i="2"/>
  <c r="X652" i="2"/>
  <c r="Y652" i="2"/>
  <c r="X651" i="2"/>
  <c r="Y651" i="2"/>
  <c r="X650" i="2"/>
  <c r="Y650" i="2"/>
  <c r="X649" i="2"/>
  <c r="Y649" i="2"/>
  <c r="X648" i="2"/>
  <c r="Y648" i="2"/>
  <c r="X647" i="2"/>
  <c r="Y647" i="2"/>
  <c r="X646" i="2"/>
  <c r="Y646" i="2"/>
  <c r="X645" i="2"/>
  <c r="Y645" i="2"/>
  <c r="Y644" i="2"/>
  <c r="X644" i="2"/>
  <c r="Y643" i="2"/>
  <c r="X643" i="2"/>
  <c r="Y642" i="2"/>
  <c r="X642" i="2"/>
  <c r="Y641" i="2"/>
  <c r="X641" i="2"/>
  <c r="Y640" i="2"/>
  <c r="X640" i="2"/>
  <c r="X639" i="2"/>
  <c r="Y639" i="2"/>
  <c r="X638" i="2"/>
  <c r="Y638" i="2"/>
  <c r="X637" i="2"/>
  <c r="Y637" i="2"/>
  <c r="X636" i="2"/>
  <c r="Y636" i="2"/>
  <c r="X635" i="2"/>
  <c r="Y635" i="2"/>
  <c r="X634" i="2"/>
  <c r="Y634" i="2"/>
  <c r="X633" i="2"/>
  <c r="Y633" i="2"/>
  <c r="X632" i="2"/>
  <c r="Y632" i="2"/>
  <c r="X631" i="2"/>
  <c r="Y631" i="2"/>
  <c r="X630" i="2"/>
  <c r="Y630" i="2"/>
  <c r="X629" i="2"/>
  <c r="Y629" i="2"/>
  <c r="X628" i="2"/>
  <c r="Y628" i="2"/>
  <c r="X627" i="2"/>
  <c r="Y627" i="2"/>
  <c r="X626" i="2"/>
  <c r="Y626" i="2"/>
  <c r="X625" i="2"/>
  <c r="Y625" i="2"/>
  <c r="X624" i="2"/>
  <c r="Y624" i="2"/>
  <c r="X623" i="2"/>
  <c r="Y623" i="2"/>
  <c r="X622" i="2"/>
  <c r="Y622" i="2"/>
  <c r="X621" i="2"/>
  <c r="Y621" i="2"/>
  <c r="X620" i="2"/>
  <c r="Y620" i="2"/>
  <c r="X619" i="2"/>
  <c r="Y619" i="2"/>
  <c r="X618" i="2"/>
  <c r="Y618" i="2"/>
  <c r="X617" i="2"/>
  <c r="Y617" i="2"/>
  <c r="X616" i="2"/>
  <c r="Y616" i="2"/>
  <c r="X615" i="2"/>
  <c r="Y615" i="2"/>
  <c r="X614" i="2"/>
  <c r="Y614" i="2"/>
  <c r="X613" i="2"/>
  <c r="Y613" i="2"/>
  <c r="X612" i="2"/>
  <c r="Y612" i="2"/>
  <c r="X611" i="2"/>
  <c r="Y611" i="2"/>
  <c r="X610" i="2"/>
  <c r="Y610" i="2"/>
  <c r="X609" i="2"/>
  <c r="Y609" i="2"/>
  <c r="X608" i="2"/>
  <c r="Y608" i="2"/>
  <c r="X607" i="2"/>
  <c r="Y607" i="2"/>
  <c r="X606" i="2"/>
  <c r="Y606" i="2"/>
  <c r="X605" i="2"/>
  <c r="Y605" i="2"/>
  <c r="X604" i="2"/>
  <c r="Y604" i="2"/>
  <c r="X603" i="2"/>
  <c r="Y603" i="2"/>
  <c r="X602" i="2"/>
  <c r="Y602" i="2"/>
  <c r="X601" i="2"/>
  <c r="Y601" i="2"/>
  <c r="X600" i="2" l="1"/>
  <c r="Y600" i="2"/>
  <c r="X599" i="2"/>
  <c r="Y599" i="2"/>
  <c r="X598" i="2"/>
  <c r="Y598" i="2"/>
  <c r="X597" i="2"/>
  <c r="Y597" i="2"/>
  <c r="X596" i="2"/>
  <c r="Y596" i="2"/>
  <c r="X595" i="2" l="1"/>
  <c r="Y595" i="2"/>
  <c r="X594" i="2"/>
  <c r="Y594" i="2"/>
  <c r="X593" i="2"/>
  <c r="Y593" i="2"/>
  <c r="X592" i="2"/>
  <c r="Y592" i="2"/>
  <c r="X591" i="2"/>
  <c r="Y591" i="2"/>
  <c r="X590" i="2"/>
  <c r="Y590" i="2"/>
  <c r="X589" i="2"/>
  <c r="Y589" i="2"/>
  <c r="X588" i="2"/>
  <c r="Y588" i="2"/>
  <c r="X587" i="2"/>
  <c r="Y587" i="2"/>
  <c r="X586" i="2"/>
  <c r="Y586" i="2"/>
  <c r="X585" i="2"/>
  <c r="Y585" i="2"/>
  <c r="X584" i="2"/>
  <c r="Y584" i="2"/>
  <c r="X583" i="2"/>
  <c r="Y583" i="2"/>
  <c r="X582" i="2"/>
  <c r="Y582" i="2"/>
  <c r="X581" i="2"/>
  <c r="Y581" i="2"/>
  <c r="X580" i="2" l="1"/>
  <c r="Y580" i="2"/>
  <c r="X579" i="2"/>
  <c r="Y579" i="2"/>
  <c r="X578" i="2"/>
  <c r="Y578" i="2"/>
  <c r="X577" i="2"/>
  <c r="Y577" i="2"/>
  <c r="X576" i="2"/>
  <c r="Y576" i="2"/>
  <c r="X575" i="2"/>
  <c r="Y575" i="2"/>
  <c r="X574" i="2"/>
  <c r="Y574" i="2"/>
  <c r="Y573" i="2"/>
  <c r="X573" i="2"/>
  <c r="Y572" i="2"/>
  <c r="X572" i="2"/>
  <c r="Y571" i="2"/>
  <c r="X571" i="2"/>
  <c r="Y570" i="2"/>
  <c r="X570" i="2"/>
  <c r="X569" i="2"/>
  <c r="Y569" i="2"/>
  <c r="X568" i="2"/>
  <c r="Y568" i="2"/>
  <c r="X567" i="2"/>
  <c r="Y567" i="2"/>
  <c r="X566" i="2"/>
  <c r="Y566" i="2"/>
  <c r="X565" i="2"/>
  <c r="Y565" i="2"/>
  <c r="X564" i="2"/>
  <c r="Y564" i="2"/>
  <c r="X563" i="2"/>
  <c r="Y563" i="2"/>
  <c r="X562" i="2"/>
  <c r="Y562" i="2"/>
  <c r="X559" i="2"/>
  <c r="Y559" i="2"/>
  <c r="X558" i="2"/>
  <c r="Y558" i="2"/>
  <c r="X557" i="2"/>
  <c r="Y557" i="2"/>
  <c r="X561" i="2"/>
  <c r="Y561" i="2"/>
  <c r="X560" i="2"/>
  <c r="Y560" i="2"/>
  <c r="X447" i="2" l="1"/>
  <c r="X371" i="2"/>
  <c r="X362" i="2"/>
  <c r="X363" i="2"/>
  <c r="X364" i="2"/>
  <c r="X365" i="2"/>
  <c r="X366" i="2"/>
  <c r="X388" i="2"/>
  <c r="X358" i="2"/>
  <c r="X376" i="2"/>
  <c r="X381" i="2"/>
  <c r="X378" i="2"/>
  <c r="X389" i="2"/>
  <c r="X393" i="2"/>
  <c r="X390" i="2"/>
  <c r="X391" i="2"/>
  <c r="X386" i="2"/>
  <c r="X394" i="2"/>
  <c r="X387" i="2"/>
  <c r="X392" i="2"/>
  <c r="X395" i="2"/>
  <c r="X396" i="2"/>
  <c r="X397" i="2"/>
  <c r="X398" i="2"/>
  <c r="X399" i="2"/>
  <c r="X400" i="2"/>
  <c r="X401" i="2"/>
  <c r="X402" i="2"/>
  <c r="X403" i="2"/>
  <c r="X404" i="2"/>
  <c r="X410" i="2"/>
  <c r="X407" i="2"/>
  <c r="X406" i="2"/>
  <c r="X405" i="2"/>
  <c r="X412" i="2"/>
  <c r="X415" i="2"/>
  <c r="X416" i="2"/>
  <c r="X418" i="2"/>
  <c r="X419" i="2"/>
  <c r="X420" i="2"/>
  <c r="X422" i="2"/>
  <c r="X411" i="2"/>
  <c r="X417" i="2"/>
  <c r="X413" i="2"/>
  <c r="X409" i="2"/>
  <c r="X408" i="2"/>
  <c r="X414" i="2"/>
  <c r="X426" i="2"/>
  <c r="X429" i="2"/>
  <c r="X427" i="2"/>
  <c r="X424" i="2"/>
  <c r="X425" i="2"/>
  <c r="X430" i="2"/>
  <c r="X436" i="2"/>
  <c r="X431" i="2"/>
  <c r="X432" i="2"/>
  <c r="X434" i="2"/>
  <c r="X433" i="2"/>
  <c r="X435" i="2"/>
  <c r="X423" i="2"/>
  <c r="X421" i="2"/>
  <c r="X428" i="2"/>
  <c r="X438" i="2"/>
  <c r="X439" i="2"/>
  <c r="X440" i="2"/>
  <c r="X441" i="2"/>
  <c r="X442" i="2"/>
  <c r="X443" i="2"/>
  <c r="X444" i="2"/>
  <c r="X445" i="2"/>
  <c r="X446" i="2"/>
  <c r="X437" i="2"/>
  <c r="X449" i="2"/>
  <c r="X451" i="2"/>
  <c r="X452" i="2"/>
  <c r="X453" i="2"/>
  <c r="X457" i="2"/>
  <c r="X459" i="2"/>
  <c r="X460" i="2"/>
  <c r="X454" i="2"/>
  <c r="X455" i="2"/>
  <c r="X456" i="2"/>
  <c r="X448" i="2"/>
  <c r="X458" i="2"/>
  <c r="X472" i="2"/>
  <c r="X473" i="2"/>
  <c r="X465" i="2"/>
  <c r="X461" i="2"/>
  <c r="X462" i="2"/>
  <c r="X463" i="2"/>
  <c r="X464" i="2"/>
  <c r="X471" i="2"/>
  <c r="X466" i="2"/>
  <c r="X467" i="2"/>
  <c r="X468" i="2"/>
  <c r="X469" i="2"/>
  <c r="X474" i="2"/>
  <c r="X470" i="2"/>
  <c r="X476" i="2"/>
  <c r="X477" i="2"/>
  <c r="X478" i="2"/>
  <c r="X479" i="2"/>
  <c r="X480" i="2"/>
  <c r="X481" i="2"/>
  <c r="X483" i="2"/>
  <c r="X482" i="2"/>
  <c r="X484" i="2"/>
  <c r="X475" i="2"/>
  <c r="X486" i="2"/>
  <c r="X485" i="2"/>
  <c r="X487" i="2"/>
  <c r="X488" i="2"/>
  <c r="X489" i="2"/>
  <c r="X492" i="2"/>
  <c r="X503" i="2"/>
  <c r="X501" i="2"/>
  <c r="X497" i="2"/>
  <c r="X498" i="2"/>
  <c r="X493" i="2"/>
  <c r="X494" i="2"/>
  <c r="X495" i="2"/>
  <c r="X499" i="2"/>
  <c r="X490" i="2"/>
  <c r="X491" i="2"/>
  <c r="X496" i="2"/>
  <c r="X500" i="2"/>
  <c r="X502" i="2"/>
  <c r="X508" i="2"/>
  <c r="X505" i="2"/>
  <c r="X509" i="2"/>
  <c r="X519" i="2"/>
  <c r="X520" i="2"/>
  <c r="X516" i="2"/>
  <c r="X511" i="2"/>
  <c r="X512" i="2"/>
  <c r="X504" i="2"/>
  <c r="X506" i="2"/>
  <c r="X517" i="2"/>
  <c r="X531" i="2"/>
  <c r="X514" i="2"/>
  <c r="X518" i="2"/>
  <c r="X523" i="2"/>
  <c r="X521" i="2"/>
  <c r="X522" i="2"/>
  <c r="X524" i="2"/>
  <c r="X525" i="2"/>
  <c r="X526" i="2"/>
  <c r="X527" i="2"/>
  <c r="X507" i="2"/>
  <c r="X510" i="2"/>
  <c r="X515" i="2"/>
  <c r="X513" i="2"/>
  <c r="X532" i="2"/>
  <c r="X530" i="2"/>
  <c r="X528" i="2"/>
  <c r="X529" i="2"/>
  <c r="Y372" i="2"/>
  <c r="Y373" i="2"/>
  <c r="Y380" i="2"/>
  <c r="Y383" i="2"/>
  <c r="Y384" i="2"/>
  <c r="Y385" i="2"/>
  <c r="Y370" i="2"/>
  <c r="Y352" i="2"/>
  <c r="Y368" i="2"/>
  <c r="Y369" i="2"/>
  <c r="Y371" i="2"/>
  <c r="Y362" i="2"/>
  <c r="Y363" i="2"/>
  <c r="Y364" i="2"/>
  <c r="Y365" i="2"/>
  <c r="Y366" i="2"/>
  <c r="Y388" i="2"/>
  <c r="Y358" i="2"/>
  <c r="Y376" i="2"/>
  <c r="Y381" i="2"/>
  <c r="Y378" i="2"/>
  <c r="Y389" i="2"/>
  <c r="Y393" i="2"/>
  <c r="Y390" i="2"/>
  <c r="Y391" i="2"/>
  <c r="Y386" i="2"/>
  <c r="Y394" i="2"/>
  <c r="Y387" i="2"/>
  <c r="Y392" i="2"/>
  <c r="Y395" i="2"/>
  <c r="Y396" i="2"/>
  <c r="Y397" i="2"/>
  <c r="Y398" i="2"/>
  <c r="Y399" i="2"/>
  <c r="Y400" i="2"/>
  <c r="Y401" i="2"/>
  <c r="Y402" i="2"/>
  <c r="Y403" i="2"/>
  <c r="Y404" i="2"/>
  <c r="Y410" i="2"/>
  <c r="Y407" i="2"/>
  <c r="Y406" i="2"/>
  <c r="Y405" i="2"/>
  <c r="Y412" i="2"/>
  <c r="Y415" i="2"/>
  <c r="Y416" i="2"/>
  <c r="Y418" i="2"/>
  <c r="Y419" i="2"/>
  <c r="Y420" i="2"/>
  <c r="Y422" i="2"/>
  <c r="Y411" i="2"/>
  <c r="Y417" i="2"/>
  <c r="Y413" i="2"/>
  <c r="Y409" i="2"/>
  <c r="Y408" i="2"/>
  <c r="Y414" i="2"/>
  <c r="Y426" i="2"/>
  <c r="Y429" i="2"/>
  <c r="Y427" i="2"/>
  <c r="Y424" i="2"/>
  <c r="Y425" i="2"/>
  <c r="Y430" i="2"/>
  <c r="Y436" i="2"/>
  <c r="Y431" i="2"/>
  <c r="Y432" i="2"/>
  <c r="Y434" i="2"/>
  <c r="Y433" i="2"/>
  <c r="Y435" i="2"/>
  <c r="Y423" i="2"/>
  <c r="Y421" i="2"/>
  <c r="Y428" i="2"/>
  <c r="Y438" i="2"/>
  <c r="Y439" i="2"/>
  <c r="Y440" i="2"/>
  <c r="Y441" i="2"/>
  <c r="Y442" i="2"/>
  <c r="Y443" i="2"/>
  <c r="Y444" i="2"/>
  <c r="Y445" i="2"/>
  <c r="Y446" i="2"/>
  <c r="Y437" i="2"/>
  <c r="Y447" i="2"/>
  <c r="Y449" i="2"/>
  <c r="Y450" i="2"/>
  <c r="Y451" i="2"/>
  <c r="Y452" i="2"/>
  <c r="Y453" i="2"/>
  <c r="Y457" i="2"/>
  <c r="Y459" i="2"/>
  <c r="Y460" i="2"/>
  <c r="Y454" i="2"/>
  <c r="Y455" i="2"/>
  <c r="Y456" i="2"/>
  <c r="Y448" i="2"/>
  <c r="Y458" i="2"/>
  <c r="Y472" i="2"/>
  <c r="Y473" i="2"/>
  <c r="Y465" i="2"/>
  <c r="Y461" i="2"/>
  <c r="Y462" i="2"/>
  <c r="Y463" i="2"/>
  <c r="Y464" i="2"/>
  <c r="Y471" i="2"/>
  <c r="Y466" i="2"/>
  <c r="Y467" i="2"/>
  <c r="Y468" i="2"/>
  <c r="Y469" i="2"/>
  <c r="Y474" i="2"/>
  <c r="Y470" i="2"/>
  <c r="Y476" i="2"/>
  <c r="Y477" i="2"/>
  <c r="Y478" i="2"/>
  <c r="Y479" i="2"/>
  <c r="Y480" i="2"/>
  <c r="Y481" i="2"/>
  <c r="Y483" i="2"/>
  <c r="Y482" i="2"/>
  <c r="Y484" i="2"/>
  <c r="Y475" i="2"/>
  <c r="Y486" i="2"/>
  <c r="Y485" i="2"/>
  <c r="Y487" i="2"/>
  <c r="Y488" i="2"/>
  <c r="Y489" i="2"/>
  <c r="Y492" i="2"/>
  <c r="Y503" i="2"/>
  <c r="Y501" i="2"/>
  <c r="Y497" i="2"/>
  <c r="Y498" i="2"/>
  <c r="Y493" i="2"/>
  <c r="Y494" i="2"/>
  <c r="Y495" i="2"/>
  <c r="Y499" i="2"/>
  <c r="Y490" i="2"/>
  <c r="Y491" i="2"/>
  <c r="Y496" i="2"/>
  <c r="Y500" i="2"/>
  <c r="Y502" i="2"/>
  <c r="Y508" i="2"/>
  <c r="Y505" i="2"/>
  <c r="Y509" i="2"/>
  <c r="Y519" i="2"/>
  <c r="Y520" i="2"/>
  <c r="Y516" i="2"/>
  <c r="Y511" i="2"/>
  <c r="Y512" i="2"/>
  <c r="Y504" i="2"/>
  <c r="Y506" i="2"/>
  <c r="Y517" i="2"/>
  <c r="Y531" i="2"/>
  <c r="Y533" i="2"/>
  <c r="Y514" i="2"/>
  <c r="Y518" i="2"/>
  <c r="Y523" i="2"/>
  <c r="Y521" i="2"/>
  <c r="Y522" i="2"/>
  <c r="Y524" i="2"/>
  <c r="Y525" i="2"/>
  <c r="Y526" i="2"/>
  <c r="Y527" i="2"/>
  <c r="Y507" i="2"/>
  <c r="Y510" i="2"/>
  <c r="Y515" i="2"/>
  <c r="Y513" i="2"/>
  <c r="Y532" i="2"/>
  <c r="Y530" i="2"/>
  <c r="Y528" i="2"/>
  <c r="Y529" i="2"/>
  <c r="X379" i="2" l="1"/>
  <c r="X374" i="2"/>
  <c r="X377" i="2"/>
  <c r="X359" i="2"/>
  <c r="X360" i="2"/>
  <c r="X361" i="2"/>
  <c r="X375" i="2"/>
  <c r="X372" i="2"/>
  <c r="X373" i="2"/>
  <c r="X380" i="2"/>
  <c r="X383" i="2"/>
  <c r="X384" i="2"/>
  <c r="X385" i="2"/>
  <c r="X370" i="2"/>
  <c r="X352" i="2"/>
  <c r="X368" i="2"/>
  <c r="X369" i="2"/>
  <c r="X348" i="2"/>
  <c r="X335" i="2"/>
  <c r="X351" i="2"/>
  <c r="X344" i="2"/>
  <c r="X349" i="2"/>
  <c r="X341" i="2"/>
  <c r="X342" i="2"/>
  <c r="X339" i="2"/>
  <c r="X355" i="2"/>
  <c r="X354" i="2"/>
  <c r="X353" i="2"/>
  <c r="X356" i="2"/>
  <c r="X382" i="2"/>
  <c r="X357" i="2"/>
  <c r="X367" i="2"/>
  <c r="X338" i="2"/>
  <c r="X330" i="2"/>
  <c r="Y339" i="2"/>
  <c r="Y355" i="2"/>
  <c r="Y354" i="2"/>
  <c r="Y353" i="2"/>
  <c r="Y356" i="2"/>
  <c r="Y382" i="2"/>
  <c r="Y357" i="2"/>
  <c r="Y367" i="2"/>
  <c r="Y338" i="2"/>
  <c r="Y330" i="2"/>
  <c r="Y379" i="2"/>
  <c r="Y374" i="2"/>
  <c r="Y377" i="2"/>
  <c r="Y359" i="2"/>
  <c r="Y360" i="2"/>
  <c r="Y361" i="2"/>
  <c r="Y375" i="2"/>
  <c r="X278" i="2" l="1"/>
  <c r="X284" i="2"/>
  <c r="X285" i="2"/>
  <c r="X265" i="2"/>
  <c r="X282" i="2"/>
  <c r="X286" i="2"/>
  <c r="X289" i="2"/>
  <c r="X301" i="2"/>
  <c r="X287" i="2"/>
  <c r="X288" i="2"/>
  <c r="X298" i="2"/>
  <c r="X290" i="2"/>
  <c r="X291" i="2"/>
  <c r="X299" i="2"/>
  <c r="X311" i="2"/>
  <c r="X302" i="2"/>
  <c r="X303" i="2"/>
  <c r="X304" i="2"/>
  <c r="X305" i="2"/>
  <c r="X306" i="2"/>
  <c r="X300" i="2"/>
  <c r="X307" i="2"/>
  <c r="X308" i="2"/>
  <c r="X312" i="2"/>
  <c r="X314" i="2"/>
  <c r="X292" i="2"/>
  <c r="X293" i="2"/>
  <c r="X316" i="2"/>
  <c r="X294" i="2"/>
  <c r="X295" i="2"/>
  <c r="X296" i="2"/>
  <c r="X271" i="2"/>
  <c r="X315" i="2"/>
  <c r="X313" i="2"/>
  <c r="X144" i="2"/>
  <c r="X317" i="2"/>
  <c r="X310" i="2"/>
  <c r="X297" i="2"/>
  <c r="X309" i="2"/>
  <c r="X318" i="2"/>
  <c r="X326" i="2"/>
  <c r="X323" i="2"/>
  <c r="X319" i="2"/>
  <c r="X324" i="2"/>
  <c r="X331" i="2"/>
  <c r="X332" i="2"/>
  <c r="X327" i="2"/>
  <c r="X325" i="2"/>
  <c r="X328" i="2"/>
  <c r="X329" i="2"/>
  <c r="X320" i="2"/>
  <c r="X321" i="2"/>
  <c r="X333" i="2"/>
  <c r="X334" i="2"/>
  <c r="X322" i="2"/>
  <c r="X345" i="2"/>
  <c r="X343" i="2"/>
  <c r="X346" i="2"/>
  <c r="X336" i="2"/>
  <c r="X340" i="2"/>
  <c r="X350" i="2"/>
  <c r="X347" i="2"/>
  <c r="X337" i="2"/>
  <c r="Y306" i="2"/>
  <c r="Y300" i="2"/>
  <c r="Y307" i="2"/>
  <c r="Y308" i="2"/>
  <c r="Y312" i="2"/>
  <c r="Y314" i="2"/>
  <c r="Y292" i="2"/>
  <c r="Y293" i="2"/>
  <c r="Y316" i="2"/>
  <c r="Y294" i="2"/>
  <c r="Y295" i="2"/>
  <c r="Y296" i="2"/>
  <c r="Y271" i="2"/>
  <c r="Y315" i="2"/>
  <c r="Y313" i="2"/>
  <c r="Y144" i="2"/>
  <c r="Y317" i="2"/>
  <c r="Y310" i="2"/>
  <c r="Y297" i="2"/>
  <c r="Y309" i="2"/>
  <c r="Y318" i="2"/>
  <c r="Y326" i="2"/>
  <c r="Y323" i="2"/>
  <c r="Y319" i="2"/>
  <c r="Y324" i="2"/>
  <c r="Y331" i="2"/>
  <c r="Y332" i="2"/>
  <c r="Y327" i="2"/>
  <c r="Y325" i="2"/>
  <c r="Y328" i="2"/>
  <c r="Y329" i="2"/>
  <c r="Y320" i="2"/>
  <c r="Y321" i="2"/>
  <c r="Y333" i="2"/>
  <c r="Y334" i="2"/>
  <c r="Y322" i="2"/>
  <c r="Y345" i="2"/>
  <c r="Y343" i="2"/>
  <c r="Y346" i="2"/>
  <c r="Y336" i="2"/>
  <c r="Y340" i="2"/>
  <c r="Y350" i="2"/>
  <c r="Y347" i="2"/>
  <c r="Y337" i="2"/>
  <c r="Y348" i="2"/>
  <c r="Y335" i="2"/>
  <c r="Y351" i="2"/>
  <c r="Y344" i="2"/>
  <c r="Y349" i="2"/>
  <c r="Y341" i="2"/>
  <c r="Y342" i="2"/>
  <c r="Y278" i="2"/>
  <c r="Y284" i="2"/>
  <c r="Y285" i="2"/>
  <c r="Y265" i="2"/>
  <c r="Y282" i="2"/>
  <c r="Y286" i="2"/>
  <c r="Y289" i="2"/>
  <c r="Y301" i="2"/>
  <c r="Y287" i="2"/>
  <c r="Y288" i="2"/>
  <c r="Y298" i="2"/>
  <c r="Y290" i="2"/>
  <c r="Y291" i="2"/>
  <c r="Y299" i="2"/>
  <c r="Y311" i="2"/>
  <c r="Y302" i="2"/>
  <c r="Y303" i="2"/>
  <c r="Y304" i="2"/>
  <c r="Y305" i="2"/>
  <c r="Y244" i="2"/>
  <c r="X244" i="2"/>
  <c r="X252" i="2" l="1"/>
  <c r="X260" i="2"/>
  <c r="X253" i="2"/>
  <c r="X261" i="2"/>
  <c r="X262" i="2"/>
  <c r="X251" i="2"/>
  <c r="X254" i="2"/>
  <c r="X257" i="2"/>
  <c r="X258" i="2"/>
  <c r="X266" i="2"/>
  <c r="X272" i="2"/>
  <c r="X107" i="2"/>
  <c r="X237" i="2"/>
  <c r="X259" i="2"/>
  <c r="X263" i="2"/>
  <c r="X264" i="2"/>
  <c r="X267" i="2"/>
  <c r="X217" i="2"/>
  <c r="X268" i="2"/>
  <c r="X269" i="2"/>
  <c r="X270" i="2"/>
  <c r="X273" i="2"/>
  <c r="X274" i="2"/>
  <c r="X275" i="2"/>
  <c r="X276" i="2"/>
  <c r="X277" i="2"/>
  <c r="X283" i="2"/>
  <c r="X279" i="2"/>
  <c r="X280" i="2"/>
  <c r="X281" i="2"/>
  <c r="X176" i="2"/>
  <c r="X224" i="2" l="1"/>
  <c r="X221" i="2"/>
  <c r="X218" i="2"/>
  <c r="X219" i="2"/>
  <c r="X225" i="2"/>
  <c r="X226" i="2"/>
  <c r="X220" i="2"/>
  <c r="X222" i="2"/>
  <c r="X228" i="2"/>
  <c r="X233" i="2"/>
  <c r="X229" i="2"/>
  <c r="X231" i="2"/>
  <c r="X245" i="2"/>
  <c r="X255" i="2"/>
  <c r="X246" i="2"/>
  <c r="X238" i="2"/>
  <c r="X250" i="2"/>
  <c r="X234" i="2"/>
  <c r="X239" i="2"/>
  <c r="X230" i="2"/>
  <c r="X236" i="2"/>
  <c r="X240" i="2"/>
  <c r="X247" i="2"/>
  <c r="X248" i="2"/>
  <c r="X232" i="2"/>
  <c r="X227" i="2"/>
  <c r="X241" i="2"/>
  <c r="X249" i="2"/>
  <c r="X235" i="2"/>
  <c r="X242" i="2"/>
  <c r="X243" i="2"/>
  <c r="X175" i="2"/>
  <c r="X256" i="2"/>
  <c r="X216" i="2"/>
  <c r="X223" i="2"/>
  <c r="X214" i="2"/>
  <c r="X215" i="2"/>
  <c r="Y223" i="2"/>
  <c r="Y224" i="2"/>
  <c r="Y221" i="2"/>
  <c r="Y218" i="2"/>
  <c r="Y219" i="2"/>
  <c r="Y225" i="2"/>
  <c r="Y226" i="2"/>
  <c r="Y220" i="2"/>
  <c r="Y222" i="2"/>
  <c r="Y228" i="2"/>
  <c r="Y233" i="2"/>
  <c r="Y229" i="2"/>
  <c r="Y231" i="2"/>
  <c r="Y245" i="2"/>
  <c r="Y255" i="2"/>
  <c r="Y246" i="2"/>
  <c r="Y238" i="2"/>
  <c r="Y250" i="2"/>
  <c r="Y234" i="2"/>
  <c r="Y239" i="2"/>
  <c r="Y230" i="2"/>
  <c r="Y236" i="2"/>
  <c r="Y240" i="2"/>
  <c r="Y247" i="2"/>
  <c r="Y248" i="2"/>
  <c r="Y232" i="2"/>
  <c r="Y227" i="2"/>
  <c r="Y241" i="2"/>
  <c r="Y249" i="2"/>
  <c r="Y235" i="2"/>
  <c r="Y242" i="2"/>
  <c r="Y243" i="2"/>
  <c r="Y175" i="2"/>
  <c r="Y256" i="2"/>
  <c r="Y252" i="2"/>
  <c r="Y260" i="2"/>
  <c r="Y253" i="2"/>
  <c r="Y261" i="2"/>
  <c r="Y262" i="2"/>
  <c r="Y251" i="2"/>
  <c r="Y254" i="2"/>
  <c r="Y257" i="2"/>
  <c r="Y258" i="2"/>
  <c r="Y266" i="2"/>
  <c r="Y272" i="2"/>
  <c r="Y107" i="2"/>
  <c r="Y237" i="2"/>
  <c r="Y259" i="2"/>
  <c r="Y263" i="2"/>
  <c r="Y264" i="2"/>
  <c r="Y267" i="2"/>
  <c r="Y217" i="2"/>
  <c r="Y268" i="2"/>
  <c r="Y269" i="2"/>
  <c r="Y270" i="2"/>
  <c r="Y273" i="2"/>
  <c r="Y274" i="2"/>
  <c r="Y275" i="2"/>
  <c r="Y276" i="2"/>
  <c r="Y277" i="2"/>
  <c r="Y283" i="2"/>
  <c r="Y279" i="2"/>
  <c r="Y280" i="2"/>
  <c r="Y281" i="2"/>
  <c r="Y176" i="2"/>
  <c r="Y214" i="2"/>
  <c r="Y215" i="2"/>
  <c r="Y216" i="2"/>
  <c r="X58" i="2" l="1"/>
  <c r="Y213" i="2" l="1"/>
  <c r="Y189" i="2"/>
  <c r="Y132" i="2"/>
  <c r="Y133" i="2"/>
  <c r="Y135" i="2"/>
  <c r="Y88" i="2"/>
  <c r="Y117" i="2"/>
  <c r="Y145" i="2"/>
  <c r="Y146" i="2"/>
  <c r="Y39" i="2"/>
  <c r="Y149" i="2"/>
  <c r="Y150" i="2"/>
  <c r="Y152" i="2"/>
  <c r="Y151" i="2"/>
  <c r="Y153" i="2"/>
  <c r="Y154" i="2"/>
  <c r="Y134" i="2"/>
  <c r="Y147" i="2"/>
  <c r="Y139" i="2"/>
  <c r="Y140" i="2"/>
  <c r="Y155" i="2"/>
  <c r="Y156" i="2"/>
  <c r="Y157" i="2"/>
  <c r="Y158" i="2"/>
  <c r="Y159" i="2"/>
  <c r="Y160" i="2"/>
  <c r="Y101" i="2"/>
  <c r="Y161" i="2"/>
  <c r="Y20" i="2"/>
  <c r="Y21" i="2"/>
  <c r="Y162" i="2"/>
  <c r="Y53" i="2"/>
  <c r="Y95" i="2"/>
  <c r="Y163" i="2"/>
  <c r="Y141" i="2"/>
  <c r="Y136" i="2"/>
  <c r="Y137" i="2"/>
  <c r="Y121" i="2"/>
  <c r="Y122" i="2"/>
  <c r="Y129" i="2"/>
  <c r="Y131" i="2"/>
  <c r="Y78" i="2"/>
  <c r="Y118" i="2"/>
  <c r="Y170" i="2"/>
  <c r="Y207" i="2"/>
  <c r="Y210" i="2"/>
  <c r="Y148" i="2"/>
  <c r="Y143" i="2"/>
  <c r="Y138" i="2"/>
  <c r="Y130" i="2"/>
  <c r="Y123" i="2"/>
  <c r="Y124" i="2"/>
  <c r="Y125" i="2"/>
  <c r="Y114" i="2"/>
  <c r="Y115" i="2"/>
  <c r="Y126" i="2"/>
  <c r="Y127" i="2"/>
  <c r="Y119" i="2"/>
  <c r="Y112" i="2"/>
  <c r="Y96" i="2"/>
  <c r="Y116" i="2"/>
  <c r="Y74" i="2"/>
  <c r="Y89" i="2"/>
  <c r="Y120" i="2"/>
  <c r="Y91" i="2"/>
  <c r="Y93" i="2"/>
  <c r="Y113" i="2"/>
  <c r="Y47" i="2"/>
  <c r="Y105" i="2"/>
  <c r="Y104" i="2"/>
  <c r="Y97" i="2"/>
  <c r="Y98" i="2"/>
  <c r="Y102" i="2"/>
  <c r="Y99" i="2"/>
  <c r="Y92" i="2"/>
  <c r="Y94" i="2"/>
  <c r="Y90" i="2"/>
  <c r="Y76" i="2"/>
  <c r="Y58" i="2"/>
  <c r="Y63" i="2"/>
  <c r="Y61" i="2"/>
  <c r="Y62" i="2"/>
  <c r="Y71" i="2"/>
  <c r="Y72" i="2"/>
  <c r="Y66" i="2"/>
  <c r="Y75" i="2"/>
  <c r="Y77" i="2"/>
  <c r="Y73" i="2"/>
  <c r="Y59" i="2"/>
  <c r="Y82" i="2"/>
  <c r="Y83" i="2"/>
  <c r="Y84" i="2"/>
  <c r="Y79" i="2"/>
  <c r="Y85" i="2"/>
  <c r="Y86" i="2"/>
  <c r="Y87" i="2"/>
  <c r="Y64" i="2"/>
  <c r="Y54" i="2"/>
  <c r="Y80" i="2"/>
  <c r="Y109" i="2"/>
  <c r="Y110" i="2"/>
  <c r="Y111" i="2"/>
  <c r="Y106" i="2"/>
  <c r="Y67" i="2"/>
  <c r="Y70" i="2"/>
  <c r="Y65" i="2"/>
  <c r="Y81" i="2"/>
  <c r="Y60" i="2"/>
  <c r="Y27" i="2"/>
  <c r="Y68" i="2"/>
  <c r="Y57" i="2"/>
  <c r="Y55" i="2"/>
  <c r="Y56" i="2"/>
  <c r="Y212" i="2"/>
  <c r="X189" i="2"/>
  <c r="X132" i="2"/>
  <c r="X133" i="2"/>
  <c r="X135" i="2"/>
  <c r="X88" i="2"/>
  <c r="X117" i="2"/>
  <c r="X145" i="2"/>
  <c r="X146" i="2"/>
  <c r="X39" i="2"/>
  <c r="X149" i="2"/>
  <c r="X150" i="2"/>
  <c r="X152" i="2"/>
  <c r="X151" i="2"/>
  <c r="X153" i="2"/>
  <c r="X154" i="2"/>
  <c r="X134" i="2"/>
  <c r="X147" i="2"/>
  <c r="X139" i="2"/>
  <c r="X140" i="2"/>
  <c r="X155" i="2"/>
  <c r="X156" i="2"/>
  <c r="X157" i="2"/>
  <c r="X158" i="2"/>
  <c r="X159" i="2"/>
  <c r="X160" i="2"/>
  <c r="X101" i="2"/>
  <c r="X161" i="2"/>
  <c r="X20" i="2"/>
  <c r="X21" i="2"/>
  <c r="X162" i="2"/>
  <c r="X53" i="2"/>
  <c r="X95" i="2"/>
  <c r="X163" i="2"/>
  <c r="X141" i="2"/>
  <c r="X136" i="2"/>
  <c r="X137" i="2"/>
  <c r="X121" i="2"/>
  <c r="X122" i="2"/>
  <c r="X129" i="2"/>
  <c r="X131" i="2"/>
  <c r="X78" i="2"/>
  <c r="X118" i="2"/>
  <c r="X170" i="2"/>
  <c r="X207" i="2"/>
  <c r="X210" i="2"/>
  <c r="X148" i="2"/>
  <c r="X143" i="2"/>
  <c r="X138" i="2"/>
  <c r="X130" i="2"/>
  <c r="X123" i="2"/>
  <c r="X124" i="2"/>
  <c r="X125" i="2"/>
  <c r="X114" i="2"/>
  <c r="X115" i="2"/>
  <c r="X126" i="2"/>
  <c r="X127" i="2"/>
  <c r="X119" i="2"/>
  <c r="X112" i="2"/>
  <c r="X116" i="2"/>
  <c r="X74" i="2"/>
  <c r="X89" i="2"/>
  <c r="X120" i="2"/>
  <c r="X91" i="2"/>
  <c r="X93" i="2"/>
  <c r="X113" i="2"/>
  <c r="X47" i="2"/>
  <c r="X105" i="2"/>
  <c r="X104" i="2"/>
  <c r="X97" i="2"/>
  <c r="X98" i="2"/>
  <c r="X102" i="2"/>
  <c r="X99" i="2"/>
  <c r="X92" i="2"/>
  <c r="X94" i="2"/>
  <c r="X90" i="2"/>
  <c r="X76" i="2"/>
  <c r="X63" i="2"/>
  <c r="X61" i="2"/>
  <c r="X62" i="2"/>
  <c r="X71" i="2"/>
  <c r="X72" i="2"/>
  <c r="X66" i="2"/>
  <c r="X75" i="2"/>
  <c r="X77" i="2"/>
  <c r="X73" i="2"/>
  <c r="X59" i="2"/>
  <c r="X82" i="2"/>
  <c r="X83" i="2"/>
  <c r="X84" i="2"/>
  <c r="X79" i="2"/>
  <c r="X85" i="2"/>
  <c r="X86" i="2"/>
  <c r="X87" i="2"/>
  <c r="X64" i="2"/>
  <c r="X54" i="2"/>
  <c r="X80" i="2"/>
  <c r="X109" i="2"/>
  <c r="X110" i="2"/>
  <c r="X111" i="2"/>
  <c r="X106" i="2"/>
  <c r="X67" i="2"/>
  <c r="X70" i="2"/>
  <c r="X65" i="2"/>
  <c r="X81" i="2"/>
  <c r="X60" i="2"/>
  <c r="X27" i="2"/>
  <c r="X68" i="2"/>
  <c r="X57" i="2"/>
  <c r="X55" i="2"/>
  <c r="X56" i="2"/>
  <c r="X213" i="2"/>
  <c r="X2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Freccero, Alberto</author>
    <author>Ceguil, Alan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FORMATO:
DD-MM-AA</t>
        </r>
      </text>
    </comment>
    <comment ref="C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FORMATO:
60000xxxxxxx</t>
        </r>
      </text>
    </comment>
    <comment ref="D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TURNOS:
1
2
3</t>
        </r>
      </text>
    </comment>
    <comment ref="E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VER REF. EQUIPOS
EN SAP:
Equipo SAP ( 800000000XXXXXX )
</t>
        </r>
      </text>
    </comment>
    <comment ref="F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VER REF. EQUIPOS
EN SAP:
Denominacion de Objeto Tecnico</t>
        </r>
      </text>
    </comment>
    <comment ref="G3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VER REF. EQUIPOS
EN SAP:
Campo de Clasificacion</t>
        </r>
      </text>
    </comment>
    <comment ref="H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VER REF. CENTROS COSTO
WM60000xxx</t>
        </r>
      </text>
    </comment>
    <comment ref="I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VER REF. SECTOR
( Ubicación Tecnica )
AAAAAAA-Bxxx-CCxx</t>
        </r>
      </text>
    </comment>
    <comment ref="J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VER REF.PLANTA
BUZBPRO - ( Planta Bladders )
BUZRPRO - ( Planta Quimicos )
BUZINFR - ( Infraestructura )</t>
        </r>
      </text>
    </comment>
    <comment ref="K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VER REF. EQUIPOS</t>
        </r>
      </text>
    </comment>
    <comment ref="L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VER REF. EQUIPOS</t>
        </r>
      </text>
    </comment>
    <comment ref="M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VER REF. EQUIPOS</t>
        </r>
      </text>
    </comment>
    <comment ref="N3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VER REF. EQUIPOS</t>
        </r>
      </text>
    </comment>
    <comment ref="O3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PM01-Inspeccion y Pruebas
PM02-Mant. Preventivo / Predictivo
PM03-Reparacion Prevista
PM04-Reparacion Imprevista
PM06-Mantenimiento de Mejora</t>
        </r>
      </text>
    </comment>
    <comment ref="P3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FORMATO:
DD-MM-AA</t>
        </r>
      </text>
    </comment>
    <comment ref="Q3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VER: REF. PERSONAS
( Puesto de Trabajo / Supervisor )</t>
        </r>
      </text>
    </comment>
    <comment ref="R3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MECANICO
ELECTRICO
CAÑISTA
INSTRUMENTISTA
</t>
        </r>
      </text>
    </comment>
    <comment ref="S3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PERSONAS QUE INTERVINIERON EN LA TAREA</t>
        </r>
      </text>
    </comment>
    <comment ref="T3" authorId="0" shapeId="0" xr:uid="{00000000-0006-0000-0000-000013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HORA DE INICIO DE LA REPARACIÓN</t>
        </r>
      </text>
    </comment>
    <comment ref="U3" authorId="0" shapeId="0" xr:uid="{00000000-0006-0000-0000-000014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HORA FINAL DE LA REPARACIÓN</t>
        </r>
      </text>
    </comment>
    <comment ref="Y3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>Freccero, Alberto:</t>
        </r>
        <r>
          <rPr>
            <sz val="9"/>
            <color indexed="81"/>
            <rFont val="Tahoma"/>
            <family val="2"/>
          </rPr>
          <t xml:space="preserve">
A   ( &gt; / =  8 Hs. )
B   ( &gt; 2 Hs  &lt;  8 Hs. )
C   ( &gt;  ½ Hr  &lt;  2 Hs. )
D   ( No afecta a Producción )
</t>
        </r>
      </text>
    </comment>
    <comment ref="Y563" authorId="1" shapeId="0" xr:uid="{2F6607EC-2B49-4681-A781-EAD3602ABB40}">
      <text>
        <r>
          <rPr>
            <b/>
            <sz val="9"/>
            <color indexed="81"/>
            <rFont val="Tahoma"/>
            <charset val="1"/>
          </rPr>
          <t>Ceguil, Alan:</t>
        </r>
        <r>
          <rPr>
            <sz val="9"/>
            <color indexed="81"/>
            <rFont val="Tahoma"/>
            <charset val="1"/>
          </rPr>
          <t xml:space="preserve">
accion correctiva cambiar material de eje
</t>
        </r>
      </text>
    </comment>
  </commentList>
</comments>
</file>

<file path=xl/sharedStrings.xml><?xml version="1.0" encoding="utf-8"?>
<sst xmlns="http://schemas.openxmlformats.org/spreadsheetml/2006/main" count="12394" uniqueCount="931">
  <si>
    <t>PLANTA</t>
  </si>
  <si>
    <t>SECTOR</t>
  </si>
  <si>
    <t>ID-EQUIPO</t>
  </si>
  <si>
    <t>HORA INICIO</t>
  </si>
  <si>
    <t>TIEMPO TAREA</t>
  </si>
  <si>
    <t>TIEMPO PARADA</t>
  </si>
  <si>
    <t>PERSONA A CARGO</t>
  </si>
  <si>
    <t>TURNO</t>
  </si>
  <si>
    <t>GREMIO</t>
  </si>
  <si>
    <t>CONJUNTO</t>
  </si>
  <si>
    <t>SUB-CONJUNTO</t>
  </si>
  <si>
    <t>PARTE</t>
  </si>
  <si>
    <t>ELEMENTO</t>
  </si>
  <si>
    <t>BASCULA CAMIONERA</t>
  </si>
  <si>
    <t>EQUIPO DENOM.</t>
  </si>
  <si>
    <t>PRENSA</t>
  </si>
  <si>
    <t>UNIDAD HIDRAULICA</t>
  </si>
  <si>
    <t>MANIFOLD</t>
  </si>
  <si>
    <t>ELECTROVALVULA</t>
  </si>
  <si>
    <t>PM04</t>
  </si>
  <si>
    <t>CAÑISTA</t>
  </si>
  <si>
    <t>D</t>
  </si>
  <si>
    <t>FECHA         ORDEN</t>
  </si>
  <si>
    <t>NUMERO     ORDEN</t>
  </si>
  <si>
    <t>CENTRO        COSTO</t>
  </si>
  <si>
    <t>TIPO     MAN.</t>
  </si>
  <si>
    <t>FECHA     EJECUCIÓN</t>
  </si>
  <si>
    <t>HORA       FIN</t>
  </si>
  <si>
    <t>TOTAL HS. HOMBRE</t>
  </si>
  <si>
    <t>GRADO    INCIDENCIA FALLA</t>
  </si>
  <si>
    <t>PERSONAS      INVOLUCRADAS</t>
  </si>
  <si>
    <t>CALEFACCION</t>
  </si>
  <si>
    <t>REFRIGERACION</t>
  </si>
  <si>
    <t>CABINA</t>
  </si>
  <si>
    <t>MOTOR</t>
  </si>
  <si>
    <t>GENERADOR</t>
  </si>
  <si>
    <t>TRANSMISION</t>
  </si>
  <si>
    <t>TORRE</t>
  </si>
  <si>
    <t>BASTIDOR</t>
  </si>
  <si>
    <t>TCU</t>
  </si>
  <si>
    <t>CICLON</t>
  </si>
  <si>
    <t>VENTILADOR</t>
  </si>
  <si>
    <t>ATOMIZADOR</t>
  </si>
  <si>
    <t>PLC</t>
  </si>
  <si>
    <t>HORNO</t>
  </si>
  <si>
    <t>VALVULA</t>
  </si>
  <si>
    <t>C</t>
  </si>
  <si>
    <t>UNIDAD ELECTRONICA</t>
  </si>
  <si>
    <t>PANEL</t>
  </si>
  <si>
    <t>DATOS</t>
  </si>
  <si>
    <t>ELECTRICO</t>
  </si>
  <si>
    <t>COMPRESOR</t>
  </si>
  <si>
    <t>PISTON</t>
  </si>
  <si>
    <t>SELLOS</t>
  </si>
  <si>
    <t>HIDRAULICO</t>
  </si>
  <si>
    <t>CAÑERIA</t>
  </si>
  <si>
    <t>CAÑO</t>
  </si>
  <si>
    <t>ACCESORIOS</t>
  </si>
  <si>
    <t>SUMINISTRO</t>
  </si>
  <si>
    <t>GOMA</t>
  </si>
  <si>
    <t>MOLDE</t>
  </si>
  <si>
    <t>MATRICERIA</t>
  </si>
  <si>
    <t>MESA</t>
  </si>
  <si>
    <t>MECANICO</t>
  </si>
  <si>
    <t>AUTOELEVADOR</t>
  </si>
  <si>
    <t>CILINDRO</t>
  </si>
  <si>
    <t>DIRECCION</t>
  </si>
  <si>
    <t>MANGUERA</t>
  </si>
  <si>
    <t>BANDEJA</t>
  </si>
  <si>
    <t>SECADOR</t>
  </si>
  <si>
    <t>REACTOR</t>
  </si>
  <si>
    <t>VAPOR</t>
  </si>
  <si>
    <t>RODAMIENTO</t>
  </si>
  <si>
    <t>FILTRO</t>
  </si>
  <si>
    <t>PERISFERICOS</t>
  </si>
  <si>
    <t>RODAMIENTOS</t>
  </si>
  <si>
    <t>CORTADORA</t>
  </si>
  <si>
    <t>SENSORES</t>
  </si>
  <si>
    <t>AGITADOR</t>
  </si>
  <si>
    <t>INSTALACION ELECTRICA</t>
  </si>
  <si>
    <t>CONEXIÓN</t>
  </si>
  <si>
    <t>FICHA</t>
  </si>
  <si>
    <t>MOLINO</t>
  </si>
  <si>
    <t>FLEXIBLE</t>
  </si>
  <si>
    <t>TRAMPA</t>
  </si>
  <si>
    <t>INTERCAMBIADOR</t>
  </si>
  <si>
    <t>FLUIDO TERMICO</t>
  </si>
  <si>
    <t>ESCALERA</t>
  </si>
  <si>
    <t>PULIDORA</t>
  </si>
  <si>
    <t>UNIDAD NEUMATICA</t>
  </si>
  <si>
    <t>MEZCLADORA</t>
  </si>
  <si>
    <t>RODADO</t>
  </si>
  <si>
    <t>CUBIERTAS</t>
  </si>
  <si>
    <t>A</t>
  </si>
  <si>
    <t>CORREA</t>
  </si>
  <si>
    <t>CARGA</t>
  </si>
  <si>
    <t>EJE</t>
  </si>
  <si>
    <t>BOMBA DE AGUA</t>
  </si>
  <si>
    <t>B</t>
  </si>
  <si>
    <t>ISNTALACION ELECTRICA</t>
  </si>
  <si>
    <t>TOMA</t>
  </si>
  <si>
    <t>TANQUE</t>
  </si>
  <si>
    <t>MARTILLO</t>
  </si>
  <si>
    <t>MOTOR ELECTRICO</t>
  </si>
  <si>
    <t>ACEITE</t>
  </si>
  <si>
    <t>15.30</t>
  </si>
  <si>
    <t>ALTERNADOR</t>
  </si>
  <si>
    <t>APAREJO</t>
  </si>
  <si>
    <t>ALARMA</t>
  </si>
  <si>
    <t>BALIZA</t>
  </si>
  <si>
    <t>SENSOR</t>
  </si>
  <si>
    <t>CABLE</t>
  </si>
  <si>
    <t>BOMBA</t>
  </si>
  <si>
    <t>MOTOR ARRANQUE</t>
  </si>
  <si>
    <t>PUERTA</t>
  </si>
  <si>
    <t>BISAGRA</t>
  </si>
  <si>
    <t>UNION DOBLE</t>
  </si>
  <si>
    <t>TUERCA</t>
  </si>
  <si>
    <t>COMPONENTES</t>
  </si>
  <si>
    <t>MANOMETRO</t>
  </si>
  <si>
    <t>CONECTOR</t>
  </si>
  <si>
    <t>PLATINA</t>
  </si>
  <si>
    <t>TRANSPORT. PINTURA</t>
  </si>
  <si>
    <t>CARRO</t>
  </si>
  <si>
    <t>SOPORTE</t>
  </si>
  <si>
    <t xml:space="preserve">ESPATULA </t>
  </si>
  <si>
    <t>NUCLEO</t>
  </si>
  <si>
    <t>DISPERSORA</t>
  </si>
  <si>
    <t>TABLERO</t>
  </si>
  <si>
    <t>CADENA</t>
  </si>
  <si>
    <t>UNION DE CADENA</t>
  </si>
  <si>
    <t>INSERTO</t>
  </si>
  <si>
    <t>SELECTORA</t>
  </si>
  <si>
    <t>REFLECTOR</t>
  </si>
  <si>
    <t>BULON</t>
  </si>
  <si>
    <t>MORDAZA</t>
  </si>
  <si>
    <t>PROTECCIONES</t>
  </si>
  <si>
    <t>PLATO</t>
  </si>
  <si>
    <t>ROSCA</t>
  </si>
  <si>
    <t>FUENTE</t>
  </si>
  <si>
    <t>CABINA DE PINTADO</t>
  </si>
  <si>
    <t>VENTANA</t>
  </si>
  <si>
    <t>CORONA</t>
  </si>
  <si>
    <t>TRANSFORMADOR</t>
  </si>
  <si>
    <t>TRANFORMADOR</t>
  </si>
  <si>
    <t>COLUMNA DE NUCLEO</t>
  </si>
  <si>
    <t>TIMER</t>
  </si>
  <si>
    <t>PLANCHUELA</t>
  </si>
  <si>
    <t xml:space="preserve">SEGURIDAD </t>
  </si>
  <si>
    <t xml:space="preserve">MOTOR </t>
  </si>
  <si>
    <t>ZOCALO</t>
  </si>
  <si>
    <t>VUELCA TAMBOR</t>
  </si>
  <si>
    <t>BATERIA</t>
  </si>
  <si>
    <t>BARANDA</t>
  </si>
  <si>
    <t>PINTURA</t>
  </si>
  <si>
    <t>DISCO DISPERSOR</t>
  </si>
  <si>
    <t>PATA</t>
  </si>
  <si>
    <t>CABLES</t>
  </si>
  <si>
    <t>BORNE</t>
  </si>
  <si>
    <t xml:space="preserve">LIMPIEZA </t>
  </si>
  <si>
    <t>FUELLE</t>
  </si>
  <si>
    <t>MANGA</t>
  </si>
  <si>
    <t>DESCARGA</t>
  </si>
  <si>
    <t>EXTRACTOR</t>
  </si>
  <si>
    <t>CUCHILLA</t>
  </si>
  <si>
    <t>VASTAGO</t>
  </si>
  <si>
    <t>VALVULA RETENCION</t>
  </si>
  <si>
    <t>REGLA</t>
  </si>
  <si>
    <t>CALDERA</t>
  </si>
  <si>
    <t>CABEZAL DE CONTROLADOR</t>
  </si>
  <si>
    <t xml:space="preserve">JUNTA </t>
  </si>
  <si>
    <t>RECORTADORA</t>
  </si>
  <si>
    <t>PULSADOR</t>
  </si>
  <si>
    <t>NORIA</t>
  </si>
  <si>
    <t>AUTOFORM</t>
  </si>
  <si>
    <t>COMPONENTES NEUMATICOS</t>
  </si>
  <si>
    <t>PM03</t>
  </si>
  <si>
    <t>BUJE</t>
  </si>
  <si>
    <t>DRIVER</t>
  </si>
  <si>
    <t>SELLOS Y MANGUERA</t>
  </si>
  <si>
    <t>GUIA</t>
  </si>
  <si>
    <t>PATINES</t>
  </si>
  <si>
    <t>PEDAL</t>
  </si>
  <si>
    <t>RESORTE</t>
  </si>
  <si>
    <t>GRIP</t>
  </si>
  <si>
    <t>TREN ENFRIAMIENTO</t>
  </si>
  <si>
    <t>CINTA</t>
  </si>
  <si>
    <t>CIRCUITO DE ENFRIAMIENTO</t>
  </si>
  <si>
    <t>FUSIBLE</t>
  </si>
  <si>
    <t xml:space="preserve">SENSOR DE BARRERA </t>
  </si>
  <si>
    <t>SENSOR FOTOCONTROL</t>
  </si>
  <si>
    <t>ENVASADORA</t>
  </si>
  <si>
    <t>AIRE ACONDICIONADO</t>
  </si>
  <si>
    <t>GAS</t>
  </si>
  <si>
    <t xml:space="preserve">RETENCION </t>
  </si>
  <si>
    <t>INTERRUPTOR</t>
  </si>
  <si>
    <t xml:space="preserve">SELLO </t>
  </si>
  <si>
    <t xml:space="preserve">PUERTA </t>
  </si>
  <si>
    <t>BRAZO HIDRAULICO</t>
  </si>
  <si>
    <t xml:space="preserve">CUBIERTAS </t>
  </si>
  <si>
    <t>MADERA</t>
  </si>
  <si>
    <t>PLATAFORMA</t>
  </si>
  <si>
    <t>CAÑERIA RETORNO</t>
  </si>
  <si>
    <t>EJE CENTRAL</t>
  </si>
  <si>
    <t xml:space="preserve">TERMOCUPLA </t>
  </si>
  <si>
    <t xml:space="preserve">PLATO </t>
  </si>
  <si>
    <t>SELLO DE PLATO</t>
  </si>
  <si>
    <t>GOMAS</t>
  </si>
  <si>
    <t>MARTILLOS</t>
  </si>
  <si>
    <t>ENGRANAJES</t>
  </si>
  <si>
    <t>REGULADORA DE VAPOR</t>
  </si>
  <si>
    <t>TEMPERATURA</t>
  </si>
  <si>
    <t>PISTON DE PLATO</t>
  </si>
  <si>
    <t>COLUMNA</t>
  </si>
  <si>
    <t>BASE DE CILINDRO</t>
  </si>
  <si>
    <t>PORTON</t>
  </si>
  <si>
    <t xml:space="preserve">ACTUADOR </t>
  </si>
  <si>
    <t>CIRCUITO DE COMBUSTIBLE</t>
  </si>
  <si>
    <t>PURGA DE FILTRO DE COMBUSTIBLE</t>
  </si>
  <si>
    <t>O'RING</t>
  </si>
  <si>
    <t xml:space="preserve">VACIO </t>
  </si>
  <si>
    <t>BOMBA DE VACIO</t>
  </si>
  <si>
    <t>BRIDA</t>
  </si>
  <si>
    <t>SENSOR DE LLAMA</t>
  </si>
  <si>
    <t xml:space="preserve">PLATOS </t>
  </si>
  <si>
    <t>POTENCIOMETRO</t>
  </si>
  <si>
    <t>BUSAGRA</t>
  </si>
  <si>
    <t>LUBRICACION</t>
  </si>
  <si>
    <t>TUBO</t>
  </si>
  <si>
    <t>BARRERA DE SEGURIDAD</t>
  </si>
  <si>
    <t>MANDO DE MARCHA</t>
  </si>
  <si>
    <t>MANIVELA</t>
  </si>
  <si>
    <t>SELLO</t>
  </si>
  <si>
    <t>BALANZA</t>
  </si>
  <si>
    <t>PANTALLA ACRILICO</t>
  </si>
  <si>
    <t>CODO</t>
  </si>
  <si>
    <t>VALVULAS</t>
  </si>
  <si>
    <t>ENROLLADOR</t>
  </si>
  <si>
    <t>RELAY</t>
  </si>
  <si>
    <t>PEDAL DE FRENO</t>
  </si>
  <si>
    <t>MOTOR DE ARRANQUE</t>
  </si>
  <si>
    <t>PORTAESCOBILLAS</t>
  </si>
  <si>
    <t>PUERTA REJA</t>
  </si>
  <si>
    <t>CHAPA</t>
  </si>
  <si>
    <t>SENSOR DE CARGA</t>
  </si>
  <si>
    <t>SENSOR DE PARADA</t>
  </si>
  <si>
    <t>BARRERA GUARDA PIE</t>
  </si>
  <si>
    <t>CILINDRO DE PLATO</t>
  </si>
  <si>
    <t>PLATO  IZQUIERDO</t>
  </si>
  <si>
    <t xml:space="preserve">PM04 </t>
  </si>
  <si>
    <t xml:space="preserve">DEPOSITO </t>
  </si>
  <si>
    <t>RODILLO</t>
  </si>
  <si>
    <t>TOPE DE EJE</t>
  </si>
  <si>
    <t>REGULACION</t>
  </si>
  <si>
    <t>ESPARRAGO</t>
  </si>
  <si>
    <t>MOTOR NEUMATICO</t>
  </si>
  <si>
    <t>CABLEADO</t>
  </si>
  <si>
    <t xml:space="preserve">TRAMPA </t>
  </si>
  <si>
    <t xml:space="preserve">UNION DOBLE </t>
  </si>
  <si>
    <t xml:space="preserve">EXTRACCION </t>
  </si>
  <si>
    <t>ENTUBADORA</t>
  </si>
  <si>
    <t xml:space="preserve">CONFIGURACION </t>
  </si>
  <si>
    <t>PARAMETROS</t>
  </si>
  <si>
    <t>ILUMINACION</t>
  </si>
  <si>
    <t>SALA DE HORNO</t>
  </si>
  <si>
    <t>INYECCION</t>
  </si>
  <si>
    <t xml:space="preserve">GUSANO </t>
  </si>
  <si>
    <t>CONFIGURACION TEMPERATURA</t>
  </si>
  <si>
    <t>DESCOMPRESION</t>
  </si>
  <si>
    <t xml:space="preserve">MESA </t>
  </si>
  <si>
    <t>COLECTOR</t>
  </si>
  <si>
    <t>VALVULA DE PURGA</t>
  </si>
  <si>
    <t xml:space="preserve">SENSOR </t>
  </si>
  <si>
    <t>TORRE DE DESMOLDE</t>
  </si>
  <si>
    <t>AIRE</t>
  </si>
  <si>
    <t>FRL</t>
  </si>
  <si>
    <t>CADENA DE NORIA</t>
  </si>
  <si>
    <t>SENSOR DE NUCLEO</t>
  </si>
  <si>
    <t>RADIADOR</t>
  </si>
  <si>
    <t>FRENO</t>
  </si>
  <si>
    <t>PISTON LATERAL</t>
  </si>
  <si>
    <t>PRESION</t>
  </si>
  <si>
    <t>LIMITE DE NUCLEO</t>
  </si>
  <si>
    <t>DETECTOR DE LLAMA</t>
  </si>
  <si>
    <t>RUEDA MOTRIZ</t>
  </si>
  <si>
    <t>LLENADO</t>
  </si>
  <si>
    <t>PICO</t>
  </si>
  <si>
    <t xml:space="preserve">CAÑERIA </t>
  </si>
  <si>
    <t>COMANDO</t>
  </si>
  <si>
    <t>DAY</t>
  </si>
  <si>
    <t>TORNILLOS</t>
  </si>
  <si>
    <t>BARRERA DE CONTENCION</t>
  </si>
  <si>
    <t>CONTACTO</t>
  </si>
  <si>
    <t>BARRERA</t>
  </si>
  <si>
    <t>UNION</t>
  </si>
  <si>
    <t>CAÑOS</t>
  </si>
  <si>
    <t>SUCCION</t>
  </si>
  <si>
    <t>TOLVA</t>
  </si>
  <si>
    <t>DESMOLDE</t>
  </si>
  <si>
    <t>CILINDRO PRNCIPAL</t>
  </si>
  <si>
    <t>TRANSPORTE</t>
  </si>
  <si>
    <t xml:space="preserve">VAPOR </t>
  </si>
  <si>
    <t>POZO</t>
  </si>
  <si>
    <t>RETORNO</t>
  </si>
  <si>
    <t>CABEZAL</t>
  </si>
  <si>
    <t>TORNILLO</t>
  </si>
  <si>
    <t>BULONES</t>
  </si>
  <si>
    <t>CONFIGURACION</t>
  </si>
  <si>
    <t>CONTROLADOR</t>
  </si>
  <si>
    <t>LIMITE</t>
  </si>
  <si>
    <t>SENSOR DE MESA</t>
  </si>
  <si>
    <t>AUTOMATICO</t>
  </si>
  <si>
    <t>PRISIONERO</t>
  </si>
  <si>
    <t>MODULADOR</t>
  </si>
  <si>
    <t>PORTALAMPARAS</t>
  </si>
  <si>
    <t xml:space="preserve">CUCHILLA </t>
  </si>
  <si>
    <t>CANASTO</t>
  </si>
  <si>
    <t>PROGRAMACION</t>
  </si>
  <si>
    <t>BUJE REDUCION</t>
  </si>
  <si>
    <t>ASPIRADOR</t>
  </si>
  <si>
    <t>PRELLENADO</t>
  </si>
  <si>
    <t>ROBOT</t>
  </si>
  <si>
    <t xml:space="preserve">BULON </t>
  </si>
  <si>
    <t>TENSORES</t>
  </si>
  <si>
    <t>TRABA</t>
  </si>
  <si>
    <t xml:space="preserve">MOLDE </t>
  </si>
  <si>
    <t xml:space="preserve">CAÑO </t>
  </si>
  <si>
    <t>0,5</t>
  </si>
  <si>
    <t>PURGA</t>
  </si>
  <si>
    <t>SUJECION</t>
  </si>
  <si>
    <t>SERPENTINA</t>
  </si>
  <si>
    <t>ALIMENTACION</t>
  </si>
  <si>
    <t>LINEA DE PURGA</t>
  </si>
  <si>
    <t>BRAZO</t>
  </si>
  <si>
    <t>MOLDE INFERIOR</t>
  </si>
  <si>
    <t xml:space="preserve">REGLA </t>
  </si>
  <si>
    <t>MOLDE SUPERIOR</t>
  </si>
  <si>
    <t>LLAMA</t>
  </si>
  <si>
    <t>DISCO</t>
  </si>
  <si>
    <t>CABINA DE ENFRIAMIENTO</t>
  </si>
  <si>
    <t>TOMACORRIENTES</t>
  </si>
  <si>
    <t>TEMPORIZADOR</t>
  </si>
  <si>
    <t>NIVEL</t>
  </si>
  <si>
    <t>VISOR</t>
  </si>
  <si>
    <t>TAPA</t>
  </si>
  <si>
    <t xml:space="preserve">VALVULA </t>
  </si>
  <si>
    <t>REJA</t>
  </si>
  <si>
    <t>TRANSFERENCIA</t>
  </si>
  <si>
    <t xml:space="preserve">PANEL </t>
  </si>
  <si>
    <t>FLOTANTE</t>
  </si>
  <si>
    <t>Etiquetas de fila</t>
  </si>
  <si>
    <t>Total general</t>
  </si>
  <si>
    <t>Suma de TURNO</t>
  </si>
  <si>
    <t>Cuenta de GRADO    INCIDENCIA FALLA</t>
  </si>
  <si>
    <t>Etiquetas de columna</t>
  </si>
  <si>
    <t>Cuenta de TURNO</t>
  </si>
  <si>
    <t>Suma de TIEMPO PARADA</t>
  </si>
  <si>
    <t>EQUIPO DE FRIO</t>
  </si>
  <si>
    <t>ENFRIAMIENTO</t>
  </si>
  <si>
    <t>AGUA</t>
  </si>
  <si>
    <t>ADITIVO</t>
  </si>
  <si>
    <t>RESISTENCIA</t>
  </si>
  <si>
    <t>PALETA</t>
  </si>
  <si>
    <t>PALANCA</t>
  </si>
  <si>
    <t>PERNO</t>
  </si>
  <si>
    <t>EXTRUSION</t>
  </si>
  <si>
    <t>FEED FOLL</t>
  </si>
  <si>
    <t>RUEDA</t>
  </si>
  <si>
    <t>CONTRAPRESION</t>
  </si>
  <si>
    <t>TERMOMAGNETICA</t>
  </si>
  <si>
    <t>CONTENCION</t>
  </si>
  <si>
    <t>PLACA</t>
  </si>
  <si>
    <t>TRANSP. ENF TIRAS</t>
  </si>
  <si>
    <t xml:space="preserve">BORNERA </t>
  </si>
  <si>
    <t>ABLANDADOR</t>
  </si>
  <si>
    <t>REGULADOR DE PRESION</t>
  </si>
  <si>
    <t>ACRILICO</t>
  </si>
  <si>
    <t>MAGNETROL</t>
  </si>
  <si>
    <t>PRESOSTATO</t>
  </si>
  <si>
    <t>FLUJO</t>
  </si>
  <si>
    <t>REGULADORA DE PRESION</t>
  </si>
  <si>
    <t>SEGURO</t>
  </si>
  <si>
    <t>VACIO</t>
  </si>
  <si>
    <t>GUARDAMOTOR</t>
  </si>
  <si>
    <t>PROTECCION</t>
  </si>
  <si>
    <t>CAMISA</t>
  </si>
  <si>
    <t>LINEA DE AIRE</t>
  </si>
  <si>
    <t>EXTRUSORA</t>
  </si>
  <si>
    <t>TUBO LED</t>
  </si>
  <si>
    <t>PIÑON</t>
  </si>
  <si>
    <t>FUSIBLES</t>
  </si>
  <si>
    <t>TRASVASE</t>
  </si>
  <si>
    <t>TOPES</t>
  </si>
  <si>
    <t>GANCHO</t>
  </si>
  <si>
    <t>ENGRANAJE</t>
  </si>
  <si>
    <t>JAULA</t>
  </si>
  <si>
    <t>ESLABON</t>
  </si>
  <si>
    <t>SUPLEMENTO</t>
  </si>
  <si>
    <t>DISPLAY</t>
  </si>
  <si>
    <t>MARCO</t>
  </si>
  <si>
    <t>CIERRE</t>
  </si>
  <si>
    <t>INSPECCION</t>
  </si>
  <si>
    <t>PORTAFILTRO</t>
  </si>
  <si>
    <t>EQUIPO      COD.SAP</t>
  </si>
  <si>
    <t>PORTIN</t>
  </si>
  <si>
    <t>JUNTA</t>
  </si>
  <si>
    <t xml:space="preserve">ESCALERA </t>
  </si>
  <si>
    <t>TAPON</t>
  </si>
  <si>
    <t xml:space="preserve">CADENA </t>
  </si>
  <si>
    <t>MANIJA</t>
  </si>
  <si>
    <t>TRANSPORT.ENF TIRAS- TRAMO TRANSF.</t>
  </si>
  <si>
    <t>FINAL DE CARRERA</t>
  </si>
  <si>
    <t>CUENTAVUELTAS</t>
  </si>
  <si>
    <t>ENFRIADOR</t>
  </si>
  <si>
    <t xml:space="preserve"> </t>
  </si>
  <si>
    <t>BOBINA</t>
  </si>
  <si>
    <t>feb</t>
  </si>
  <si>
    <t>FLUIDOS</t>
  </si>
  <si>
    <t>BARRA</t>
  </si>
  <si>
    <t>CORTE</t>
  </si>
  <si>
    <t>SECCIONADOR</t>
  </si>
  <si>
    <t xml:space="preserve">PALETA </t>
  </si>
  <si>
    <t>CURVA</t>
  </si>
  <si>
    <t xml:space="preserve">TAMBOR </t>
  </si>
  <si>
    <t>TAMBOR</t>
  </si>
  <si>
    <t>abr</t>
  </si>
  <si>
    <t>HIDROLAVADORA</t>
  </si>
  <si>
    <t>ENCENDIDO</t>
  </si>
  <si>
    <t>may</t>
  </si>
  <si>
    <t>2024</t>
  </si>
  <si>
    <t>mar</t>
  </si>
  <si>
    <t>ene</t>
  </si>
  <si>
    <t>LEVA</t>
  </si>
  <si>
    <t>ELEVACION</t>
  </si>
  <si>
    <t>TACOS</t>
  </si>
  <si>
    <t>ARO</t>
  </si>
  <si>
    <t>OXIDO</t>
  </si>
  <si>
    <t>CERRADURA MAGNETICA</t>
  </si>
  <si>
    <t>TRACCION</t>
  </si>
  <si>
    <t>CINTAS</t>
  </si>
  <si>
    <t>PROGRAMADOR</t>
  </si>
  <si>
    <t>BORNERA</t>
  </si>
  <si>
    <t>REGULADOR</t>
  </si>
  <si>
    <t>FLUIDO</t>
  </si>
  <si>
    <t>LUMINARIA</t>
  </si>
  <si>
    <t>jun</t>
  </si>
  <si>
    <t>UNIDAD CONTROL TEMP.</t>
  </si>
  <si>
    <t>SILENCIADOR</t>
  </si>
  <si>
    <t>DIFERENCIAL</t>
  </si>
  <si>
    <t>ROTADOR</t>
  </si>
  <si>
    <t>jul</t>
  </si>
  <si>
    <t>ago</t>
  </si>
  <si>
    <t>sep</t>
  </si>
  <si>
    <t>CAJON DE TIRAS</t>
  </si>
  <si>
    <t>TOPE</t>
  </si>
  <si>
    <t>ANCLAJE</t>
  </si>
  <si>
    <t>Trim.3</t>
  </si>
  <si>
    <t>ALFOMBRA</t>
  </si>
  <si>
    <t>MANCHON</t>
  </si>
  <si>
    <t xml:space="preserve">CINTA </t>
  </si>
  <si>
    <t>BOTONERA</t>
  </si>
  <si>
    <t>GUARDAPIES</t>
  </si>
  <si>
    <t>Suma de TOTAL HS. HOMBRE</t>
  </si>
  <si>
    <t>Total Cuenta de TURNO</t>
  </si>
  <si>
    <t>Total Suma de objetivo</t>
  </si>
  <si>
    <t>Suma de objetivo</t>
  </si>
  <si>
    <t>2023</t>
  </si>
  <si>
    <t>oct</t>
  </si>
  <si>
    <t>nov</t>
  </si>
  <si>
    <t>dic</t>
  </si>
  <si>
    <t>2022</t>
  </si>
  <si>
    <t>2021</t>
  </si>
  <si>
    <t>OPERARIO-01</t>
  </si>
  <si>
    <t>OPERARIO-02</t>
  </si>
  <si>
    <t>OPERARIO-03</t>
  </si>
  <si>
    <t>OPERARIO-04</t>
  </si>
  <si>
    <t>OPERARIO-05</t>
  </si>
  <si>
    <t>OPERARIO-06</t>
  </si>
  <si>
    <t>OPERARIO-07</t>
  </si>
  <si>
    <t>OPERARIO-08</t>
  </si>
  <si>
    <t>OPERARIO-09</t>
  </si>
  <si>
    <t>OPERARIO-10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</si>
  <si>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</si>
  <si>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</si>
  <si>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</si>
  <si>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</si>
  <si>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</si>
  <si>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</si>
  <si>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</si>
  <si>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</si>
  <si>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</si>
  <si>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</si>
  <si>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</si>
  <si>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</si>
  <si>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</si>
  <si>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</si>
  <si>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</si>
  <si>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</si>
  <si>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</si>
  <si>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</si>
  <si>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</si>
  <si>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</si>
  <si>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</si>
  <si>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</si>
  <si>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</si>
  <si>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</si>
  <si>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</si>
  <si>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</si>
  <si>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</si>
  <si>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</si>
  <si>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</si>
  <si>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</si>
  <si>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</si>
  <si>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</si>
  <si>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</si>
  <si>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</si>
  <si>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</si>
  <si>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</si>
  <si>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</si>
  <si>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</si>
  <si>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</si>
  <si>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</si>
  <si>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</si>
  <si>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</si>
  <si>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PLANTA_1</t>
  </si>
  <si>
    <t>PLANTA_2</t>
  </si>
  <si>
    <t>EQDENOM_01</t>
  </si>
  <si>
    <t>EQDENOM_02</t>
  </si>
  <si>
    <t>EQDENOM_03</t>
  </si>
  <si>
    <t>EQDENOM_04</t>
  </si>
  <si>
    <t>EQDENOM_05</t>
  </si>
  <si>
    <t>EQDENOM_06</t>
  </si>
  <si>
    <t>EQDENOM_07</t>
  </si>
  <si>
    <t>EQDENOM_08</t>
  </si>
  <si>
    <t>EQDENOM_09</t>
  </si>
  <si>
    <t>EQDENOM_10</t>
  </si>
  <si>
    <t>EQDENOM_11</t>
  </si>
  <si>
    <t>EQDENOM_12</t>
  </si>
  <si>
    <t>EQDENOM_13</t>
  </si>
  <si>
    <t>EQDENOM_14</t>
  </si>
  <si>
    <t>EQDENOM_15</t>
  </si>
  <si>
    <t>EQDENOM_16</t>
  </si>
  <si>
    <t>EQDENOM_17</t>
  </si>
  <si>
    <t>EQDENOM_18</t>
  </si>
  <si>
    <t>EQDENOM_19</t>
  </si>
  <si>
    <t>EQDENOM_20</t>
  </si>
  <si>
    <t>EQDENOM_21</t>
  </si>
  <si>
    <t>EQDENOM_22</t>
  </si>
  <si>
    <t>EQDENOM_23</t>
  </si>
  <si>
    <t>EQDENOM_24</t>
  </si>
  <si>
    <t>EQDENOM_25</t>
  </si>
  <si>
    <t>EQDENOM_26</t>
  </si>
  <si>
    <t>EQDENOM_27</t>
  </si>
  <si>
    <t>EQDENOM_28</t>
  </si>
  <si>
    <t>EQDENOM_29</t>
  </si>
  <si>
    <t>EQDENOM_30</t>
  </si>
  <si>
    <t>EQDENOM_31</t>
  </si>
  <si>
    <t>EQDENOM_32</t>
  </si>
  <si>
    <t>EQDENOM_33</t>
  </si>
  <si>
    <t>EQDENOM_34</t>
  </si>
  <si>
    <t>EQDENOM_35</t>
  </si>
  <si>
    <t>EQDENOM_36</t>
  </si>
  <si>
    <t>EQDENOM_37</t>
  </si>
  <si>
    <t>EQDENOM_38</t>
  </si>
  <si>
    <t>EQDENOM_39</t>
  </si>
  <si>
    <t>EQDENOM_40</t>
  </si>
  <si>
    <t>EQDENOM_41</t>
  </si>
  <si>
    <t>EQDENOM_42</t>
  </si>
  <si>
    <t>EQDENOM_43</t>
  </si>
  <si>
    <t>EQDENOM_44</t>
  </si>
  <si>
    <t>EQDENOM_45</t>
  </si>
  <si>
    <t>EQDENOM_46</t>
  </si>
  <si>
    <t>EQDENOM_47</t>
  </si>
  <si>
    <t>EQDENOM_48</t>
  </si>
  <si>
    <t>EQDENOM_49</t>
  </si>
  <si>
    <t>EQDENOM_50</t>
  </si>
  <si>
    <t>EQDENOM_51</t>
  </si>
  <si>
    <t>EQDENOM_52</t>
  </si>
  <si>
    <t>EQDENOM_53</t>
  </si>
  <si>
    <t>EQDENOM_54</t>
  </si>
  <si>
    <t>EQDENOM_55</t>
  </si>
  <si>
    <t>EQDENOM_56</t>
  </si>
  <si>
    <t>EQDENOM_57</t>
  </si>
  <si>
    <t>EQDENOM_58</t>
  </si>
  <si>
    <t>EQDENOM_59</t>
  </si>
  <si>
    <t>EQDENOM_60</t>
  </si>
  <si>
    <t>EQDENOM_61</t>
  </si>
  <si>
    <t>EQDENOM_62</t>
  </si>
  <si>
    <t>EQDENOM_63</t>
  </si>
  <si>
    <t>EQDENOM_64</t>
  </si>
  <si>
    <t>EQDENOM_65</t>
  </si>
  <si>
    <t>EQDENOM_66</t>
  </si>
  <si>
    <t>EQDENOM_67</t>
  </si>
  <si>
    <t>EQDENOM_68</t>
  </si>
  <si>
    <t>EQDENOM_69</t>
  </si>
  <si>
    <t>EQDENOM_70</t>
  </si>
  <si>
    <t>EQDENOM_71</t>
  </si>
  <si>
    <t>EQDENOM_72</t>
  </si>
  <si>
    <t>EQDENOM_73</t>
  </si>
  <si>
    <t>EQDENOM_74</t>
  </si>
  <si>
    <t>EQDENOM_75</t>
  </si>
  <si>
    <t>EQDENOM_76</t>
  </si>
  <si>
    <t>EQDENOM_77</t>
  </si>
  <si>
    <t>EQDENOM_78</t>
  </si>
  <si>
    <t>EQDENOM_79</t>
  </si>
  <si>
    <t>EQDENOM_80</t>
  </si>
  <si>
    <t>EQDENOM_81</t>
  </si>
  <si>
    <t>EQDENOM_82</t>
  </si>
  <si>
    <t>EQDENOM_83</t>
  </si>
  <si>
    <t>EQDENOM_84</t>
  </si>
  <si>
    <t>EQDENOM_85</t>
  </si>
  <si>
    <t>EQDENOM_86</t>
  </si>
  <si>
    <t>EQDENOM_87</t>
  </si>
  <si>
    <t>EQDENOM_88</t>
  </si>
  <si>
    <t>EQDENOM_89</t>
  </si>
  <si>
    <t>EQDENOM_90</t>
  </si>
  <si>
    <t>EQDENOM_91</t>
  </si>
  <si>
    <t>EQDENOM_92</t>
  </si>
  <si>
    <t>EQDENOM_93</t>
  </si>
  <si>
    <t>EQDENOM_94</t>
  </si>
  <si>
    <t>EQDENOM_95</t>
  </si>
  <si>
    <t>EQDENOM_96</t>
  </si>
  <si>
    <t>EQDENOM_97</t>
  </si>
  <si>
    <t>EQDENOM_98</t>
  </si>
  <si>
    <t>EQDENOM_99</t>
  </si>
  <si>
    <t>EQDENOM_100</t>
  </si>
  <si>
    <t>EQDENOM_101</t>
  </si>
  <si>
    <t>EQDENOM_102</t>
  </si>
  <si>
    <t>EQDENOM_103</t>
  </si>
  <si>
    <t>EQDENOM_104</t>
  </si>
  <si>
    <t>EQDENOM_105</t>
  </si>
  <si>
    <t>IDEQ_01</t>
  </si>
  <si>
    <t>IDEQ_02</t>
  </si>
  <si>
    <t>IDEQ_03</t>
  </si>
  <si>
    <t>IDEQ_04</t>
  </si>
  <si>
    <t>IDEQ_05</t>
  </si>
  <si>
    <t>IDEQ_06</t>
  </si>
  <si>
    <t>IDEQ_07</t>
  </si>
  <si>
    <t>IDEQ_08</t>
  </si>
  <si>
    <t>IDEQ_09</t>
  </si>
  <si>
    <t>IDEQ_10</t>
  </si>
  <si>
    <t>IDEQ_11</t>
  </si>
  <si>
    <t>IDEQ_12</t>
  </si>
  <si>
    <t>IDEQ_13</t>
  </si>
  <si>
    <t>IDEQ_14</t>
  </si>
  <si>
    <t>IDEQ_15</t>
  </si>
  <si>
    <t>IDEQ_16</t>
  </si>
  <si>
    <t>IDEQ_17</t>
  </si>
  <si>
    <t>IDEQ_18</t>
  </si>
  <si>
    <t>IDEQ_19</t>
  </si>
  <si>
    <t>IDEQ_20</t>
  </si>
  <si>
    <t>IDEQ_21</t>
  </si>
  <si>
    <t>IDEQ_22</t>
  </si>
  <si>
    <t>IDEQ_23</t>
  </si>
  <si>
    <t>IDEQ_24</t>
  </si>
  <si>
    <t>IDEQ_25</t>
  </si>
  <si>
    <t>IDEQ_26</t>
  </si>
  <si>
    <t>IDEQ_27</t>
  </si>
  <si>
    <t>IDEQ_28</t>
  </si>
  <si>
    <t>IDEQ_29</t>
  </si>
  <si>
    <t>IDEQ_30</t>
  </si>
  <si>
    <t>IDEQ_31</t>
  </si>
  <si>
    <t>IDEQ_32</t>
  </si>
  <si>
    <t>IDEQ_33</t>
  </si>
  <si>
    <t>IDEQ_34</t>
  </si>
  <si>
    <t>IDEQ_35</t>
  </si>
  <si>
    <t>IDEQ_36</t>
  </si>
  <si>
    <t>IDEQ_37</t>
  </si>
  <si>
    <t>IDEQ_38</t>
  </si>
  <si>
    <t>IDEQ_39</t>
  </si>
  <si>
    <t>IDEQ_40</t>
  </si>
  <si>
    <t>IDEQ_41</t>
  </si>
  <si>
    <t>IDEQ_42</t>
  </si>
  <si>
    <t>IDEQ_43</t>
  </si>
  <si>
    <t>IDEQ_44</t>
  </si>
  <si>
    <t>IDEQ_45</t>
  </si>
  <si>
    <t>IDEQ_46</t>
  </si>
  <si>
    <t>IDEQ_47</t>
  </si>
  <si>
    <t>IDEQ_48</t>
  </si>
  <si>
    <t>IDEQ_49</t>
  </si>
  <si>
    <t>IDEQ_50</t>
  </si>
  <si>
    <t>IDEQ_51</t>
  </si>
  <si>
    <t>IDEQ_52</t>
  </si>
  <si>
    <t>IDEQ_53</t>
  </si>
  <si>
    <t>IDEQ_54</t>
  </si>
  <si>
    <t>IDEQ_55</t>
  </si>
  <si>
    <t>IDEQ_56</t>
  </si>
  <si>
    <t>IDEQ_57</t>
  </si>
  <si>
    <t>IDEQ_58</t>
  </si>
  <si>
    <t>IDEQ_59</t>
  </si>
  <si>
    <t>IDEQ_60</t>
  </si>
  <si>
    <t>IDEQ_61</t>
  </si>
  <si>
    <t>IDEQ_62</t>
  </si>
  <si>
    <t>IDEQ_63</t>
  </si>
  <si>
    <t>IDEQ_64</t>
  </si>
  <si>
    <t>IDEQ_65</t>
  </si>
  <si>
    <t>IDEQ_66</t>
  </si>
  <si>
    <t>IDEQ_67</t>
  </si>
  <si>
    <t>IDEQ_68</t>
  </si>
  <si>
    <t>IDEQ_69</t>
  </si>
  <si>
    <t>IDEQ_70</t>
  </si>
  <si>
    <t>IDEQ_71</t>
  </si>
  <si>
    <t>IDEQ_72</t>
  </si>
  <si>
    <t>IDEQ_73</t>
  </si>
  <si>
    <t>IDEQ_74</t>
  </si>
  <si>
    <t>IDEQ_75</t>
  </si>
  <si>
    <t>IDEQ_76</t>
  </si>
  <si>
    <t>IDEQ_77</t>
  </si>
  <si>
    <t>IDEQ_78</t>
  </si>
  <si>
    <t>IDEQ_79</t>
  </si>
  <si>
    <t>IDEQ_80</t>
  </si>
  <si>
    <t>IDEQ_81</t>
  </si>
  <si>
    <t>IDEQ_82</t>
  </si>
  <si>
    <t>IDEQ_83</t>
  </si>
  <si>
    <t>IDEQ_84</t>
  </si>
  <si>
    <t>IDEQ_85</t>
  </si>
  <si>
    <t>IDEQ_86</t>
  </si>
  <si>
    <t>IDEQ_87</t>
  </si>
  <si>
    <t>IDEQ_88</t>
  </si>
  <si>
    <t>IDEQ_89</t>
  </si>
  <si>
    <t>IDEQ_90</t>
  </si>
  <si>
    <t>IDEQ_91</t>
  </si>
  <si>
    <t>IDEQ_92</t>
  </si>
  <si>
    <t>IDEQ_93</t>
  </si>
  <si>
    <t>IDEQ_94</t>
  </si>
  <si>
    <t>IDEQ_95</t>
  </si>
  <si>
    <t>IDEQ_96</t>
  </si>
  <si>
    <t>IDEQ_97</t>
  </si>
  <si>
    <t>IDEQ_98</t>
  </si>
  <si>
    <t>IDEQ_99</t>
  </si>
  <si>
    <t>IDEQ_100</t>
  </si>
  <si>
    <t>IDEQ_101</t>
  </si>
  <si>
    <t>IDEQ_102</t>
  </si>
  <si>
    <t>IDEQ_103</t>
  </si>
  <si>
    <t>IDEQ_104</t>
  </si>
  <si>
    <t>IDEQ_105</t>
  </si>
  <si>
    <t>IDEQ_106</t>
  </si>
  <si>
    <t>IDEQ_107</t>
  </si>
  <si>
    <t>IDEQ_108</t>
  </si>
  <si>
    <t>IDEQ_109</t>
  </si>
  <si>
    <t>WM01</t>
  </si>
  <si>
    <t>WM02</t>
  </si>
  <si>
    <t>WM03</t>
  </si>
  <si>
    <t>WM04</t>
  </si>
  <si>
    <t>WM05</t>
  </si>
  <si>
    <t>WM06</t>
  </si>
  <si>
    <t>WM07</t>
  </si>
  <si>
    <t>WM08</t>
  </si>
  <si>
    <t>WM09</t>
  </si>
  <si>
    <t>WM10</t>
  </si>
  <si>
    <t>WM11</t>
  </si>
  <si>
    <t>WM12</t>
  </si>
  <si>
    <t>SECTOR_01</t>
  </si>
  <si>
    <t>SECTOR_02</t>
  </si>
  <si>
    <t>SECTOR_03</t>
  </si>
  <si>
    <t>SECTOR_04</t>
  </si>
  <si>
    <t>SECTOR_05</t>
  </si>
  <si>
    <t>SECTOR_06</t>
  </si>
  <si>
    <t>SECTOR_07</t>
  </si>
  <si>
    <t>SECTOR_08</t>
  </si>
  <si>
    <t>SECTOR_09</t>
  </si>
  <si>
    <t>SECTOR_10</t>
  </si>
  <si>
    <t>SECTOR_11</t>
  </si>
  <si>
    <t>SECTOR_12</t>
  </si>
  <si>
    <t>SECTOR_13</t>
  </si>
  <si>
    <t>SECTOR_14</t>
  </si>
  <si>
    <t>SECTOR_15</t>
  </si>
  <si>
    <t>SECTOR_16</t>
  </si>
  <si>
    <t>SECTOR_17</t>
  </si>
  <si>
    <t>SECTOR_18</t>
  </si>
  <si>
    <t>SECTOR_19</t>
  </si>
  <si>
    <t>SECTOR_20</t>
  </si>
  <si>
    <t>SECTOR_21</t>
  </si>
  <si>
    <t>SECTOR_22</t>
  </si>
  <si>
    <t>SECTOR_23</t>
  </si>
  <si>
    <t>SECTOR_24</t>
  </si>
  <si>
    <t>SECTOR_25</t>
  </si>
  <si>
    <t>SECTOR_26</t>
  </si>
  <si>
    <t>SECTOR_27</t>
  </si>
  <si>
    <t>SECTOR_28</t>
  </si>
  <si>
    <t>SECTOR_29</t>
  </si>
  <si>
    <t>SECTOR_30</t>
  </si>
  <si>
    <t>SECTOR_31</t>
  </si>
  <si>
    <t>SECTOR_32</t>
  </si>
  <si>
    <t>SECTOR_33</t>
  </si>
  <si>
    <t>SECTOR_34</t>
  </si>
  <si>
    <t>SECTOR_35</t>
  </si>
  <si>
    <t>SECTOR_36</t>
  </si>
  <si>
    <t>SECTOR_37</t>
  </si>
  <si>
    <t>SECTOR_38</t>
  </si>
  <si>
    <t>SECTOR_39</t>
  </si>
  <si>
    <t>SECTOR_40</t>
  </si>
  <si>
    <t>SECTOR_41</t>
  </si>
  <si>
    <t>SECTOR_42</t>
  </si>
  <si>
    <t>SECTOR_43</t>
  </si>
  <si>
    <t>SECTOR_44</t>
  </si>
  <si>
    <t>SECTOR_45</t>
  </si>
  <si>
    <t>SECTOR_46</t>
  </si>
  <si>
    <t>SECTOR_47</t>
  </si>
  <si>
    <t>SECTOR_48</t>
  </si>
  <si>
    <t>SECTOR_49</t>
  </si>
  <si>
    <t>SECTOR_50</t>
  </si>
  <si>
    <t>SECTOR_51</t>
  </si>
  <si>
    <t>SECTOR_52</t>
  </si>
  <si>
    <t>SECTOR_53</t>
  </si>
  <si>
    <t>SECTOR_54</t>
  </si>
  <si>
    <t>SECTOR_55</t>
  </si>
  <si>
    <t>SECTOR_56</t>
  </si>
  <si>
    <t>SECTOR_57</t>
  </si>
  <si>
    <t>SECTOR_58</t>
  </si>
  <si>
    <t>SECTOR_59</t>
  </si>
  <si>
    <t>SECTOR_60</t>
  </si>
  <si>
    <t>SECTOR_61</t>
  </si>
  <si>
    <t>SECTOR_62</t>
  </si>
  <si>
    <t>SECTOR_63</t>
  </si>
  <si>
    <t>SECTOR_64</t>
  </si>
  <si>
    <t>SECTOR_65</t>
  </si>
  <si>
    <t>SECTOR_66</t>
  </si>
  <si>
    <t>SECTOR_67</t>
  </si>
  <si>
    <t>SECTOR_68</t>
  </si>
  <si>
    <t>SECTOR_69</t>
  </si>
  <si>
    <t>SECTOR_70</t>
  </si>
  <si>
    <t>SECTOR_71</t>
  </si>
  <si>
    <t>SECTOR_72</t>
  </si>
  <si>
    <t>SECTOR_73</t>
  </si>
  <si>
    <t>SECTOR_74</t>
  </si>
  <si>
    <t>SECTOR_75</t>
  </si>
  <si>
    <t>SECTOR_76</t>
  </si>
  <si>
    <t>SECTOR_77</t>
  </si>
  <si>
    <t>SECTOR_78</t>
  </si>
  <si>
    <t>SECTOR_79</t>
  </si>
  <si>
    <t>SECTOR_80</t>
  </si>
  <si>
    <t>SECTOR_81</t>
  </si>
  <si>
    <t>SECTOR_82</t>
  </si>
  <si>
    <t>SECTOR_83</t>
  </si>
  <si>
    <t>SECTOR_84</t>
  </si>
  <si>
    <t>SECTOR_85</t>
  </si>
  <si>
    <t>SECTOR_86</t>
  </si>
  <si>
    <t>SECTOR_87</t>
  </si>
  <si>
    <t>SECTOR_88</t>
  </si>
  <si>
    <t>SECTOR_89</t>
  </si>
  <si>
    <t>SECTOR_90</t>
  </si>
  <si>
    <t>SECTOR_91</t>
  </si>
  <si>
    <t>SECTOR_92</t>
  </si>
  <si>
    <t>SECTOR_93</t>
  </si>
  <si>
    <t>SECTOR_94</t>
  </si>
  <si>
    <t>SECTOR_95</t>
  </si>
  <si>
    <t>SECTOR_96</t>
  </si>
  <si>
    <t>SECTOR_97</t>
  </si>
  <si>
    <t>SECTOR_98</t>
  </si>
  <si>
    <t>SECTOR_99</t>
  </si>
  <si>
    <t>SECTOR_100</t>
  </si>
  <si>
    <t>SECTOR_101</t>
  </si>
  <si>
    <t>SECTOR_102</t>
  </si>
  <si>
    <t>SECTOR_103</t>
  </si>
  <si>
    <t>SECTOR_104</t>
  </si>
  <si>
    <t>SECTOR_105</t>
  </si>
  <si>
    <t>SECTOR_106</t>
  </si>
  <si>
    <t>SECTOR_107</t>
  </si>
  <si>
    <t>SECTOR_108</t>
  </si>
  <si>
    <t>SECTOR_109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</si>
  <si>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</si>
  <si>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</si>
  <si>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</si>
  <si>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</si>
  <si>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</si>
  <si>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</si>
  <si>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</si>
  <si>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</si>
  <si>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</si>
  <si>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</si>
  <si>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</si>
  <si>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</si>
  <si>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</si>
  <si>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</si>
  <si>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</si>
  <si>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</si>
  <si>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</si>
  <si>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</si>
  <si>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</si>
  <si>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</si>
  <si>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</si>
  <si>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</si>
  <si>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</si>
  <si>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</si>
  <si>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</si>
  <si>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</si>
  <si>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</si>
  <si>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</si>
  <si>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</si>
  <si>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</si>
  <si>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</si>
  <si>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</si>
  <si>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</si>
  <si>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</si>
  <si>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</si>
  <si>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</si>
  <si>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</si>
  <si>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</si>
  <si>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</si>
  <si>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</si>
  <si>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</si>
  <si>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</si>
  <si>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</si>
  <si>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</si>
  <si>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</si>
  <si>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</si>
  <si>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</si>
  <si>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</si>
  <si>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</si>
  <si>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</si>
  <si>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</si>
  <si>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</si>
  <si>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</si>
  <si>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</si>
  <si>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</si>
  <si>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</si>
  <si>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</si>
  <si>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</si>
  <si>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</si>
  <si>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</si>
  <si>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</si>
  <si>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</si>
  <si>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</si>
  <si>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</si>
  <si>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</si>
  <si>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</si>
  <si>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</si>
  <si>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Trim.1</t>
  </si>
  <si>
    <t>Trim.2</t>
  </si>
  <si>
    <t>Trim.4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</si>
</sst>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20" fontId="3" fillId="0" borderId="2" xfId="0" applyNumberFormat="1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20" fontId="0" fillId="0" borderId="2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4" fontId="0" fillId="0" borderId="0" xfId="0" applyNumberFormat="1" applyAlignment="1">
      <alignment horizontal="left"/>
    </xf>
    <xf numFmtId="16" fontId="0" fillId="0" borderId="0" xfId="0" applyNumberFormat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" fontId="0" fillId="0" borderId="0" xfId="0" applyNumberFormat="1"/>
    <xf numFmtId="0" fontId="0" fillId="3" borderId="0" xfId="0" applyFill="1"/>
    <xf numFmtId="49" fontId="4" fillId="2" borderId="3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0" fillId="0" borderId="2" xfId="0" applyNumberFormat="1" applyBorder="1"/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38"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h:mm"/>
      <alignment horizontal="center" vertical="center" textRotation="0" wrapText="0" indent="0" justifyLastLine="0" shrinkToFit="0" readingOrder="0"/>
    </dxf>
    <dxf>
      <numFmt numFmtId="164" formatCode="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fill>
        <patternFill patternType="solid">
          <fgColor indexed="64"/>
          <bgColor indexed="43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numFmt numFmtId="1" formatCode="0"/>
    </dxf>
    <dxf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sz val="11"/>
        <color theme="0"/>
        <name val="Calibri"/>
        <family val="2"/>
        <scheme val="minor"/>
      </font>
    </dxf>
    <dxf>
      <font>
        <color theme="0"/>
      </font>
      <fill>
        <patternFill patternType="solid">
          <fgColor theme="0"/>
          <bgColor rgb="FF0D0D29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4"/>
        <color theme="1"/>
        <name val="Roboto Black"/>
        <scheme val="none"/>
      </font>
      <border>
        <vertical/>
        <horizontal/>
      </border>
    </dxf>
    <dxf>
      <font>
        <b/>
        <i val="0"/>
        <sz val="12"/>
        <color theme="1"/>
        <name val="Roboto Black"/>
        <scheme val="none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b/>
        <i val="0"/>
        <sz val="14"/>
        <color theme="1"/>
        <name val="Roboto Black"/>
        <scheme val="none"/>
      </font>
      <border>
        <bottom style="thin">
          <color theme="6"/>
        </bottom>
        <vertical/>
        <horizontal/>
      </border>
    </dxf>
    <dxf>
      <font>
        <b/>
        <i val="0"/>
        <sz val="12"/>
        <color theme="1"/>
        <name val="Roboto Black"/>
        <scheme val="none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</dxfs>
  <tableStyles count="4" defaultTableStyle="TableStyleMedium2" defaultPivotStyle="PivotStyleLight16">
    <tableStyle name="DASHBOARD" pivot="0" table="0" count="10" xr9:uid="{FF917BCE-45DA-4C2F-A14D-C7238AE3295D}">
      <tableStyleElement type="wholeTable" dxfId="37"/>
      <tableStyleElement type="headerRow" dxfId="36"/>
    </tableStyle>
    <tableStyle name="escalatiempodb" pivot="0" table="0" count="9" xr9:uid="{2050E3E9-A576-4FCB-A9D6-6C97A786811F}">
      <tableStyleElement type="wholeTable" dxfId="35"/>
      <tableStyleElement type="headerRow" dxfId="34"/>
    </tableStyle>
    <tableStyle name="Estilo de escala de tiempo 1" pivot="0" table="0" count="9" xr9:uid="{21593450-2513-4B0A-8EFF-1405C8080363}">
      <tableStyleElement type="wholeTable" dxfId="33"/>
      <tableStyleElement type="headerRow" dxfId="32"/>
    </tableStyle>
    <tableStyle name="Estilo de segmentación de datos 1" pivot="0" table="0" count="7" xr9:uid="{8FDF944D-CCC2-46DB-B1EC-2FB11529A103}">
      <tableStyleElement type="wholeTable" dxfId="31"/>
      <tableStyleElement type="headerRow" dxfId="30"/>
    </tableStyle>
  </tableStyles>
  <colors>
    <mruColors>
      <color rgb="FF8064A2"/>
      <color rgb="FF9179AF"/>
      <color rgb="FF664E82"/>
      <color rgb="FF4F81BD"/>
      <color rgb="FF386294"/>
      <color rgb="FF3F75E1"/>
      <color rgb="FF694797"/>
      <color rgb="FF0EE8B4"/>
      <color rgb="FFFF437D"/>
      <color rgb="FF00B8BC"/>
    </mruColors>
  </colors>
  <extLst>
    <ext xmlns:x14="http://schemas.microsoft.com/office/spreadsheetml/2009/9/main" uri="{46F421CA-312F-682f-3DD2-61675219B42D}">
      <x14:dxfs count="13">
        <dxf>
          <font>
            <b/>
            <i val="0"/>
            <sz val="16"/>
            <color theme="0" tint="-0.14996795556505021"/>
            <name val="Roboto"/>
          </font>
          <fill>
            <patternFill>
              <bgColor theme="3" tint="0.39994506668294322"/>
            </patternFill>
          </fill>
        </dxf>
        <dxf>
          <fill>
            <patternFill>
              <bgColor theme="3" tint="0.39994506668294322"/>
            </patternFill>
          </fill>
        </dxf>
        <dxf>
          <font>
            <b/>
            <i val="0"/>
            <sz val="16"/>
            <color auto="1"/>
            <name val="Roboto"/>
          </font>
          <fill>
            <patternFill patternType="none">
              <bgColor auto="1"/>
            </patternFill>
          </fill>
        </dxf>
        <dxf>
          <font>
            <b/>
            <i val="0"/>
            <sz val="16"/>
            <color theme="0"/>
            <name val="Roboto"/>
          </font>
          <fill>
            <patternFill>
              <bgColor rgb="FF503672"/>
            </patternFill>
          </fill>
        </dxf>
        <dxf>
          <font>
            <b/>
            <i val="0"/>
            <sz val="16"/>
            <color theme="1"/>
            <name val="Roboto"/>
          </font>
          <fill>
            <patternFill>
              <bgColor theme="0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6" tint="0.79995117038483843"/>
              <bgColor rgb="FF139A43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6" tint="0.59999389629810485"/>
              <bgColor rgb="FF1DE364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tilo de segmentación de datos 1">
        <x14:slicerStyle name="DASHBOARD">
          <x14:slicerStyleElements>
            <x14:slicerStyleElement type="unselectedItemWithData" dxfId="12"/>
            <x14:slicerStyleElement type="unselectedItemWithNoData" dxfId="11"/>
            <x14:slicerStyleElement type="selectedItemWithData" dxfId="10"/>
            <x14:slicerStyleElement type="selectedItemWithNoData" dxfId="9"/>
            <x14:slicerStyleElement type="hoveredUnselectedItemWithData" dxfId="8"/>
            <x14:slicerStyleElement type="hoveredSelectedItemWithData" dxfId="7"/>
            <x14:slicerStyleElement type="hoveredUnselectedItemWithNoData" dxfId="6"/>
            <x14:slicerStyleElement type="hoveredSelectedItemWithNoData" dxfId="5"/>
          </x14:slicerStyleElements>
        </x14:slicerStyle>
        <x14:slicerStyle name="Estilo de segmentación de datos 1">
          <x14:slicerStyleElements>
            <x14:slicerStyleElement type="unselectedItemWithData" dxfId="4"/>
            <x14:slicerStyleElement type="selectedItemWithData" dxfId="3"/>
            <x14:slicerStyleElement type="selectedItemWithNo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none">
              <bgColor auto="1"/>
            </patternFill>
          </fill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rgb="FF694797"/>
            </patternFill>
          </fill>
        </dxf>
        <dxf>
          <font>
            <sz val="11"/>
            <color theme="0"/>
          </font>
        </dxf>
        <dxf>
          <font>
            <sz val="9"/>
            <color theme="0"/>
          </font>
        </dxf>
        <dxf>
          <font>
            <sz val="12"/>
            <color theme="0"/>
            <name val="Roboto"/>
            <scheme val="none"/>
          </font>
        </dxf>
        <dxf>
          <font>
            <sz val="14"/>
            <color theme="0"/>
            <name val="Roboto"/>
          </font>
        </dxf>
        <dxf>
          <fill>
            <patternFill patternType="solid">
              <fgColor theme="6" tint="0.39991454817346722"/>
              <bgColor theme="0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patternFill patternType="solid">
              <fgColor auto="1"/>
              <bgColor rgb="FF1DE364"/>
            </patternFill>
          </fill>
          <border>
            <vertical/>
            <horizontal/>
          </border>
        </dxf>
        <dxf>
          <font>
            <sz val="11"/>
            <color theme="1" tint="0.24994659260841701"/>
            <name val="Roboto Black"/>
          </font>
          <border>
            <left/>
            <right/>
            <top/>
            <bottom/>
            <vertical/>
            <horizontal/>
          </border>
        </dxf>
        <dxf>
          <font>
            <sz val="11"/>
            <color theme="1" tint="0.24994659260841701"/>
            <name val="Roboto Black"/>
            <scheme val="none"/>
          </font>
          <border>
            <left/>
            <right/>
            <top/>
            <bottom/>
            <vertical/>
            <horizontal/>
          </border>
        </dxf>
        <dxf>
          <font>
            <b val="0"/>
            <i val="0"/>
            <sz val="11"/>
            <color theme="1" tint="0.24994659260841701"/>
            <name val="Roboto Black"/>
            <scheme val="none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1" tint="0.24994659260841701"/>
            <name val="Roboto Black"/>
            <scheme val="none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calatiempodb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Estilo de escala de tiempo 1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[indicadores_mant.xlsm]tablas dinamicas 2!TablaDinámica1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 2'!$B$3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2'!$A$4:$A$14</c:f>
              <c:strCache>
                <c:ptCount val="10"/>
                <c:pt idx="0">
                  <c:v>OPERARIO-06</c:v>
                </c:pt>
                <c:pt idx="1">
                  <c:v>OPERARIO-08</c:v>
                </c:pt>
                <c:pt idx="2">
                  <c:v>OPERARIO-04</c:v>
                </c:pt>
                <c:pt idx="3">
                  <c:v>OPERARIO-05</c:v>
                </c:pt>
                <c:pt idx="4">
                  <c:v>OPERARIO-07</c:v>
                </c:pt>
                <c:pt idx="5">
                  <c:v>OPERARIO-02</c:v>
                </c:pt>
                <c:pt idx="6">
                  <c:v>OPERARIO-03</c:v>
                </c:pt>
                <c:pt idx="7">
                  <c:v>OPERARIO-09</c:v>
                </c:pt>
                <c:pt idx="8">
                  <c:v>OPERARIO-10</c:v>
                </c:pt>
                <c:pt idx="9">
                  <c:v>OPERARIO-01</c:v>
                </c:pt>
              </c:strCache>
            </c:strRef>
          </c:cat>
          <c:val>
            <c:numRef>
              <c:f>'tablas dinamicas 2'!$B$4:$B$14</c:f>
              <c:numCache>
                <c:formatCode>General</c:formatCode>
                <c:ptCount val="10"/>
                <c:pt idx="0">
                  <c:v>223</c:v>
                </c:pt>
                <c:pt idx="1">
                  <c:v>199</c:v>
                </c:pt>
                <c:pt idx="2">
                  <c:v>146</c:v>
                </c:pt>
                <c:pt idx="3">
                  <c:v>97</c:v>
                </c:pt>
                <c:pt idx="4">
                  <c:v>74</c:v>
                </c:pt>
                <c:pt idx="5">
                  <c:v>66</c:v>
                </c:pt>
                <c:pt idx="6">
                  <c:v>64</c:v>
                </c:pt>
                <c:pt idx="7">
                  <c:v>28</c:v>
                </c:pt>
                <c:pt idx="8">
                  <c:v>11</c:v>
                </c:pt>
                <c:pt idx="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6A-4A53-9B24-1C9FF4A0664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1486096"/>
        <c:axId val="821486424"/>
      </c:lineChart>
      <c:catAx>
        <c:axId val="82148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21486424"/>
        <c:crosses val="autoZero"/>
        <c:auto val="1"/>
        <c:lblAlgn val="ctr"/>
        <c:lblOffset val="100"/>
        <c:noMultiLvlLbl val="0"/>
      </c:catAx>
      <c:valAx>
        <c:axId val="8214864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2148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[indicadores_mant.xlsm]tablas dinamicas 2!TablaDinámica2</c:name>
    <c:fmtId val="0"/>
  </c:pivotSource>
  <c:chart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'tablas dinamicas 2'!$B$44:$B$45</c:f>
              <c:strCache>
                <c:ptCount val="1"/>
                <c:pt idx="0">
                  <c:v>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8000"/>
                    <a:shade val="51000"/>
                    <a:satMod val="130000"/>
                  </a:schemeClr>
                </a:gs>
                <a:gs pos="80000">
                  <a:schemeClr val="accent1">
                    <a:shade val="58000"/>
                    <a:shade val="93000"/>
                    <a:satMod val="130000"/>
                  </a:schemeClr>
                </a:gs>
                <a:gs pos="100000">
                  <a:schemeClr val="accent1">
                    <a:shade val="58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'tablas dinamicas 2'!$A$46:$A$50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dinamicas 2'!$B$46:$B$50</c:f>
              <c:numCache>
                <c:formatCode>General</c:formatCode>
                <c:ptCount val="4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1-4A3B-8EF5-91B6C21BB664}"/>
            </c:ext>
          </c:extLst>
        </c:ser>
        <c:ser>
          <c:idx val="1"/>
          <c:order val="1"/>
          <c:tx>
            <c:strRef>
              <c:f>'tablas dinamicas 2'!$C$44:$C$45</c:f>
              <c:strCache>
                <c:ptCount val="1"/>
                <c:pt idx="0">
                  <c:v>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6000"/>
                    <a:shade val="51000"/>
                    <a:satMod val="130000"/>
                  </a:schemeClr>
                </a:gs>
                <a:gs pos="80000">
                  <a:schemeClr val="accent1">
                    <a:shade val="86000"/>
                    <a:shade val="93000"/>
                    <a:satMod val="130000"/>
                  </a:schemeClr>
                </a:gs>
                <a:gs pos="100000">
                  <a:schemeClr val="accent1">
                    <a:shade val="86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'tablas dinamicas 2'!$A$46:$A$50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dinamicas 2'!$C$46:$C$50</c:f>
              <c:numCache>
                <c:formatCode>General</c:formatCode>
                <c:ptCount val="4"/>
                <c:pt idx="0">
                  <c:v>12</c:v>
                </c:pt>
                <c:pt idx="1">
                  <c:v>67</c:v>
                </c:pt>
                <c:pt idx="2">
                  <c:v>53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2A0-4285-BB84-F2A25F15C5F1}"/>
            </c:ext>
          </c:extLst>
        </c:ser>
        <c:ser>
          <c:idx val="2"/>
          <c:order val="2"/>
          <c:tx>
            <c:strRef>
              <c:f>'tablas dinamicas 2'!$D$44:$D$45</c:f>
              <c:strCache>
                <c:ptCount val="1"/>
                <c:pt idx="0">
                  <c:v>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6000"/>
                    <a:shade val="51000"/>
                    <a:satMod val="130000"/>
                  </a:schemeClr>
                </a:gs>
                <a:gs pos="80000">
                  <a:schemeClr val="accent1">
                    <a:tint val="86000"/>
                    <a:shade val="93000"/>
                    <a:satMod val="130000"/>
                  </a:schemeClr>
                </a:gs>
                <a:gs pos="100000">
                  <a:schemeClr val="accent1">
                    <a:tint val="86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'tablas dinamicas 2'!$A$46:$A$50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dinamicas 2'!$D$46:$D$50</c:f>
              <c:numCache>
                <c:formatCode>General</c:formatCode>
                <c:ptCount val="4"/>
                <c:pt idx="0">
                  <c:v>62</c:v>
                </c:pt>
                <c:pt idx="1">
                  <c:v>323</c:v>
                </c:pt>
                <c:pt idx="2">
                  <c:v>199</c:v>
                </c:pt>
                <c:pt idx="3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2A0-4285-BB84-F2A25F15C5F1}"/>
            </c:ext>
          </c:extLst>
        </c:ser>
        <c:ser>
          <c:idx val="3"/>
          <c:order val="3"/>
          <c:tx>
            <c:strRef>
              <c:f>'tablas dinamicas 2'!$E$44:$E$45</c:f>
              <c:strCache>
                <c:ptCount val="1"/>
                <c:pt idx="0">
                  <c:v>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8000"/>
                    <a:shade val="51000"/>
                    <a:satMod val="130000"/>
                  </a:schemeClr>
                </a:gs>
                <a:gs pos="80000">
                  <a:schemeClr val="accent1">
                    <a:tint val="58000"/>
                    <a:shade val="93000"/>
                    <a:satMod val="130000"/>
                  </a:schemeClr>
                </a:gs>
                <a:gs pos="100000">
                  <a:schemeClr val="accent1">
                    <a:tint val="58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'tablas dinamicas 2'!$A$46:$A$50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dinamicas 2'!$E$46:$E$50</c:f>
              <c:numCache>
                <c:formatCode>General</c:formatCode>
                <c:ptCount val="4"/>
                <c:pt idx="0">
                  <c:v>7</c:v>
                </c:pt>
                <c:pt idx="1">
                  <c:v>16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2A0-4285-BB84-F2A25F15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4494080"/>
        <c:axId val="944496048"/>
        <c:axId val="716717576"/>
      </c:bar3DChart>
      <c:catAx>
        <c:axId val="94449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44496048"/>
        <c:crosses val="autoZero"/>
        <c:auto val="1"/>
        <c:lblAlgn val="ctr"/>
        <c:lblOffset val="100"/>
        <c:noMultiLvlLbl val="0"/>
      </c:catAx>
      <c:valAx>
        <c:axId val="9444960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44494080"/>
        <c:crosses val="autoZero"/>
        <c:crossBetween val="between"/>
      </c:valAx>
      <c:serAx>
        <c:axId val="7167175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44496048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2!TablaDinámica3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 2'!$B$137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 2'!$A$138:$A$247</c:f>
              <c:strCache>
                <c:ptCount val="109"/>
                <c:pt idx="0">
                  <c:v>IDEQ_01</c:v>
                </c:pt>
                <c:pt idx="1">
                  <c:v>IDEQ_02</c:v>
                </c:pt>
                <c:pt idx="2">
                  <c:v>IDEQ_03</c:v>
                </c:pt>
                <c:pt idx="3">
                  <c:v>IDEQ_04</c:v>
                </c:pt>
                <c:pt idx="4">
                  <c:v>IDEQ_05</c:v>
                </c:pt>
                <c:pt idx="5">
                  <c:v>IDEQ_06</c:v>
                </c:pt>
                <c:pt idx="6">
                  <c:v>IDEQ_07</c:v>
                </c:pt>
                <c:pt idx="7">
                  <c:v>IDEQ_08</c:v>
                </c:pt>
                <c:pt idx="8">
                  <c:v>IDEQ_09</c:v>
                </c:pt>
                <c:pt idx="9">
                  <c:v>IDEQ_10</c:v>
                </c:pt>
                <c:pt idx="10">
                  <c:v>IDEQ_11</c:v>
                </c:pt>
                <c:pt idx="11">
                  <c:v>IDEQ_12</c:v>
                </c:pt>
                <c:pt idx="12">
                  <c:v>IDEQ_13</c:v>
                </c:pt>
                <c:pt idx="13">
                  <c:v>IDEQ_14</c:v>
                </c:pt>
                <c:pt idx="14">
                  <c:v>IDEQ_15</c:v>
                </c:pt>
                <c:pt idx="15">
                  <c:v>IDEQ_16</c:v>
                </c:pt>
                <c:pt idx="16">
                  <c:v>IDEQ_17</c:v>
                </c:pt>
                <c:pt idx="17">
                  <c:v>IDEQ_18</c:v>
                </c:pt>
                <c:pt idx="18">
                  <c:v>IDEQ_19</c:v>
                </c:pt>
                <c:pt idx="19">
                  <c:v>IDEQ_20</c:v>
                </c:pt>
                <c:pt idx="20">
                  <c:v>IDEQ_21</c:v>
                </c:pt>
                <c:pt idx="21">
                  <c:v>IDEQ_22</c:v>
                </c:pt>
                <c:pt idx="22">
                  <c:v>IDEQ_23</c:v>
                </c:pt>
                <c:pt idx="23">
                  <c:v>IDEQ_24</c:v>
                </c:pt>
                <c:pt idx="24">
                  <c:v>IDEQ_25</c:v>
                </c:pt>
                <c:pt idx="25">
                  <c:v>IDEQ_26</c:v>
                </c:pt>
                <c:pt idx="26">
                  <c:v>IDEQ_27</c:v>
                </c:pt>
                <c:pt idx="27">
                  <c:v>IDEQ_28</c:v>
                </c:pt>
                <c:pt idx="28">
                  <c:v>IDEQ_29</c:v>
                </c:pt>
                <c:pt idx="29">
                  <c:v>IDEQ_30</c:v>
                </c:pt>
                <c:pt idx="30">
                  <c:v>IDEQ_31</c:v>
                </c:pt>
                <c:pt idx="31">
                  <c:v>IDEQ_32</c:v>
                </c:pt>
                <c:pt idx="32">
                  <c:v>IDEQ_33</c:v>
                </c:pt>
                <c:pt idx="33">
                  <c:v>IDEQ_34</c:v>
                </c:pt>
                <c:pt idx="34">
                  <c:v>IDEQ_35</c:v>
                </c:pt>
                <c:pt idx="35">
                  <c:v>IDEQ_36</c:v>
                </c:pt>
                <c:pt idx="36">
                  <c:v>IDEQ_37</c:v>
                </c:pt>
                <c:pt idx="37">
                  <c:v>IDEQ_38</c:v>
                </c:pt>
                <c:pt idx="38">
                  <c:v>IDEQ_39</c:v>
                </c:pt>
                <c:pt idx="39">
                  <c:v>IDEQ_40</c:v>
                </c:pt>
                <c:pt idx="40">
                  <c:v>IDEQ_41</c:v>
                </c:pt>
                <c:pt idx="41">
                  <c:v>IDEQ_42</c:v>
                </c:pt>
                <c:pt idx="42">
                  <c:v>IDEQ_43</c:v>
                </c:pt>
                <c:pt idx="43">
                  <c:v>IDEQ_44</c:v>
                </c:pt>
                <c:pt idx="44">
                  <c:v>IDEQ_45</c:v>
                </c:pt>
                <c:pt idx="45">
                  <c:v>IDEQ_46</c:v>
                </c:pt>
                <c:pt idx="46">
                  <c:v>IDEQ_47</c:v>
                </c:pt>
                <c:pt idx="47">
                  <c:v>IDEQ_48</c:v>
                </c:pt>
                <c:pt idx="48">
                  <c:v>IDEQ_49</c:v>
                </c:pt>
                <c:pt idx="49">
                  <c:v>IDEQ_50</c:v>
                </c:pt>
                <c:pt idx="50">
                  <c:v>IDEQ_51</c:v>
                </c:pt>
                <c:pt idx="51">
                  <c:v>IDEQ_52</c:v>
                </c:pt>
                <c:pt idx="52">
                  <c:v>IDEQ_53</c:v>
                </c:pt>
                <c:pt idx="53">
                  <c:v>IDEQ_54</c:v>
                </c:pt>
                <c:pt idx="54">
                  <c:v>IDEQ_55</c:v>
                </c:pt>
                <c:pt idx="55">
                  <c:v>IDEQ_56</c:v>
                </c:pt>
                <c:pt idx="56">
                  <c:v>IDEQ_57</c:v>
                </c:pt>
                <c:pt idx="57">
                  <c:v>IDEQ_58</c:v>
                </c:pt>
                <c:pt idx="58">
                  <c:v>IDEQ_59</c:v>
                </c:pt>
                <c:pt idx="59">
                  <c:v>IDEQ_60</c:v>
                </c:pt>
                <c:pt idx="60">
                  <c:v>IDEQ_61</c:v>
                </c:pt>
                <c:pt idx="61">
                  <c:v>IDEQ_62</c:v>
                </c:pt>
                <c:pt idx="62">
                  <c:v>IDEQ_63</c:v>
                </c:pt>
                <c:pt idx="63">
                  <c:v>IDEQ_64</c:v>
                </c:pt>
                <c:pt idx="64">
                  <c:v>IDEQ_65</c:v>
                </c:pt>
                <c:pt idx="65">
                  <c:v>IDEQ_66</c:v>
                </c:pt>
                <c:pt idx="66">
                  <c:v>IDEQ_67</c:v>
                </c:pt>
                <c:pt idx="67">
                  <c:v>IDEQ_68</c:v>
                </c:pt>
                <c:pt idx="68">
                  <c:v>IDEQ_69</c:v>
                </c:pt>
                <c:pt idx="69">
                  <c:v>IDEQ_70</c:v>
                </c:pt>
                <c:pt idx="70">
                  <c:v>IDEQ_71</c:v>
                </c:pt>
                <c:pt idx="71">
                  <c:v>IDEQ_72</c:v>
                </c:pt>
                <c:pt idx="72">
                  <c:v>IDEQ_73</c:v>
                </c:pt>
                <c:pt idx="73">
                  <c:v>IDEQ_74</c:v>
                </c:pt>
                <c:pt idx="74">
                  <c:v>IDEQ_75</c:v>
                </c:pt>
                <c:pt idx="75">
                  <c:v>IDEQ_76</c:v>
                </c:pt>
                <c:pt idx="76">
                  <c:v>IDEQ_77</c:v>
                </c:pt>
                <c:pt idx="77">
                  <c:v>IDEQ_78</c:v>
                </c:pt>
                <c:pt idx="78">
                  <c:v>IDEQ_79</c:v>
                </c:pt>
                <c:pt idx="79">
                  <c:v>IDEQ_80</c:v>
                </c:pt>
                <c:pt idx="80">
                  <c:v>IDEQ_81</c:v>
                </c:pt>
                <c:pt idx="81">
                  <c:v>IDEQ_82</c:v>
                </c:pt>
                <c:pt idx="82">
                  <c:v>IDEQ_83</c:v>
                </c:pt>
                <c:pt idx="83">
                  <c:v>IDEQ_84</c:v>
                </c:pt>
                <c:pt idx="84">
                  <c:v>IDEQ_85</c:v>
                </c:pt>
                <c:pt idx="85">
                  <c:v>IDEQ_86</c:v>
                </c:pt>
                <c:pt idx="86">
                  <c:v>IDEQ_87</c:v>
                </c:pt>
                <c:pt idx="87">
                  <c:v>IDEQ_88</c:v>
                </c:pt>
                <c:pt idx="88">
                  <c:v>IDEQ_89</c:v>
                </c:pt>
                <c:pt idx="89">
                  <c:v>IDEQ_90</c:v>
                </c:pt>
                <c:pt idx="90">
                  <c:v>IDEQ_91</c:v>
                </c:pt>
                <c:pt idx="91">
                  <c:v>IDEQ_92</c:v>
                </c:pt>
                <c:pt idx="92">
                  <c:v>IDEQ_93</c:v>
                </c:pt>
                <c:pt idx="93">
                  <c:v>IDEQ_94</c:v>
                </c:pt>
                <c:pt idx="94">
                  <c:v>IDEQ_95</c:v>
                </c:pt>
                <c:pt idx="95">
                  <c:v>IDEQ_96</c:v>
                </c:pt>
                <c:pt idx="96">
                  <c:v>IDEQ_97</c:v>
                </c:pt>
                <c:pt idx="97">
                  <c:v>IDEQ_98</c:v>
                </c:pt>
                <c:pt idx="98">
                  <c:v>IDEQ_99</c:v>
                </c:pt>
                <c:pt idx="99">
                  <c:v>IDEQ_100</c:v>
                </c:pt>
                <c:pt idx="100">
                  <c:v>IDEQ_101</c:v>
                </c:pt>
                <c:pt idx="101">
                  <c:v>IDEQ_102</c:v>
                </c:pt>
                <c:pt idx="102">
                  <c:v>IDEQ_103</c:v>
                </c:pt>
                <c:pt idx="103">
                  <c:v>IDEQ_104</c:v>
                </c:pt>
                <c:pt idx="104">
                  <c:v>IDEQ_105</c:v>
                </c:pt>
                <c:pt idx="105">
                  <c:v>IDEQ_106</c:v>
                </c:pt>
                <c:pt idx="106">
                  <c:v>IDEQ_107</c:v>
                </c:pt>
                <c:pt idx="107">
                  <c:v>IDEQ_108</c:v>
                </c:pt>
                <c:pt idx="108">
                  <c:v>IDEQ_109</c:v>
                </c:pt>
              </c:strCache>
            </c:strRef>
          </c:cat>
          <c:val>
            <c:numRef>
              <c:f>'tablas dinamicas 2'!$B$138:$B$247</c:f>
              <c:numCache>
                <c:formatCode>General</c:formatCode>
                <c:ptCount val="109"/>
                <c:pt idx="0">
                  <c:v>43.5</c:v>
                </c:pt>
                <c:pt idx="1">
                  <c:v>13.5</c:v>
                </c:pt>
                <c:pt idx="2">
                  <c:v>18</c:v>
                </c:pt>
                <c:pt idx="3">
                  <c:v>16</c:v>
                </c:pt>
                <c:pt idx="4">
                  <c:v>72.5</c:v>
                </c:pt>
                <c:pt idx="5">
                  <c:v>5</c:v>
                </c:pt>
                <c:pt idx="6">
                  <c:v>9</c:v>
                </c:pt>
                <c:pt idx="7">
                  <c:v>29.5</c:v>
                </c:pt>
                <c:pt idx="8">
                  <c:v>1</c:v>
                </c:pt>
                <c:pt idx="9">
                  <c:v>7.5</c:v>
                </c:pt>
                <c:pt idx="10">
                  <c:v>17</c:v>
                </c:pt>
                <c:pt idx="11">
                  <c:v>72.599999999999994</c:v>
                </c:pt>
                <c:pt idx="12">
                  <c:v>40.5</c:v>
                </c:pt>
                <c:pt idx="13">
                  <c:v>20.5</c:v>
                </c:pt>
                <c:pt idx="14">
                  <c:v>49.5</c:v>
                </c:pt>
                <c:pt idx="15">
                  <c:v>43.5</c:v>
                </c:pt>
                <c:pt idx="16">
                  <c:v>9</c:v>
                </c:pt>
                <c:pt idx="17">
                  <c:v>39.5</c:v>
                </c:pt>
                <c:pt idx="18">
                  <c:v>29.5</c:v>
                </c:pt>
                <c:pt idx="19">
                  <c:v>67.5</c:v>
                </c:pt>
                <c:pt idx="20">
                  <c:v>1</c:v>
                </c:pt>
                <c:pt idx="21">
                  <c:v>9</c:v>
                </c:pt>
                <c:pt idx="22">
                  <c:v>50</c:v>
                </c:pt>
                <c:pt idx="23">
                  <c:v>47</c:v>
                </c:pt>
                <c:pt idx="24">
                  <c:v>42.5</c:v>
                </c:pt>
                <c:pt idx="25">
                  <c:v>31</c:v>
                </c:pt>
                <c:pt idx="26">
                  <c:v>4</c:v>
                </c:pt>
                <c:pt idx="27">
                  <c:v>26.5</c:v>
                </c:pt>
                <c:pt idx="28">
                  <c:v>3</c:v>
                </c:pt>
                <c:pt idx="29">
                  <c:v>41</c:v>
                </c:pt>
                <c:pt idx="30">
                  <c:v>45.5</c:v>
                </c:pt>
                <c:pt idx="31">
                  <c:v>16</c:v>
                </c:pt>
                <c:pt idx="32">
                  <c:v>11</c:v>
                </c:pt>
                <c:pt idx="33">
                  <c:v>51.5</c:v>
                </c:pt>
                <c:pt idx="34">
                  <c:v>1</c:v>
                </c:pt>
                <c:pt idx="35">
                  <c:v>39</c:v>
                </c:pt>
                <c:pt idx="36">
                  <c:v>6</c:v>
                </c:pt>
                <c:pt idx="37">
                  <c:v>14</c:v>
                </c:pt>
                <c:pt idx="38">
                  <c:v>13</c:v>
                </c:pt>
                <c:pt idx="39">
                  <c:v>1.5</c:v>
                </c:pt>
                <c:pt idx="40">
                  <c:v>3</c:v>
                </c:pt>
                <c:pt idx="41">
                  <c:v>10</c:v>
                </c:pt>
                <c:pt idx="42">
                  <c:v>1.5</c:v>
                </c:pt>
                <c:pt idx="43">
                  <c:v>44</c:v>
                </c:pt>
                <c:pt idx="44">
                  <c:v>7.5</c:v>
                </c:pt>
                <c:pt idx="45">
                  <c:v>34</c:v>
                </c:pt>
                <c:pt idx="46">
                  <c:v>26.5</c:v>
                </c:pt>
                <c:pt idx="47">
                  <c:v>54</c:v>
                </c:pt>
                <c:pt idx="48">
                  <c:v>5.5</c:v>
                </c:pt>
                <c:pt idx="49">
                  <c:v>2.5</c:v>
                </c:pt>
                <c:pt idx="50">
                  <c:v>10</c:v>
                </c:pt>
                <c:pt idx="51">
                  <c:v>9</c:v>
                </c:pt>
                <c:pt idx="52">
                  <c:v>1</c:v>
                </c:pt>
                <c:pt idx="53">
                  <c:v>12.5</c:v>
                </c:pt>
                <c:pt idx="54">
                  <c:v>4</c:v>
                </c:pt>
                <c:pt idx="55">
                  <c:v>34</c:v>
                </c:pt>
                <c:pt idx="56">
                  <c:v>36</c:v>
                </c:pt>
                <c:pt idx="57">
                  <c:v>2.5</c:v>
                </c:pt>
                <c:pt idx="58">
                  <c:v>9.5</c:v>
                </c:pt>
                <c:pt idx="59">
                  <c:v>8</c:v>
                </c:pt>
                <c:pt idx="60">
                  <c:v>0</c:v>
                </c:pt>
                <c:pt idx="61">
                  <c:v>2.5</c:v>
                </c:pt>
                <c:pt idx="62">
                  <c:v>4.5</c:v>
                </c:pt>
                <c:pt idx="63">
                  <c:v>25</c:v>
                </c:pt>
                <c:pt idx="64">
                  <c:v>26.5</c:v>
                </c:pt>
                <c:pt idx="65">
                  <c:v>16</c:v>
                </c:pt>
                <c:pt idx="66">
                  <c:v>28</c:v>
                </c:pt>
                <c:pt idx="67">
                  <c:v>2</c:v>
                </c:pt>
                <c:pt idx="68">
                  <c:v>2</c:v>
                </c:pt>
                <c:pt idx="69">
                  <c:v>11</c:v>
                </c:pt>
                <c:pt idx="70">
                  <c:v>22.5</c:v>
                </c:pt>
                <c:pt idx="71">
                  <c:v>3.5</c:v>
                </c:pt>
                <c:pt idx="72">
                  <c:v>6.5</c:v>
                </c:pt>
                <c:pt idx="73">
                  <c:v>3</c:v>
                </c:pt>
                <c:pt idx="74">
                  <c:v>20</c:v>
                </c:pt>
                <c:pt idx="75">
                  <c:v>25.5</c:v>
                </c:pt>
                <c:pt idx="76">
                  <c:v>5</c:v>
                </c:pt>
                <c:pt idx="77">
                  <c:v>12</c:v>
                </c:pt>
                <c:pt idx="78">
                  <c:v>0.5</c:v>
                </c:pt>
                <c:pt idx="79">
                  <c:v>3</c:v>
                </c:pt>
                <c:pt idx="80">
                  <c:v>2</c:v>
                </c:pt>
                <c:pt idx="81">
                  <c:v>28.5</c:v>
                </c:pt>
                <c:pt idx="82">
                  <c:v>1</c:v>
                </c:pt>
                <c:pt idx="83">
                  <c:v>1</c:v>
                </c:pt>
                <c:pt idx="84">
                  <c:v>9</c:v>
                </c:pt>
                <c:pt idx="85">
                  <c:v>5.5</c:v>
                </c:pt>
                <c:pt idx="86">
                  <c:v>9</c:v>
                </c:pt>
                <c:pt idx="87">
                  <c:v>10</c:v>
                </c:pt>
                <c:pt idx="88">
                  <c:v>16.5</c:v>
                </c:pt>
                <c:pt idx="89">
                  <c:v>5</c:v>
                </c:pt>
                <c:pt idx="90">
                  <c:v>13</c:v>
                </c:pt>
                <c:pt idx="91">
                  <c:v>6.5</c:v>
                </c:pt>
                <c:pt idx="92">
                  <c:v>14.5</c:v>
                </c:pt>
                <c:pt idx="93">
                  <c:v>1</c:v>
                </c:pt>
                <c:pt idx="94">
                  <c:v>5</c:v>
                </c:pt>
                <c:pt idx="95">
                  <c:v>6</c:v>
                </c:pt>
                <c:pt idx="96">
                  <c:v>3</c:v>
                </c:pt>
                <c:pt idx="97">
                  <c:v>2.5</c:v>
                </c:pt>
                <c:pt idx="98">
                  <c:v>1</c:v>
                </c:pt>
                <c:pt idx="99">
                  <c:v>41.5</c:v>
                </c:pt>
                <c:pt idx="100">
                  <c:v>30</c:v>
                </c:pt>
                <c:pt idx="101">
                  <c:v>3</c:v>
                </c:pt>
                <c:pt idx="102">
                  <c:v>2</c:v>
                </c:pt>
                <c:pt idx="103">
                  <c:v>5</c:v>
                </c:pt>
                <c:pt idx="104">
                  <c:v>8</c:v>
                </c:pt>
                <c:pt idx="105">
                  <c:v>4</c:v>
                </c:pt>
                <c:pt idx="106">
                  <c:v>6</c:v>
                </c:pt>
                <c:pt idx="107">
                  <c:v>1</c:v>
                </c:pt>
                <c:pt idx="10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A0-4E15-8C81-0541FFAC3D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165792456"/>
        <c:axId val="1165787864"/>
      </c:barChart>
      <c:catAx>
        <c:axId val="1165792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65787864"/>
        <c:crosses val="autoZero"/>
        <c:auto val="1"/>
        <c:lblAlgn val="ctr"/>
        <c:lblOffset val="100"/>
        <c:noMultiLvlLbl val="0"/>
      </c:catAx>
      <c:valAx>
        <c:axId val="11657878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6579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[indicadores_mant.xlsm]tablas dinamicas 2!TablaDinámica5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hade val="76000"/>
                  <a:shade val="51000"/>
                  <a:satMod val="130000"/>
                </a:schemeClr>
              </a:gs>
              <a:gs pos="80000">
                <a:schemeClr val="accent1">
                  <a:shade val="76000"/>
                  <a:shade val="93000"/>
                  <a:satMod val="130000"/>
                </a:schemeClr>
              </a:gs>
              <a:gs pos="100000">
                <a:schemeClr val="accent1">
                  <a:shade val="76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hade val="65000"/>
                  <a:shade val="51000"/>
                  <a:satMod val="130000"/>
                </a:schemeClr>
              </a:gs>
              <a:gs pos="80000">
                <a:schemeClr val="accent1">
                  <a:shade val="65000"/>
                  <a:shade val="93000"/>
                  <a:satMod val="130000"/>
                </a:schemeClr>
              </a:gs>
              <a:gs pos="100000">
                <a:schemeClr val="accent1">
                  <a:shade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9"/>
        <c:spPr>
          <a:gradFill rotWithShape="1">
            <a:gsLst>
              <a:gs pos="0">
                <a:schemeClr val="accent1">
                  <a:shade val="65000"/>
                  <a:shade val="51000"/>
                  <a:satMod val="130000"/>
                </a:schemeClr>
              </a:gs>
              <a:gs pos="80000">
                <a:schemeClr val="accent1">
                  <a:shade val="65000"/>
                  <a:shade val="93000"/>
                  <a:satMod val="130000"/>
                </a:schemeClr>
              </a:gs>
              <a:gs pos="100000">
                <a:schemeClr val="accent1">
                  <a:shade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0"/>
        <c:spPr>
          <a:gradFill rotWithShape="1">
            <a:gsLst>
              <a:gs pos="0">
                <a:schemeClr val="accent1">
                  <a:tint val="30000"/>
                  <a:shade val="51000"/>
                  <a:satMod val="130000"/>
                </a:schemeClr>
              </a:gs>
              <a:gs pos="80000">
                <a:schemeClr val="accent1">
                  <a:tint val="30000"/>
                  <a:shade val="93000"/>
                  <a:satMod val="130000"/>
                </a:schemeClr>
              </a:gs>
              <a:gs pos="100000">
                <a:schemeClr val="accent1">
                  <a:tint val="3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1"/>
        <c:spPr>
          <a:gradFill rotWithShape="1">
            <a:gsLst>
              <a:gs pos="0">
                <a:schemeClr val="accent1">
                  <a:shade val="65000"/>
                  <a:shade val="51000"/>
                  <a:satMod val="130000"/>
                </a:schemeClr>
              </a:gs>
              <a:gs pos="80000">
                <a:schemeClr val="accent1">
                  <a:shade val="65000"/>
                  <a:shade val="93000"/>
                  <a:satMod val="130000"/>
                </a:schemeClr>
              </a:gs>
              <a:gs pos="100000">
                <a:schemeClr val="accent1">
                  <a:shade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2"/>
        <c:spPr>
          <a:gradFill rotWithShape="1">
            <a:gsLst>
              <a:gs pos="0">
                <a:schemeClr val="accent1">
                  <a:shade val="65000"/>
                  <a:shade val="51000"/>
                  <a:satMod val="130000"/>
                </a:schemeClr>
              </a:gs>
              <a:gs pos="80000">
                <a:schemeClr val="accent1">
                  <a:shade val="65000"/>
                  <a:shade val="93000"/>
                  <a:satMod val="130000"/>
                </a:schemeClr>
              </a:gs>
              <a:gs pos="100000">
                <a:schemeClr val="accent1">
                  <a:shade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3"/>
        <c:spPr>
          <a:gradFill rotWithShape="1">
            <a:gsLst>
              <a:gs pos="0">
                <a:schemeClr val="accent1">
                  <a:tint val="65000"/>
                  <a:shade val="51000"/>
                  <a:satMod val="130000"/>
                </a:schemeClr>
              </a:gs>
              <a:gs pos="80000">
                <a:schemeClr val="accent1">
                  <a:tint val="65000"/>
                  <a:shade val="93000"/>
                  <a:satMod val="130000"/>
                </a:schemeClr>
              </a:gs>
              <a:gs pos="100000">
                <a:schemeClr val="accent1">
                  <a:tint val="65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1"/>
        <c:spPr>
          <a:gradFill rotWithShape="1">
            <a:gsLst>
              <a:gs pos="0">
                <a:schemeClr val="accent1">
                  <a:shade val="58000"/>
                  <a:shade val="51000"/>
                  <a:satMod val="130000"/>
                </a:schemeClr>
              </a:gs>
              <a:gs pos="80000">
                <a:schemeClr val="accent1">
                  <a:shade val="58000"/>
                  <a:shade val="93000"/>
                  <a:satMod val="130000"/>
                </a:schemeClr>
              </a:gs>
              <a:gs pos="100000">
                <a:schemeClr val="accent1">
                  <a:shade val="58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2"/>
        <c:spPr>
          <a:gradFill rotWithShape="1">
            <a:gsLst>
              <a:gs pos="0">
                <a:schemeClr val="accent1">
                  <a:shade val="86000"/>
                  <a:shade val="51000"/>
                  <a:satMod val="130000"/>
                </a:schemeClr>
              </a:gs>
              <a:gs pos="80000">
                <a:schemeClr val="accent1">
                  <a:shade val="86000"/>
                  <a:shade val="93000"/>
                  <a:satMod val="130000"/>
                </a:schemeClr>
              </a:gs>
              <a:gs pos="100000">
                <a:schemeClr val="accent1">
                  <a:shade val="86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3"/>
        <c:spPr>
          <a:gradFill rotWithShape="1">
            <a:gsLst>
              <a:gs pos="0">
                <a:schemeClr val="accent1">
                  <a:tint val="86000"/>
                  <a:shade val="51000"/>
                  <a:satMod val="130000"/>
                </a:schemeClr>
              </a:gs>
              <a:gs pos="80000">
                <a:schemeClr val="accent1">
                  <a:tint val="86000"/>
                  <a:shade val="93000"/>
                  <a:satMod val="130000"/>
                </a:schemeClr>
              </a:gs>
              <a:gs pos="100000">
                <a:schemeClr val="accent1">
                  <a:tint val="86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4"/>
        <c:spPr>
          <a:gradFill rotWithShape="1">
            <a:gsLst>
              <a:gs pos="0">
                <a:schemeClr val="accent1">
                  <a:shade val="58000"/>
                  <a:shade val="51000"/>
                  <a:satMod val="130000"/>
                </a:schemeClr>
              </a:gs>
              <a:gs pos="80000">
                <a:schemeClr val="accent1">
                  <a:shade val="58000"/>
                  <a:shade val="93000"/>
                  <a:satMod val="130000"/>
                </a:schemeClr>
              </a:gs>
              <a:gs pos="100000">
                <a:schemeClr val="accent1">
                  <a:shade val="58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5"/>
        <c:spPr>
          <a:gradFill rotWithShape="1">
            <a:gsLst>
              <a:gs pos="0">
                <a:schemeClr val="accent1">
                  <a:shade val="86000"/>
                  <a:shade val="51000"/>
                  <a:satMod val="130000"/>
                </a:schemeClr>
              </a:gs>
              <a:gs pos="80000">
                <a:schemeClr val="accent1">
                  <a:shade val="86000"/>
                  <a:shade val="93000"/>
                  <a:satMod val="130000"/>
                </a:schemeClr>
              </a:gs>
              <a:gs pos="100000">
                <a:schemeClr val="accent1">
                  <a:shade val="86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6"/>
        <c:spPr>
          <a:gradFill rotWithShape="1">
            <a:gsLst>
              <a:gs pos="0">
                <a:schemeClr val="accent1">
                  <a:tint val="86000"/>
                  <a:shade val="51000"/>
                  <a:satMod val="130000"/>
                </a:schemeClr>
              </a:gs>
              <a:gs pos="80000">
                <a:schemeClr val="accent1">
                  <a:tint val="86000"/>
                  <a:shade val="93000"/>
                  <a:satMod val="130000"/>
                </a:schemeClr>
              </a:gs>
              <a:gs pos="100000">
                <a:schemeClr val="accent1">
                  <a:tint val="86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 2'!$B$269:$B$270</c:f>
              <c:strCache>
                <c:ptCount val="1"/>
                <c:pt idx="0">
                  <c:v>PM03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hade val="51000"/>
                      <a:satMod val="130000"/>
                    </a:schemeClr>
                  </a:gs>
                  <a:gs pos="80000">
                    <a:schemeClr val="accent1">
                      <a:shade val="58000"/>
                      <a:shade val="93000"/>
                      <a:satMod val="130000"/>
                    </a:schemeClr>
                  </a:gs>
                  <a:gs pos="100000">
                    <a:schemeClr val="accent1">
                      <a:shade val="58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AFA0-4E9C-B250-ED53D2D8879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hade val="51000"/>
                      <a:satMod val="130000"/>
                    </a:schemeClr>
                  </a:gs>
                  <a:gs pos="80000">
                    <a:schemeClr val="accent1">
                      <a:shade val="86000"/>
                      <a:shade val="93000"/>
                      <a:satMod val="130000"/>
                    </a:schemeClr>
                  </a:gs>
                  <a:gs pos="100000">
                    <a:schemeClr val="accent1">
                      <a:shade val="86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AFA0-4E9C-B250-ED53D2D8879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hade val="51000"/>
                      <a:satMod val="130000"/>
                    </a:schemeClr>
                  </a:gs>
                  <a:gs pos="80000">
                    <a:schemeClr val="accent1">
                      <a:tint val="86000"/>
                      <a:shade val="93000"/>
                      <a:satMod val="130000"/>
                    </a:schemeClr>
                  </a:gs>
                  <a:gs pos="100000">
                    <a:schemeClr val="accent1">
                      <a:tint val="86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24C4-4304-A56E-B84FB771575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hade val="51000"/>
                      <a:satMod val="130000"/>
                    </a:schemeClr>
                  </a:gs>
                  <a:gs pos="80000">
                    <a:schemeClr val="accent1">
                      <a:tint val="58000"/>
                      <a:shade val="93000"/>
                      <a:satMod val="130000"/>
                    </a:schemeClr>
                  </a:gs>
                  <a:gs pos="100000">
                    <a:schemeClr val="accent1">
                      <a:tint val="58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5F50-49D3-99A9-5BDB89B4B9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 2'!$A$271:$A$275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dinamicas 2'!$B$271:$B$275</c:f>
              <c:numCache>
                <c:formatCode>General</c:formatCode>
                <c:ptCount val="4"/>
                <c:pt idx="0">
                  <c:v>2</c:v>
                </c:pt>
                <c:pt idx="1">
                  <c:v>127</c:v>
                </c:pt>
                <c:pt idx="2">
                  <c:v>72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0-456F-84E9-89191AC2F1A3}"/>
            </c:ext>
          </c:extLst>
        </c:ser>
        <c:ser>
          <c:idx val="1"/>
          <c:order val="1"/>
          <c:tx>
            <c:strRef>
              <c:f>'tablas dinamicas 2'!$C$269:$C$270</c:f>
              <c:strCache>
                <c:ptCount val="1"/>
                <c:pt idx="0">
                  <c:v>PM04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hade val="51000"/>
                      <a:satMod val="130000"/>
                    </a:schemeClr>
                  </a:gs>
                  <a:gs pos="80000">
                    <a:schemeClr val="accent1">
                      <a:shade val="58000"/>
                      <a:shade val="93000"/>
                      <a:satMod val="130000"/>
                    </a:schemeClr>
                  </a:gs>
                  <a:gs pos="100000">
                    <a:schemeClr val="accent1">
                      <a:shade val="58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D365-4880-837F-DB32AC2CD45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hade val="51000"/>
                      <a:satMod val="130000"/>
                    </a:schemeClr>
                  </a:gs>
                  <a:gs pos="80000">
                    <a:schemeClr val="accent1">
                      <a:shade val="86000"/>
                      <a:shade val="93000"/>
                      <a:satMod val="130000"/>
                    </a:schemeClr>
                  </a:gs>
                  <a:gs pos="100000">
                    <a:schemeClr val="accent1">
                      <a:shade val="86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6A4B-4311-904F-D6A69052D97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hade val="51000"/>
                      <a:satMod val="130000"/>
                    </a:schemeClr>
                  </a:gs>
                  <a:gs pos="80000">
                    <a:schemeClr val="accent1">
                      <a:tint val="86000"/>
                      <a:shade val="93000"/>
                      <a:satMod val="130000"/>
                    </a:schemeClr>
                  </a:gs>
                  <a:gs pos="100000">
                    <a:schemeClr val="accent1">
                      <a:tint val="86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6A4B-4311-904F-D6A69052D97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hade val="51000"/>
                      <a:satMod val="130000"/>
                    </a:schemeClr>
                  </a:gs>
                  <a:gs pos="80000">
                    <a:schemeClr val="accent1">
                      <a:tint val="58000"/>
                      <a:shade val="93000"/>
                      <a:satMod val="130000"/>
                    </a:schemeClr>
                  </a:gs>
                  <a:gs pos="100000">
                    <a:schemeClr val="accent1">
                      <a:tint val="58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6A4B-4311-904F-D6A69052D97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 2'!$A$271:$A$275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dinamicas 2'!$C$271:$C$275</c:f>
              <c:numCache>
                <c:formatCode>General</c:formatCode>
                <c:ptCount val="4"/>
                <c:pt idx="0">
                  <c:v>85</c:v>
                </c:pt>
                <c:pt idx="1">
                  <c:v>285</c:v>
                </c:pt>
                <c:pt idx="2">
                  <c:v>191</c:v>
                </c:pt>
                <c:pt idx="3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CE2-4C22-92FF-BF54B8049C8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2!TablaDinámica6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680440771349863E-2"/>
          <c:y val="4.6715321307305581E-2"/>
          <c:w val="0.86639118457300279"/>
          <c:h val="0.70735671285986357"/>
        </c:manualLayout>
      </c:layout>
      <c:lineChart>
        <c:grouping val="standard"/>
        <c:varyColors val="0"/>
        <c:ser>
          <c:idx val="0"/>
          <c:order val="0"/>
          <c:tx>
            <c:strRef>
              <c:f>'tablas dinamicas 2'!$B$329</c:f>
              <c:strCache>
                <c:ptCount val="1"/>
                <c:pt idx="0">
                  <c:v>Suma de TURNO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 2'!$A$330:$A$439</c:f>
              <c:strCache>
                <c:ptCount val="109"/>
                <c:pt idx="0">
                  <c:v>IDEQ_01</c:v>
                </c:pt>
                <c:pt idx="1">
                  <c:v>IDEQ_02</c:v>
                </c:pt>
                <c:pt idx="2">
                  <c:v>IDEQ_03</c:v>
                </c:pt>
                <c:pt idx="3">
                  <c:v>IDEQ_04</c:v>
                </c:pt>
                <c:pt idx="4">
                  <c:v>IDEQ_05</c:v>
                </c:pt>
                <c:pt idx="5">
                  <c:v>IDEQ_06</c:v>
                </c:pt>
                <c:pt idx="6">
                  <c:v>IDEQ_07</c:v>
                </c:pt>
                <c:pt idx="7">
                  <c:v>IDEQ_08</c:v>
                </c:pt>
                <c:pt idx="8">
                  <c:v>IDEQ_09</c:v>
                </c:pt>
                <c:pt idx="9">
                  <c:v>IDEQ_10</c:v>
                </c:pt>
                <c:pt idx="10">
                  <c:v>IDEQ_100</c:v>
                </c:pt>
                <c:pt idx="11">
                  <c:v>IDEQ_101</c:v>
                </c:pt>
                <c:pt idx="12">
                  <c:v>IDEQ_102</c:v>
                </c:pt>
                <c:pt idx="13">
                  <c:v>IDEQ_103</c:v>
                </c:pt>
                <c:pt idx="14">
                  <c:v>IDEQ_104</c:v>
                </c:pt>
                <c:pt idx="15">
                  <c:v>IDEQ_105</c:v>
                </c:pt>
                <c:pt idx="16">
                  <c:v>IDEQ_106</c:v>
                </c:pt>
                <c:pt idx="17">
                  <c:v>IDEQ_107</c:v>
                </c:pt>
                <c:pt idx="18">
                  <c:v>IDEQ_108</c:v>
                </c:pt>
                <c:pt idx="19">
                  <c:v>IDEQ_109</c:v>
                </c:pt>
                <c:pt idx="20">
                  <c:v>IDEQ_11</c:v>
                </c:pt>
                <c:pt idx="21">
                  <c:v>IDEQ_12</c:v>
                </c:pt>
                <c:pt idx="22">
                  <c:v>IDEQ_13</c:v>
                </c:pt>
                <c:pt idx="23">
                  <c:v>IDEQ_14</c:v>
                </c:pt>
                <c:pt idx="24">
                  <c:v>IDEQ_15</c:v>
                </c:pt>
                <c:pt idx="25">
                  <c:v>IDEQ_16</c:v>
                </c:pt>
                <c:pt idx="26">
                  <c:v>IDEQ_17</c:v>
                </c:pt>
                <c:pt idx="27">
                  <c:v>IDEQ_18</c:v>
                </c:pt>
                <c:pt idx="28">
                  <c:v>IDEQ_19</c:v>
                </c:pt>
                <c:pt idx="29">
                  <c:v>IDEQ_20</c:v>
                </c:pt>
                <c:pt idx="30">
                  <c:v>IDEQ_21</c:v>
                </c:pt>
                <c:pt idx="31">
                  <c:v>IDEQ_22</c:v>
                </c:pt>
                <c:pt idx="32">
                  <c:v>IDEQ_23</c:v>
                </c:pt>
                <c:pt idx="33">
                  <c:v>IDEQ_24</c:v>
                </c:pt>
                <c:pt idx="34">
                  <c:v>IDEQ_25</c:v>
                </c:pt>
                <c:pt idx="35">
                  <c:v>IDEQ_26</c:v>
                </c:pt>
                <c:pt idx="36">
                  <c:v>IDEQ_27</c:v>
                </c:pt>
                <c:pt idx="37">
                  <c:v>IDEQ_28</c:v>
                </c:pt>
                <c:pt idx="38">
                  <c:v>IDEQ_29</c:v>
                </c:pt>
                <c:pt idx="39">
                  <c:v>IDEQ_30</c:v>
                </c:pt>
                <c:pt idx="40">
                  <c:v>IDEQ_31</c:v>
                </c:pt>
                <c:pt idx="41">
                  <c:v>IDEQ_32</c:v>
                </c:pt>
                <c:pt idx="42">
                  <c:v>IDEQ_33</c:v>
                </c:pt>
                <c:pt idx="43">
                  <c:v>IDEQ_34</c:v>
                </c:pt>
                <c:pt idx="44">
                  <c:v>IDEQ_35</c:v>
                </c:pt>
                <c:pt idx="45">
                  <c:v>IDEQ_36</c:v>
                </c:pt>
                <c:pt idx="46">
                  <c:v>IDEQ_37</c:v>
                </c:pt>
                <c:pt idx="47">
                  <c:v>IDEQ_38</c:v>
                </c:pt>
                <c:pt idx="48">
                  <c:v>IDEQ_39</c:v>
                </c:pt>
                <c:pt idx="49">
                  <c:v>IDEQ_40</c:v>
                </c:pt>
                <c:pt idx="50">
                  <c:v>IDEQ_41</c:v>
                </c:pt>
                <c:pt idx="51">
                  <c:v>IDEQ_42</c:v>
                </c:pt>
                <c:pt idx="52">
                  <c:v>IDEQ_43</c:v>
                </c:pt>
                <c:pt idx="53">
                  <c:v>IDEQ_44</c:v>
                </c:pt>
                <c:pt idx="54">
                  <c:v>IDEQ_45</c:v>
                </c:pt>
                <c:pt idx="55">
                  <c:v>IDEQ_46</c:v>
                </c:pt>
                <c:pt idx="56">
                  <c:v>IDEQ_47</c:v>
                </c:pt>
                <c:pt idx="57">
                  <c:v>IDEQ_48</c:v>
                </c:pt>
                <c:pt idx="58">
                  <c:v>IDEQ_49</c:v>
                </c:pt>
                <c:pt idx="59">
                  <c:v>IDEQ_50</c:v>
                </c:pt>
                <c:pt idx="60">
                  <c:v>IDEQ_51</c:v>
                </c:pt>
                <c:pt idx="61">
                  <c:v>IDEQ_52</c:v>
                </c:pt>
                <c:pt idx="62">
                  <c:v>IDEQ_53</c:v>
                </c:pt>
                <c:pt idx="63">
                  <c:v>IDEQ_54</c:v>
                </c:pt>
                <c:pt idx="64">
                  <c:v>IDEQ_55</c:v>
                </c:pt>
                <c:pt idx="65">
                  <c:v>IDEQ_56</c:v>
                </c:pt>
                <c:pt idx="66">
                  <c:v>IDEQ_57</c:v>
                </c:pt>
                <c:pt idx="67">
                  <c:v>IDEQ_58</c:v>
                </c:pt>
                <c:pt idx="68">
                  <c:v>IDEQ_59</c:v>
                </c:pt>
                <c:pt idx="69">
                  <c:v>IDEQ_60</c:v>
                </c:pt>
                <c:pt idx="70">
                  <c:v>IDEQ_61</c:v>
                </c:pt>
                <c:pt idx="71">
                  <c:v>IDEQ_62</c:v>
                </c:pt>
                <c:pt idx="72">
                  <c:v>IDEQ_63</c:v>
                </c:pt>
                <c:pt idx="73">
                  <c:v>IDEQ_64</c:v>
                </c:pt>
                <c:pt idx="74">
                  <c:v>IDEQ_65</c:v>
                </c:pt>
                <c:pt idx="75">
                  <c:v>IDEQ_66</c:v>
                </c:pt>
                <c:pt idx="76">
                  <c:v>IDEQ_67</c:v>
                </c:pt>
                <c:pt idx="77">
                  <c:v>IDEQ_68</c:v>
                </c:pt>
                <c:pt idx="78">
                  <c:v>IDEQ_69</c:v>
                </c:pt>
                <c:pt idx="79">
                  <c:v>IDEQ_70</c:v>
                </c:pt>
                <c:pt idx="80">
                  <c:v>IDEQ_71</c:v>
                </c:pt>
                <c:pt idx="81">
                  <c:v>IDEQ_72</c:v>
                </c:pt>
                <c:pt idx="82">
                  <c:v>IDEQ_73</c:v>
                </c:pt>
                <c:pt idx="83">
                  <c:v>IDEQ_74</c:v>
                </c:pt>
                <c:pt idx="84">
                  <c:v>IDEQ_75</c:v>
                </c:pt>
                <c:pt idx="85">
                  <c:v>IDEQ_76</c:v>
                </c:pt>
                <c:pt idx="86">
                  <c:v>IDEQ_77</c:v>
                </c:pt>
                <c:pt idx="87">
                  <c:v>IDEQ_78</c:v>
                </c:pt>
                <c:pt idx="88">
                  <c:v>IDEQ_79</c:v>
                </c:pt>
                <c:pt idx="89">
                  <c:v>IDEQ_80</c:v>
                </c:pt>
                <c:pt idx="90">
                  <c:v>IDEQ_81</c:v>
                </c:pt>
                <c:pt idx="91">
                  <c:v>IDEQ_82</c:v>
                </c:pt>
                <c:pt idx="92">
                  <c:v>IDEQ_83</c:v>
                </c:pt>
                <c:pt idx="93">
                  <c:v>IDEQ_84</c:v>
                </c:pt>
                <c:pt idx="94">
                  <c:v>IDEQ_85</c:v>
                </c:pt>
                <c:pt idx="95">
                  <c:v>IDEQ_86</c:v>
                </c:pt>
                <c:pt idx="96">
                  <c:v>IDEQ_87</c:v>
                </c:pt>
                <c:pt idx="97">
                  <c:v>IDEQ_88</c:v>
                </c:pt>
                <c:pt idx="98">
                  <c:v>IDEQ_89</c:v>
                </c:pt>
                <c:pt idx="99">
                  <c:v>IDEQ_90</c:v>
                </c:pt>
                <c:pt idx="100">
                  <c:v>IDEQ_91</c:v>
                </c:pt>
                <c:pt idx="101">
                  <c:v>IDEQ_92</c:v>
                </c:pt>
                <c:pt idx="102">
                  <c:v>IDEQ_93</c:v>
                </c:pt>
                <c:pt idx="103">
                  <c:v>IDEQ_94</c:v>
                </c:pt>
                <c:pt idx="104">
                  <c:v>IDEQ_95</c:v>
                </c:pt>
                <c:pt idx="105">
                  <c:v>IDEQ_96</c:v>
                </c:pt>
                <c:pt idx="106">
                  <c:v>IDEQ_97</c:v>
                </c:pt>
                <c:pt idx="107">
                  <c:v>IDEQ_98</c:v>
                </c:pt>
                <c:pt idx="108">
                  <c:v>IDEQ_99</c:v>
                </c:pt>
              </c:strCache>
            </c:strRef>
          </c:cat>
          <c:val>
            <c:numRef>
              <c:f>'tablas dinamicas 2'!$B$330:$B$439</c:f>
              <c:numCache>
                <c:formatCode>General</c:formatCode>
                <c:ptCount val="109"/>
                <c:pt idx="0">
                  <c:v>13</c:v>
                </c:pt>
                <c:pt idx="1">
                  <c:v>6</c:v>
                </c:pt>
                <c:pt idx="2">
                  <c:v>2</c:v>
                </c:pt>
                <c:pt idx="3">
                  <c:v>5</c:v>
                </c:pt>
                <c:pt idx="4">
                  <c:v>24</c:v>
                </c:pt>
                <c:pt idx="5">
                  <c:v>1</c:v>
                </c:pt>
                <c:pt idx="6">
                  <c:v>2</c:v>
                </c:pt>
                <c:pt idx="7">
                  <c:v>22</c:v>
                </c:pt>
                <c:pt idx="8">
                  <c:v>1</c:v>
                </c:pt>
                <c:pt idx="9">
                  <c:v>5</c:v>
                </c:pt>
                <c:pt idx="10">
                  <c:v>14</c:v>
                </c:pt>
                <c:pt idx="11">
                  <c:v>10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6</c:v>
                </c:pt>
                <c:pt idx="21">
                  <c:v>40</c:v>
                </c:pt>
                <c:pt idx="22">
                  <c:v>25</c:v>
                </c:pt>
                <c:pt idx="23">
                  <c:v>7</c:v>
                </c:pt>
                <c:pt idx="24">
                  <c:v>32</c:v>
                </c:pt>
                <c:pt idx="25">
                  <c:v>21</c:v>
                </c:pt>
                <c:pt idx="26">
                  <c:v>1</c:v>
                </c:pt>
                <c:pt idx="27">
                  <c:v>31</c:v>
                </c:pt>
                <c:pt idx="28">
                  <c:v>24</c:v>
                </c:pt>
                <c:pt idx="29">
                  <c:v>22</c:v>
                </c:pt>
                <c:pt idx="30">
                  <c:v>1</c:v>
                </c:pt>
                <c:pt idx="31">
                  <c:v>2</c:v>
                </c:pt>
                <c:pt idx="32">
                  <c:v>28</c:v>
                </c:pt>
                <c:pt idx="33">
                  <c:v>29</c:v>
                </c:pt>
                <c:pt idx="34">
                  <c:v>24</c:v>
                </c:pt>
                <c:pt idx="35">
                  <c:v>27</c:v>
                </c:pt>
                <c:pt idx="36">
                  <c:v>3</c:v>
                </c:pt>
                <c:pt idx="37">
                  <c:v>4</c:v>
                </c:pt>
                <c:pt idx="38">
                  <c:v>2</c:v>
                </c:pt>
                <c:pt idx="39">
                  <c:v>21</c:v>
                </c:pt>
                <c:pt idx="40">
                  <c:v>36</c:v>
                </c:pt>
                <c:pt idx="41">
                  <c:v>4</c:v>
                </c:pt>
                <c:pt idx="42">
                  <c:v>6</c:v>
                </c:pt>
                <c:pt idx="43">
                  <c:v>35</c:v>
                </c:pt>
                <c:pt idx="44">
                  <c:v>1</c:v>
                </c:pt>
                <c:pt idx="45">
                  <c:v>24</c:v>
                </c:pt>
                <c:pt idx="46">
                  <c:v>5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3</c:v>
                </c:pt>
                <c:pt idx="51">
                  <c:v>4</c:v>
                </c:pt>
                <c:pt idx="52">
                  <c:v>1</c:v>
                </c:pt>
                <c:pt idx="53">
                  <c:v>22</c:v>
                </c:pt>
                <c:pt idx="54">
                  <c:v>3</c:v>
                </c:pt>
                <c:pt idx="55">
                  <c:v>21</c:v>
                </c:pt>
                <c:pt idx="56">
                  <c:v>14</c:v>
                </c:pt>
                <c:pt idx="57">
                  <c:v>30</c:v>
                </c:pt>
                <c:pt idx="58">
                  <c:v>5</c:v>
                </c:pt>
                <c:pt idx="59">
                  <c:v>2</c:v>
                </c:pt>
                <c:pt idx="60">
                  <c:v>9</c:v>
                </c:pt>
                <c:pt idx="61">
                  <c:v>1</c:v>
                </c:pt>
                <c:pt idx="62">
                  <c:v>1</c:v>
                </c:pt>
                <c:pt idx="63">
                  <c:v>7</c:v>
                </c:pt>
                <c:pt idx="64">
                  <c:v>1</c:v>
                </c:pt>
                <c:pt idx="65">
                  <c:v>13</c:v>
                </c:pt>
                <c:pt idx="66">
                  <c:v>27</c:v>
                </c:pt>
                <c:pt idx="67">
                  <c:v>1</c:v>
                </c:pt>
                <c:pt idx="68">
                  <c:v>2</c:v>
                </c:pt>
                <c:pt idx="69">
                  <c:v>4</c:v>
                </c:pt>
                <c:pt idx="70">
                  <c:v>1</c:v>
                </c:pt>
                <c:pt idx="71">
                  <c:v>1</c:v>
                </c:pt>
                <c:pt idx="72">
                  <c:v>5</c:v>
                </c:pt>
                <c:pt idx="73">
                  <c:v>16</c:v>
                </c:pt>
                <c:pt idx="74">
                  <c:v>6</c:v>
                </c:pt>
                <c:pt idx="75">
                  <c:v>9</c:v>
                </c:pt>
                <c:pt idx="76">
                  <c:v>22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8</c:v>
                </c:pt>
                <c:pt idx="81">
                  <c:v>2</c:v>
                </c:pt>
                <c:pt idx="82">
                  <c:v>5</c:v>
                </c:pt>
                <c:pt idx="83">
                  <c:v>1</c:v>
                </c:pt>
                <c:pt idx="84">
                  <c:v>5</c:v>
                </c:pt>
                <c:pt idx="85">
                  <c:v>6</c:v>
                </c:pt>
                <c:pt idx="86">
                  <c:v>2</c:v>
                </c:pt>
                <c:pt idx="87">
                  <c:v>9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15</c:v>
                </c:pt>
                <c:pt idx="92">
                  <c:v>1</c:v>
                </c:pt>
                <c:pt idx="93">
                  <c:v>1</c:v>
                </c:pt>
                <c:pt idx="94">
                  <c:v>3</c:v>
                </c:pt>
                <c:pt idx="95">
                  <c:v>3</c:v>
                </c:pt>
                <c:pt idx="96">
                  <c:v>2</c:v>
                </c:pt>
                <c:pt idx="97">
                  <c:v>7</c:v>
                </c:pt>
                <c:pt idx="98">
                  <c:v>3</c:v>
                </c:pt>
                <c:pt idx="99">
                  <c:v>1</c:v>
                </c:pt>
                <c:pt idx="100">
                  <c:v>4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3</c:v>
                </c:pt>
                <c:pt idx="105">
                  <c:v>3</c:v>
                </c:pt>
                <c:pt idx="106">
                  <c:v>2</c:v>
                </c:pt>
                <c:pt idx="107">
                  <c:v>3</c:v>
                </c:pt>
                <c:pt idx="10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5E-45E1-AA86-61949B49B2F4}"/>
            </c:ext>
          </c:extLst>
        </c:ser>
        <c:ser>
          <c:idx val="1"/>
          <c:order val="1"/>
          <c:tx>
            <c:strRef>
              <c:f>'tablas dinamicas 2'!$C$329</c:f>
              <c:strCache>
                <c:ptCount val="1"/>
                <c:pt idx="0">
                  <c:v>Suma de TIEMPO PARADA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 2'!$A$330:$A$439</c:f>
              <c:strCache>
                <c:ptCount val="109"/>
                <c:pt idx="0">
                  <c:v>IDEQ_01</c:v>
                </c:pt>
                <c:pt idx="1">
                  <c:v>IDEQ_02</c:v>
                </c:pt>
                <c:pt idx="2">
                  <c:v>IDEQ_03</c:v>
                </c:pt>
                <c:pt idx="3">
                  <c:v>IDEQ_04</c:v>
                </c:pt>
                <c:pt idx="4">
                  <c:v>IDEQ_05</c:v>
                </c:pt>
                <c:pt idx="5">
                  <c:v>IDEQ_06</c:v>
                </c:pt>
                <c:pt idx="6">
                  <c:v>IDEQ_07</c:v>
                </c:pt>
                <c:pt idx="7">
                  <c:v>IDEQ_08</c:v>
                </c:pt>
                <c:pt idx="8">
                  <c:v>IDEQ_09</c:v>
                </c:pt>
                <c:pt idx="9">
                  <c:v>IDEQ_10</c:v>
                </c:pt>
                <c:pt idx="10">
                  <c:v>IDEQ_100</c:v>
                </c:pt>
                <c:pt idx="11">
                  <c:v>IDEQ_101</c:v>
                </c:pt>
                <c:pt idx="12">
                  <c:v>IDEQ_102</c:v>
                </c:pt>
                <c:pt idx="13">
                  <c:v>IDEQ_103</c:v>
                </c:pt>
                <c:pt idx="14">
                  <c:v>IDEQ_104</c:v>
                </c:pt>
                <c:pt idx="15">
                  <c:v>IDEQ_105</c:v>
                </c:pt>
                <c:pt idx="16">
                  <c:v>IDEQ_106</c:v>
                </c:pt>
                <c:pt idx="17">
                  <c:v>IDEQ_107</c:v>
                </c:pt>
                <c:pt idx="18">
                  <c:v>IDEQ_108</c:v>
                </c:pt>
                <c:pt idx="19">
                  <c:v>IDEQ_109</c:v>
                </c:pt>
                <c:pt idx="20">
                  <c:v>IDEQ_11</c:v>
                </c:pt>
                <c:pt idx="21">
                  <c:v>IDEQ_12</c:v>
                </c:pt>
                <c:pt idx="22">
                  <c:v>IDEQ_13</c:v>
                </c:pt>
                <c:pt idx="23">
                  <c:v>IDEQ_14</c:v>
                </c:pt>
                <c:pt idx="24">
                  <c:v>IDEQ_15</c:v>
                </c:pt>
                <c:pt idx="25">
                  <c:v>IDEQ_16</c:v>
                </c:pt>
                <c:pt idx="26">
                  <c:v>IDEQ_17</c:v>
                </c:pt>
                <c:pt idx="27">
                  <c:v>IDEQ_18</c:v>
                </c:pt>
                <c:pt idx="28">
                  <c:v>IDEQ_19</c:v>
                </c:pt>
                <c:pt idx="29">
                  <c:v>IDEQ_20</c:v>
                </c:pt>
                <c:pt idx="30">
                  <c:v>IDEQ_21</c:v>
                </c:pt>
                <c:pt idx="31">
                  <c:v>IDEQ_22</c:v>
                </c:pt>
                <c:pt idx="32">
                  <c:v>IDEQ_23</c:v>
                </c:pt>
                <c:pt idx="33">
                  <c:v>IDEQ_24</c:v>
                </c:pt>
                <c:pt idx="34">
                  <c:v>IDEQ_25</c:v>
                </c:pt>
                <c:pt idx="35">
                  <c:v>IDEQ_26</c:v>
                </c:pt>
                <c:pt idx="36">
                  <c:v>IDEQ_27</c:v>
                </c:pt>
                <c:pt idx="37">
                  <c:v>IDEQ_28</c:v>
                </c:pt>
                <c:pt idx="38">
                  <c:v>IDEQ_29</c:v>
                </c:pt>
                <c:pt idx="39">
                  <c:v>IDEQ_30</c:v>
                </c:pt>
                <c:pt idx="40">
                  <c:v>IDEQ_31</c:v>
                </c:pt>
                <c:pt idx="41">
                  <c:v>IDEQ_32</c:v>
                </c:pt>
                <c:pt idx="42">
                  <c:v>IDEQ_33</c:v>
                </c:pt>
                <c:pt idx="43">
                  <c:v>IDEQ_34</c:v>
                </c:pt>
                <c:pt idx="44">
                  <c:v>IDEQ_35</c:v>
                </c:pt>
                <c:pt idx="45">
                  <c:v>IDEQ_36</c:v>
                </c:pt>
                <c:pt idx="46">
                  <c:v>IDEQ_37</c:v>
                </c:pt>
                <c:pt idx="47">
                  <c:v>IDEQ_38</c:v>
                </c:pt>
                <c:pt idx="48">
                  <c:v>IDEQ_39</c:v>
                </c:pt>
                <c:pt idx="49">
                  <c:v>IDEQ_40</c:v>
                </c:pt>
                <c:pt idx="50">
                  <c:v>IDEQ_41</c:v>
                </c:pt>
                <c:pt idx="51">
                  <c:v>IDEQ_42</c:v>
                </c:pt>
                <c:pt idx="52">
                  <c:v>IDEQ_43</c:v>
                </c:pt>
                <c:pt idx="53">
                  <c:v>IDEQ_44</c:v>
                </c:pt>
                <c:pt idx="54">
                  <c:v>IDEQ_45</c:v>
                </c:pt>
                <c:pt idx="55">
                  <c:v>IDEQ_46</c:v>
                </c:pt>
                <c:pt idx="56">
                  <c:v>IDEQ_47</c:v>
                </c:pt>
                <c:pt idx="57">
                  <c:v>IDEQ_48</c:v>
                </c:pt>
                <c:pt idx="58">
                  <c:v>IDEQ_49</c:v>
                </c:pt>
                <c:pt idx="59">
                  <c:v>IDEQ_50</c:v>
                </c:pt>
                <c:pt idx="60">
                  <c:v>IDEQ_51</c:v>
                </c:pt>
                <c:pt idx="61">
                  <c:v>IDEQ_52</c:v>
                </c:pt>
                <c:pt idx="62">
                  <c:v>IDEQ_53</c:v>
                </c:pt>
                <c:pt idx="63">
                  <c:v>IDEQ_54</c:v>
                </c:pt>
                <c:pt idx="64">
                  <c:v>IDEQ_55</c:v>
                </c:pt>
                <c:pt idx="65">
                  <c:v>IDEQ_56</c:v>
                </c:pt>
                <c:pt idx="66">
                  <c:v>IDEQ_57</c:v>
                </c:pt>
                <c:pt idx="67">
                  <c:v>IDEQ_58</c:v>
                </c:pt>
                <c:pt idx="68">
                  <c:v>IDEQ_59</c:v>
                </c:pt>
                <c:pt idx="69">
                  <c:v>IDEQ_60</c:v>
                </c:pt>
                <c:pt idx="70">
                  <c:v>IDEQ_61</c:v>
                </c:pt>
                <c:pt idx="71">
                  <c:v>IDEQ_62</c:v>
                </c:pt>
                <c:pt idx="72">
                  <c:v>IDEQ_63</c:v>
                </c:pt>
                <c:pt idx="73">
                  <c:v>IDEQ_64</c:v>
                </c:pt>
                <c:pt idx="74">
                  <c:v>IDEQ_65</c:v>
                </c:pt>
                <c:pt idx="75">
                  <c:v>IDEQ_66</c:v>
                </c:pt>
                <c:pt idx="76">
                  <c:v>IDEQ_67</c:v>
                </c:pt>
                <c:pt idx="77">
                  <c:v>IDEQ_68</c:v>
                </c:pt>
                <c:pt idx="78">
                  <c:v>IDEQ_69</c:v>
                </c:pt>
                <c:pt idx="79">
                  <c:v>IDEQ_70</c:v>
                </c:pt>
                <c:pt idx="80">
                  <c:v>IDEQ_71</c:v>
                </c:pt>
                <c:pt idx="81">
                  <c:v>IDEQ_72</c:v>
                </c:pt>
                <c:pt idx="82">
                  <c:v>IDEQ_73</c:v>
                </c:pt>
                <c:pt idx="83">
                  <c:v>IDEQ_74</c:v>
                </c:pt>
                <c:pt idx="84">
                  <c:v>IDEQ_75</c:v>
                </c:pt>
                <c:pt idx="85">
                  <c:v>IDEQ_76</c:v>
                </c:pt>
                <c:pt idx="86">
                  <c:v>IDEQ_77</c:v>
                </c:pt>
                <c:pt idx="87">
                  <c:v>IDEQ_78</c:v>
                </c:pt>
                <c:pt idx="88">
                  <c:v>IDEQ_79</c:v>
                </c:pt>
                <c:pt idx="89">
                  <c:v>IDEQ_80</c:v>
                </c:pt>
                <c:pt idx="90">
                  <c:v>IDEQ_81</c:v>
                </c:pt>
                <c:pt idx="91">
                  <c:v>IDEQ_82</c:v>
                </c:pt>
                <c:pt idx="92">
                  <c:v>IDEQ_83</c:v>
                </c:pt>
                <c:pt idx="93">
                  <c:v>IDEQ_84</c:v>
                </c:pt>
                <c:pt idx="94">
                  <c:v>IDEQ_85</c:v>
                </c:pt>
                <c:pt idx="95">
                  <c:v>IDEQ_86</c:v>
                </c:pt>
                <c:pt idx="96">
                  <c:v>IDEQ_87</c:v>
                </c:pt>
                <c:pt idx="97">
                  <c:v>IDEQ_88</c:v>
                </c:pt>
                <c:pt idx="98">
                  <c:v>IDEQ_89</c:v>
                </c:pt>
                <c:pt idx="99">
                  <c:v>IDEQ_90</c:v>
                </c:pt>
                <c:pt idx="100">
                  <c:v>IDEQ_91</c:v>
                </c:pt>
                <c:pt idx="101">
                  <c:v>IDEQ_92</c:v>
                </c:pt>
                <c:pt idx="102">
                  <c:v>IDEQ_93</c:v>
                </c:pt>
                <c:pt idx="103">
                  <c:v>IDEQ_94</c:v>
                </c:pt>
                <c:pt idx="104">
                  <c:v>IDEQ_95</c:v>
                </c:pt>
                <c:pt idx="105">
                  <c:v>IDEQ_96</c:v>
                </c:pt>
                <c:pt idx="106">
                  <c:v>IDEQ_97</c:v>
                </c:pt>
                <c:pt idx="107">
                  <c:v>IDEQ_98</c:v>
                </c:pt>
                <c:pt idx="108">
                  <c:v>IDEQ_99</c:v>
                </c:pt>
              </c:strCache>
            </c:strRef>
          </c:cat>
          <c:val>
            <c:numRef>
              <c:f>'tablas dinamicas 2'!$C$330:$C$439</c:f>
              <c:numCache>
                <c:formatCode>General</c:formatCode>
                <c:ptCount val="109"/>
                <c:pt idx="0">
                  <c:v>43.5</c:v>
                </c:pt>
                <c:pt idx="1">
                  <c:v>13.5</c:v>
                </c:pt>
                <c:pt idx="2">
                  <c:v>18</c:v>
                </c:pt>
                <c:pt idx="3">
                  <c:v>16</c:v>
                </c:pt>
                <c:pt idx="4">
                  <c:v>72.5</c:v>
                </c:pt>
                <c:pt idx="5">
                  <c:v>5</c:v>
                </c:pt>
                <c:pt idx="6">
                  <c:v>9</c:v>
                </c:pt>
                <c:pt idx="7">
                  <c:v>29.5</c:v>
                </c:pt>
                <c:pt idx="8">
                  <c:v>1</c:v>
                </c:pt>
                <c:pt idx="9">
                  <c:v>7.5</c:v>
                </c:pt>
                <c:pt idx="10">
                  <c:v>41.5</c:v>
                </c:pt>
                <c:pt idx="11">
                  <c:v>30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8</c:v>
                </c:pt>
                <c:pt idx="16">
                  <c:v>4</c:v>
                </c:pt>
                <c:pt idx="17">
                  <c:v>6</c:v>
                </c:pt>
                <c:pt idx="18">
                  <c:v>1</c:v>
                </c:pt>
                <c:pt idx="19">
                  <c:v>4</c:v>
                </c:pt>
                <c:pt idx="20">
                  <c:v>17</c:v>
                </c:pt>
                <c:pt idx="21">
                  <c:v>72.599999999999994</c:v>
                </c:pt>
                <c:pt idx="22">
                  <c:v>40.5</c:v>
                </c:pt>
                <c:pt idx="23">
                  <c:v>20.5</c:v>
                </c:pt>
                <c:pt idx="24">
                  <c:v>49.5</c:v>
                </c:pt>
                <c:pt idx="25">
                  <c:v>43.5</c:v>
                </c:pt>
                <c:pt idx="26">
                  <c:v>9</c:v>
                </c:pt>
                <c:pt idx="27">
                  <c:v>39.5</c:v>
                </c:pt>
                <c:pt idx="28">
                  <c:v>29.5</c:v>
                </c:pt>
                <c:pt idx="29">
                  <c:v>67.5</c:v>
                </c:pt>
                <c:pt idx="30">
                  <c:v>1</c:v>
                </c:pt>
                <c:pt idx="31">
                  <c:v>9</c:v>
                </c:pt>
                <c:pt idx="32">
                  <c:v>50</c:v>
                </c:pt>
                <c:pt idx="33">
                  <c:v>47</c:v>
                </c:pt>
                <c:pt idx="34">
                  <c:v>42.5</c:v>
                </c:pt>
                <c:pt idx="35">
                  <c:v>31</c:v>
                </c:pt>
                <c:pt idx="36">
                  <c:v>4</c:v>
                </c:pt>
                <c:pt idx="37">
                  <c:v>26.5</c:v>
                </c:pt>
                <c:pt idx="38">
                  <c:v>3</c:v>
                </c:pt>
                <c:pt idx="39">
                  <c:v>41</c:v>
                </c:pt>
                <c:pt idx="40">
                  <c:v>45.5</c:v>
                </c:pt>
                <c:pt idx="41">
                  <c:v>16</c:v>
                </c:pt>
                <c:pt idx="42">
                  <c:v>11</c:v>
                </c:pt>
                <c:pt idx="43">
                  <c:v>51.5</c:v>
                </c:pt>
                <c:pt idx="44">
                  <c:v>1</c:v>
                </c:pt>
                <c:pt idx="45">
                  <c:v>39</c:v>
                </c:pt>
                <c:pt idx="46">
                  <c:v>6</c:v>
                </c:pt>
                <c:pt idx="47">
                  <c:v>14</c:v>
                </c:pt>
                <c:pt idx="48">
                  <c:v>13</c:v>
                </c:pt>
                <c:pt idx="49">
                  <c:v>1.5</c:v>
                </c:pt>
                <c:pt idx="50">
                  <c:v>3</c:v>
                </c:pt>
                <c:pt idx="51">
                  <c:v>10</c:v>
                </c:pt>
                <c:pt idx="52">
                  <c:v>1.5</c:v>
                </c:pt>
                <c:pt idx="53">
                  <c:v>44</c:v>
                </c:pt>
                <c:pt idx="54">
                  <c:v>7.5</c:v>
                </c:pt>
                <c:pt idx="55">
                  <c:v>34</c:v>
                </c:pt>
                <c:pt idx="56">
                  <c:v>26.5</c:v>
                </c:pt>
                <c:pt idx="57">
                  <c:v>54</c:v>
                </c:pt>
                <c:pt idx="58">
                  <c:v>5.5</c:v>
                </c:pt>
                <c:pt idx="59">
                  <c:v>2.5</c:v>
                </c:pt>
                <c:pt idx="60">
                  <c:v>10</c:v>
                </c:pt>
                <c:pt idx="61">
                  <c:v>9</c:v>
                </c:pt>
                <c:pt idx="62">
                  <c:v>1</c:v>
                </c:pt>
                <c:pt idx="63">
                  <c:v>12.5</c:v>
                </c:pt>
                <c:pt idx="64">
                  <c:v>4</c:v>
                </c:pt>
                <c:pt idx="65">
                  <c:v>34</c:v>
                </c:pt>
                <c:pt idx="66">
                  <c:v>36</c:v>
                </c:pt>
                <c:pt idx="67">
                  <c:v>2.5</c:v>
                </c:pt>
                <c:pt idx="68">
                  <c:v>9.5</c:v>
                </c:pt>
                <c:pt idx="69">
                  <c:v>8</c:v>
                </c:pt>
                <c:pt idx="70">
                  <c:v>0</c:v>
                </c:pt>
                <c:pt idx="71">
                  <c:v>2.5</c:v>
                </c:pt>
                <c:pt idx="72">
                  <c:v>4.5</c:v>
                </c:pt>
                <c:pt idx="73">
                  <c:v>25</c:v>
                </c:pt>
                <c:pt idx="74">
                  <c:v>26.5</c:v>
                </c:pt>
                <c:pt idx="75">
                  <c:v>16</c:v>
                </c:pt>
                <c:pt idx="76">
                  <c:v>28</c:v>
                </c:pt>
                <c:pt idx="77">
                  <c:v>2</c:v>
                </c:pt>
                <c:pt idx="78">
                  <c:v>2</c:v>
                </c:pt>
                <c:pt idx="79">
                  <c:v>11</c:v>
                </c:pt>
                <c:pt idx="80">
                  <c:v>22.5</c:v>
                </c:pt>
                <c:pt idx="81">
                  <c:v>3.5</c:v>
                </c:pt>
                <c:pt idx="82">
                  <c:v>6.5</c:v>
                </c:pt>
                <c:pt idx="83">
                  <c:v>3</c:v>
                </c:pt>
                <c:pt idx="84">
                  <c:v>20</c:v>
                </c:pt>
                <c:pt idx="85">
                  <c:v>25.5</c:v>
                </c:pt>
                <c:pt idx="86">
                  <c:v>5</c:v>
                </c:pt>
                <c:pt idx="87">
                  <c:v>12</c:v>
                </c:pt>
                <c:pt idx="88">
                  <c:v>0.5</c:v>
                </c:pt>
                <c:pt idx="89">
                  <c:v>3</c:v>
                </c:pt>
                <c:pt idx="90">
                  <c:v>2</c:v>
                </c:pt>
                <c:pt idx="91">
                  <c:v>28.5</c:v>
                </c:pt>
                <c:pt idx="92">
                  <c:v>1</c:v>
                </c:pt>
                <c:pt idx="93">
                  <c:v>1</c:v>
                </c:pt>
                <c:pt idx="94">
                  <c:v>9</c:v>
                </c:pt>
                <c:pt idx="95">
                  <c:v>5.5</c:v>
                </c:pt>
                <c:pt idx="96">
                  <c:v>9</c:v>
                </c:pt>
                <c:pt idx="97">
                  <c:v>10</c:v>
                </c:pt>
                <c:pt idx="98">
                  <c:v>16.5</c:v>
                </c:pt>
                <c:pt idx="99">
                  <c:v>5</c:v>
                </c:pt>
                <c:pt idx="100">
                  <c:v>13</c:v>
                </c:pt>
                <c:pt idx="101">
                  <c:v>6.5</c:v>
                </c:pt>
                <c:pt idx="102">
                  <c:v>14.5</c:v>
                </c:pt>
                <c:pt idx="103">
                  <c:v>1</c:v>
                </c:pt>
                <c:pt idx="104">
                  <c:v>5</c:v>
                </c:pt>
                <c:pt idx="105">
                  <c:v>6</c:v>
                </c:pt>
                <c:pt idx="106">
                  <c:v>3</c:v>
                </c:pt>
                <c:pt idx="107">
                  <c:v>2.5</c:v>
                </c:pt>
                <c:pt idx="10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F0-4383-8BAA-6E286210E3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69478192"/>
        <c:axId val="1469477536"/>
      </c:lineChart>
      <c:catAx>
        <c:axId val="146947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69477536"/>
        <c:crosses val="autoZero"/>
        <c:auto val="1"/>
        <c:lblAlgn val="ctr"/>
        <c:lblOffset val="100"/>
        <c:noMultiLvlLbl val="0"/>
      </c:catAx>
      <c:valAx>
        <c:axId val="14694775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6947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2!TablaDinámica12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>
              <a:alpha val="69804"/>
            </a:schemeClr>
          </a:solidFill>
          <a:ln w="28575" cap="rnd" cmpd="sng" algn="ctr">
            <a:solidFill>
              <a:schemeClr val="accent1"/>
            </a:solidFill>
            <a:miter lim="800000"/>
          </a:ln>
          <a:effectLst>
            <a:glow rad="76200">
              <a:schemeClr val="accent1">
                <a:satMod val="175000"/>
                <a:alpha val="3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</a:ln>
          <a:effectLst>
            <a:glow rad="76200">
              <a:schemeClr val="accent1">
                <a:satMod val="175000"/>
                <a:alpha val="3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strRef>
              <c:f>'tablas dinamicas 2'!$BD$164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2'!$BC$165:$BC$175</c:f>
              <c:strCache>
                <c:ptCount val="10"/>
                <c:pt idx="0">
                  <c:v>OPERARIO-01</c:v>
                </c:pt>
                <c:pt idx="1">
                  <c:v>OPERARIO-10</c:v>
                </c:pt>
                <c:pt idx="2">
                  <c:v>OPERARIO-09</c:v>
                </c:pt>
                <c:pt idx="3">
                  <c:v>OPERARIO-05</c:v>
                </c:pt>
                <c:pt idx="4">
                  <c:v>OPERARIO-07</c:v>
                </c:pt>
                <c:pt idx="5">
                  <c:v>OPERARIO-04</c:v>
                </c:pt>
                <c:pt idx="6">
                  <c:v>OPERARIO-02</c:v>
                </c:pt>
                <c:pt idx="7">
                  <c:v>OPERARIO-03</c:v>
                </c:pt>
                <c:pt idx="8">
                  <c:v>OPERARIO-08</c:v>
                </c:pt>
                <c:pt idx="9">
                  <c:v>OPERARIO-06</c:v>
                </c:pt>
              </c:strCache>
            </c:strRef>
          </c:cat>
          <c:val>
            <c:numRef>
              <c:f>'tablas dinamicas 2'!$BD$165:$BD$175</c:f>
              <c:numCache>
                <c:formatCode>0</c:formatCode>
                <c:ptCount val="10"/>
                <c:pt idx="0">
                  <c:v>28.5</c:v>
                </c:pt>
                <c:pt idx="1">
                  <c:v>39</c:v>
                </c:pt>
                <c:pt idx="2">
                  <c:v>105</c:v>
                </c:pt>
                <c:pt idx="3">
                  <c:v>192.8</c:v>
                </c:pt>
                <c:pt idx="4">
                  <c:v>217</c:v>
                </c:pt>
                <c:pt idx="5">
                  <c:v>403</c:v>
                </c:pt>
                <c:pt idx="6">
                  <c:v>496</c:v>
                </c:pt>
                <c:pt idx="7">
                  <c:v>566.5</c:v>
                </c:pt>
                <c:pt idx="8">
                  <c:v>667</c:v>
                </c:pt>
                <c:pt idx="9">
                  <c:v>832.5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8A-438B-AB7E-1F254784226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159356816"/>
        <c:axId val="1159356160"/>
      </c:radarChart>
      <c:catAx>
        <c:axId val="115935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59356160"/>
        <c:crosses val="autoZero"/>
        <c:auto val="1"/>
        <c:lblAlgn val="ctr"/>
        <c:lblOffset val="100"/>
        <c:noMultiLvlLbl val="0"/>
      </c:catAx>
      <c:valAx>
        <c:axId val="11593561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15935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2!TablaDinámica4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8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88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 2'!$AJ$48:$AJ$50</c:f>
              <c:strCache>
                <c:ptCount val="1"/>
                <c:pt idx="0">
                  <c:v>2021 - Cuenta de TURNO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2'!$AJ$51:$AJ$63</c:f>
              <c:numCache>
                <c:formatCode>General</c:formatCode>
                <c:ptCount val="12"/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10</c:v>
                </c:pt>
                <c:pt idx="10">
                  <c:v>21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73-4E97-AEEC-B7FEB975F919}"/>
            </c:ext>
          </c:extLst>
        </c:ser>
        <c:ser>
          <c:idx val="1"/>
          <c:order val="1"/>
          <c:tx>
            <c:strRef>
              <c:f>'tablas dinamicas 2'!$AK$48:$AK$50</c:f>
              <c:strCache>
                <c:ptCount val="1"/>
                <c:pt idx="0">
                  <c:v>2021 - Suma de objetivo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2'!$AK$51:$AK$63</c:f>
              <c:numCache>
                <c:formatCode>General</c:formatCode>
                <c:ptCount val="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DF35-409C-8CD7-21128A0197BC}"/>
            </c:ext>
          </c:extLst>
        </c:ser>
        <c:ser>
          <c:idx val="2"/>
          <c:order val="2"/>
          <c:tx>
            <c:strRef>
              <c:f>'tablas dinamicas 2'!$AL$48:$AL$50</c:f>
              <c:strCache>
                <c:ptCount val="1"/>
                <c:pt idx="0">
                  <c:v>2022 - Cuenta de TURNO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2'!$AL$51:$AL$63</c:f>
              <c:numCache>
                <c:formatCode>General</c:formatCode>
                <c:ptCount val="12"/>
                <c:pt idx="0">
                  <c:v>47</c:v>
                </c:pt>
                <c:pt idx="1">
                  <c:v>33</c:v>
                </c:pt>
                <c:pt idx="2">
                  <c:v>67</c:v>
                </c:pt>
                <c:pt idx="3">
                  <c:v>51</c:v>
                </c:pt>
                <c:pt idx="4">
                  <c:v>49</c:v>
                </c:pt>
                <c:pt idx="5">
                  <c:v>44</c:v>
                </c:pt>
                <c:pt idx="6">
                  <c:v>21</c:v>
                </c:pt>
                <c:pt idx="7">
                  <c:v>28</c:v>
                </c:pt>
                <c:pt idx="8">
                  <c:v>19</c:v>
                </c:pt>
                <c:pt idx="9">
                  <c:v>22</c:v>
                </c:pt>
                <c:pt idx="10">
                  <c:v>13</c:v>
                </c:pt>
                <c:pt idx="1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3F-4AC3-80E6-D76B2698E131}"/>
            </c:ext>
          </c:extLst>
        </c:ser>
        <c:ser>
          <c:idx val="3"/>
          <c:order val="3"/>
          <c:tx>
            <c:strRef>
              <c:f>'tablas dinamicas 2'!$AM$48:$AM$50</c:f>
              <c:strCache>
                <c:ptCount val="1"/>
                <c:pt idx="0">
                  <c:v>2022 - Suma de objetivo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2'!$AM$51:$AM$63</c:f>
              <c:numCache>
                <c:formatCode>General</c:formatCode>
                <c:ptCount val="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3F-4AC3-80E6-D76B2698E131}"/>
            </c:ext>
          </c:extLst>
        </c:ser>
        <c:ser>
          <c:idx val="4"/>
          <c:order val="4"/>
          <c:tx>
            <c:strRef>
              <c:f>'tablas dinamicas 2'!$AN$48:$AN$50</c:f>
              <c:strCache>
                <c:ptCount val="1"/>
                <c:pt idx="0">
                  <c:v>2023 - Cuenta de TURNO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2'!$AN$51:$AN$63</c:f>
              <c:numCache>
                <c:formatCode>General</c:formatCode>
                <c:ptCount val="12"/>
                <c:pt idx="0">
                  <c:v>32</c:v>
                </c:pt>
                <c:pt idx="1">
                  <c:v>17</c:v>
                </c:pt>
                <c:pt idx="2">
                  <c:v>37</c:v>
                </c:pt>
                <c:pt idx="3">
                  <c:v>28</c:v>
                </c:pt>
                <c:pt idx="4">
                  <c:v>26</c:v>
                </c:pt>
                <c:pt idx="5">
                  <c:v>22</c:v>
                </c:pt>
                <c:pt idx="6">
                  <c:v>13</c:v>
                </c:pt>
                <c:pt idx="7">
                  <c:v>20</c:v>
                </c:pt>
                <c:pt idx="8">
                  <c:v>20</c:v>
                </c:pt>
                <c:pt idx="9">
                  <c:v>15</c:v>
                </c:pt>
                <c:pt idx="10">
                  <c:v>20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3F-4AC3-80E6-D76B2698E131}"/>
            </c:ext>
          </c:extLst>
        </c:ser>
        <c:ser>
          <c:idx val="5"/>
          <c:order val="5"/>
          <c:tx>
            <c:strRef>
              <c:f>'tablas dinamicas 2'!$AO$48:$AO$50</c:f>
              <c:strCache>
                <c:ptCount val="1"/>
                <c:pt idx="0">
                  <c:v>2023 - Suma de objetivo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2'!$AO$51:$AO$63</c:f>
              <c:numCache>
                <c:formatCode>General</c:formatCode>
                <c:ptCount val="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3F-4AC3-80E6-D76B2698E131}"/>
            </c:ext>
          </c:extLst>
        </c:ser>
        <c:ser>
          <c:idx val="6"/>
          <c:order val="6"/>
          <c:tx>
            <c:strRef>
              <c:f>'tablas dinamicas 2'!$AP$48:$AP$50</c:f>
              <c:strCache>
                <c:ptCount val="1"/>
                <c:pt idx="0">
                  <c:v>2024 - Cuenta de TURNO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2'!$AP$51:$AP$63</c:f>
              <c:numCache>
                <c:formatCode>General</c:formatCode>
                <c:ptCount val="12"/>
                <c:pt idx="0">
                  <c:v>12</c:v>
                </c:pt>
                <c:pt idx="1">
                  <c:v>10</c:v>
                </c:pt>
                <c:pt idx="2">
                  <c:v>10</c:v>
                </c:pt>
                <c:pt idx="3">
                  <c:v>20</c:v>
                </c:pt>
                <c:pt idx="4">
                  <c:v>26</c:v>
                </c:pt>
                <c:pt idx="5">
                  <c:v>17</c:v>
                </c:pt>
                <c:pt idx="6">
                  <c:v>21</c:v>
                </c:pt>
                <c:pt idx="7">
                  <c:v>20</c:v>
                </c:pt>
                <c:pt idx="8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3F-4AC3-80E6-D76B2698E131}"/>
            </c:ext>
          </c:extLst>
        </c:ser>
        <c:ser>
          <c:idx val="7"/>
          <c:order val="7"/>
          <c:tx>
            <c:strRef>
              <c:f>'tablas dinamicas 2'!$AQ$48:$AQ$50</c:f>
              <c:strCache>
                <c:ptCount val="1"/>
                <c:pt idx="0">
                  <c:v>2024 - Suma de objetivo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2'!$AQ$51:$AQ$63</c:f>
              <c:numCache>
                <c:formatCode>General</c:formatCode>
                <c:ptCount val="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A3F-4AC3-80E6-D76B2698E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358992"/>
        <c:axId val="1251358336"/>
      </c:lineChart>
      <c:catAx>
        <c:axId val="125135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51358336"/>
        <c:crosses val="autoZero"/>
        <c:auto val="1"/>
        <c:lblAlgn val="ctr"/>
        <c:lblOffset val="100"/>
        <c:noMultiLvlLbl val="0"/>
      </c:catAx>
      <c:valAx>
        <c:axId val="1251358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5135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2!TablaDinámica7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 2'!$BE$216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'tablas dinamicas 2'!$BD$217:$BD$247</c:f>
              <c:multiLvlStrCache>
                <c:ptCount val="21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sep</c:v>
                  </c:pt>
                </c:lvl>
                <c:lvl>
                  <c:pt idx="0">
                    <c:v>Trim.1</c:v>
                  </c:pt>
                  <c:pt idx="3">
                    <c:v>Trim.2</c:v>
                  </c:pt>
                  <c:pt idx="6">
                    <c:v>Trim.3</c:v>
                  </c:pt>
                  <c:pt idx="9">
                    <c:v>Trim.4</c:v>
                  </c:pt>
                  <c:pt idx="12">
                    <c:v>Trim.1</c:v>
                  </c:pt>
                  <c:pt idx="15">
                    <c:v>Trim.2</c:v>
                  </c:pt>
                  <c:pt idx="18">
                    <c:v>Trim.3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'tablas dinamicas 2'!$BE$217:$BE$247</c:f>
              <c:numCache>
                <c:formatCode>0.00%</c:formatCode>
                <c:ptCount val="21"/>
                <c:pt idx="0">
                  <c:v>7.7294685990338161E-2</c:v>
                </c:pt>
                <c:pt idx="1">
                  <c:v>4.1062801932367152E-2</c:v>
                </c:pt>
                <c:pt idx="2">
                  <c:v>8.9371980676328497E-2</c:v>
                </c:pt>
                <c:pt idx="3">
                  <c:v>6.7632850241545889E-2</c:v>
                </c:pt>
                <c:pt idx="4">
                  <c:v>6.280193236714976E-2</c:v>
                </c:pt>
                <c:pt idx="5">
                  <c:v>5.3140096618357488E-2</c:v>
                </c:pt>
                <c:pt idx="6">
                  <c:v>3.140096618357488E-2</c:v>
                </c:pt>
                <c:pt idx="7">
                  <c:v>4.8309178743961352E-2</c:v>
                </c:pt>
                <c:pt idx="8">
                  <c:v>4.8309178743961352E-2</c:v>
                </c:pt>
                <c:pt idx="9">
                  <c:v>3.6231884057971016E-2</c:v>
                </c:pt>
                <c:pt idx="10">
                  <c:v>4.8309178743961352E-2</c:v>
                </c:pt>
                <c:pt idx="11">
                  <c:v>3.140096618357488E-2</c:v>
                </c:pt>
                <c:pt idx="12">
                  <c:v>2.8985507246376812E-2</c:v>
                </c:pt>
                <c:pt idx="13">
                  <c:v>2.4154589371980676E-2</c:v>
                </c:pt>
                <c:pt idx="14">
                  <c:v>2.4154589371980676E-2</c:v>
                </c:pt>
                <c:pt idx="15">
                  <c:v>4.8309178743961352E-2</c:v>
                </c:pt>
                <c:pt idx="16">
                  <c:v>6.280193236714976E-2</c:v>
                </c:pt>
                <c:pt idx="17">
                  <c:v>4.1062801932367152E-2</c:v>
                </c:pt>
                <c:pt idx="18">
                  <c:v>5.0724637681159424E-2</c:v>
                </c:pt>
                <c:pt idx="19">
                  <c:v>4.8309178743961352E-2</c:v>
                </c:pt>
                <c:pt idx="20">
                  <c:v>3.6231884057971016E-2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2D-40C1-A9FD-0A2707796D3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241708344"/>
        <c:axId val="1241714248"/>
      </c:barChart>
      <c:catAx>
        <c:axId val="1241708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41714248"/>
        <c:crosses val="autoZero"/>
        <c:auto val="1"/>
        <c:lblAlgn val="ctr"/>
        <c:lblOffset val="100"/>
        <c:noMultiLvlLbl val="0"/>
      </c:catAx>
      <c:valAx>
        <c:axId val="1241714248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24170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2!TablaDinámica8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 2'!$CG$130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2'!$CF$131:$CF$141</c:f>
              <c:strCache>
                <c:ptCount val="10"/>
                <c:pt idx="0">
                  <c:v>UNION DOBLE</c:v>
                </c:pt>
                <c:pt idx="1">
                  <c:v>BISAGRA</c:v>
                </c:pt>
                <c:pt idx="2">
                  <c:v>RETENCION </c:v>
                </c:pt>
                <c:pt idx="3">
                  <c:v>PISTON</c:v>
                </c:pt>
                <c:pt idx="4">
                  <c:v>CONECTOR</c:v>
                </c:pt>
                <c:pt idx="5">
                  <c:v>VALVULA</c:v>
                </c:pt>
                <c:pt idx="6">
                  <c:v>SELLOS</c:v>
                </c:pt>
                <c:pt idx="7">
                  <c:v>TRAMPA</c:v>
                </c:pt>
                <c:pt idx="8">
                  <c:v>SENSOR</c:v>
                </c:pt>
                <c:pt idx="9">
                  <c:v>MANGUERA</c:v>
                </c:pt>
              </c:strCache>
            </c:strRef>
          </c:cat>
          <c:val>
            <c:numRef>
              <c:f>'tablas dinamicas 2'!$CG$131:$CG$141</c:f>
              <c:numCache>
                <c:formatCode>0.00%</c:formatCode>
                <c:ptCount val="10"/>
                <c:pt idx="0">
                  <c:v>4.519774011299435E-2</c:v>
                </c:pt>
                <c:pt idx="1">
                  <c:v>4.519774011299435E-2</c:v>
                </c:pt>
                <c:pt idx="2">
                  <c:v>5.9322033898305086E-2</c:v>
                </c:pt>
                <c:pt idx="3">
                  <c:v>6.2146892655367235E-2</c:v>
                </c:pt>
                <c:pt idx="4">
                  <c:v>7.3446327683615822E-2</c:v>
                </c:pt>
                <c:pt idx="5">
                  <c:v>9.03954802259887E-2</c:v>
                </c:pt>
                <c:pt idx="6">
                  <c:v>0.10451977401129943</c:v>
                </c:pt>
                <c:pt idx="7">
                  <c:v>0.12994350282485875</c:v>
                </c:pt>
                <c:pt idx="8">
                  <c:v>0.1440677966101695</c:v>
                </c:pt>
                <c:pt idx="9">
                  <c:v>0.24576271186440679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B-4461-9B48-B15541954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70112800"/>
        <c:axId val="896506672"/>
      </c:barChart>
      <c:catAx>
        <c:axId val="870112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6506672"/>
        <c:crosses val="autoZero"/>
        <c:auto val="1"/>
        <c:lblAlgn val="ctr"/>
        <c:lblOffset val="100"/>
        <c:noMultiLvlLbl val="0"/>
      </c:catAx>
      <c:valAx>
        <c:axId val="896506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87011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2!TablaDinámica1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'tablas dinamicas 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'tablas dinamicas 2'!$A$4:$A$14</c:f>
              <c:strCache>
                <c:ptCount val="10"/>
                <c:pt idx="0">
                  <c:v>OPERARIO-06</c:v>
                </c:pt>
                <c:pt idx="1">
                  <c:v>OPERARIO-08</c:v>
                </c:pt>
                <c:pt idx="2">
                  <c:v>OPERARIO-04</c:v>
                </c:pt>
                <c:pt idx="3">
                  <c:v>OPERARIO-05</c:v>
                </c:pt>
                <c:pt idx="4">
                  <c:v>OPERARIO-07</c:v>
                </c:pt>
                <c:pt idx="5">
                  <c:v>OPERARIO-02</c:v>
                </c:pt>
                <c:pt idx="6">
                  <c:v>OPERARIO-03</c:v>
                </c:pt>
                <c:pt idx="7">
                  <c:v>OPERARIO-09</c:v>
                </c:pt>
                <c:pt idx="8">
                  <c:v>OPERARIO-10</c:v>
                </c:pt>
                <c:pt idx="9">
                  <c:v>OPERARIO-01</c:v>
                </c:pt>
              </c:strCache>
            </c:strRef>
          </c:cat>
          <c:val>
            <c:numRef>
              <c:f>'tablas dinamicas 2'!$B$4:$B$14</c:f>
              <c:numCache>
                <c:formatCode>General</c:formatCode>
                <c:ptCount val="10"/>
                <c:pt idx="0">
                  <c:v>223</c:v>
                </c:pt>
                <c:pt idx="1">
                  <c:v>199</c:v>
                </c:pt>
                <c:pt idx="2">
                  <c:v>146</c:v>
                </c:pt>
                <c:pt idx="3">
                  <c:v>97</c:v>
                </c:pt>
                <c:pt idx="4">
                  <c:v>74</c:v>
                </c:pt>
                <c:pt idx="5">
                  <c:v>66</c:v>
                </c:pt>
                <c:pt idx="6">
                  <c:v>64</c:v>
                </c:pt>
                <c:pt idx="7">
                  <c:v>28</c:v>
                </c:pt>
                <c:pt idx="8">
                  <c:v>11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F7-4FA1-A75D-045426AB8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887344"/>
        <c:axId val="932882304"/>
      </c:areaChart>
      <c:catAx>
        <c:axId val="93288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32882304"/>
        <c:crosses val="autoZero"/>
        <c:auto val="1"/>
        <c:lblAlgn val="ctr"/>
        <c:lblOffset val="100"/>
        <c:noMultiLvlLbl val="0"/>
      </c:catAx>
      <c:valAx>
        <c:axId val="9328823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32887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2!TablaDinámica6</c:name>
    <c:fmtId val="4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  <c:spPr>
          <a:solidFill>
            <a:srgbClr val="694797">
              <a:alpha val="90000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5"/>
      </c:pivotFmt>
      <c:pivotFmt>
        <c:idx val="66"/>
        <c:spPr>
          <a:ln w="41275" cap="rnd">
            <a:solidFill>
              <a:srgbClr val="386294"/>
            </a:solidFill>
            <a:round/>
          </a:ln>
          <a:effectLst/>
        </c:spPr>
        <c:marker>
          <c:symbol val="circle"/>
          <c:size val="5"/>
          <c:spPr>
            <a:solidFill>
              <a:srgbClr val="386294"/>
            </a:solidFill>
            <a:ln w="9525">
              <a:solidFill>
                <a:srgbClr val="38629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</c:pivotFmt>
      <c:pivotFmt>
        <c:idx val="68"/>
      </c:pivotFmt>
    </c:pivotFmts>
    <c:plotArea>
      <c:layout>
        <c:manualLayout>
          <c:layoutTarget val="inner"/>
          <c:xMode val="edge"/>
          <c:yMode val="edge"/>
          <c:x val="1.2540318564300077E-2"/>
          <c:y val="5.372120132150815E-2"/>
          <c:w val="0.97694156651471198"/>
          <c:h val="0.587143716705253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dinamicas 2'!$B$329</c:f>
              <c:strCache>
                <c:ptCount val="1"/>
                <c:pt idx="0">
                  <c:v>Suma de TURNO</c:v>
                </c:pt>
              </c:strCache>
            </c:strRef>
          </c:tx>
          <c:spPr>
            <a:solidFill>
              <a:srgbClr val="694797">
                <a:alpha val="90000"/>
              </a:srgb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'tablas dinamicas 2'!$A$330:$A$439</c:f>
              <c:strCache>
                <c:ptCount val="109"/>
                <c:pt idx="0">
                  <c:v>IDEQ_01</c:v>
                </c:pt>
                <c:pt idx="1">
                  <c:v>IDEQ_02</c:v>
                </c:pt>
                <c:pt idx="2">
                  <c:v>IDEQ_03</c:v>
                </c:pt>
                <c:pt idx="3">
                  <c:v>IDEQ_04</c:v>
                </c:pt>
                <c:pt idx="4">
                  <c:v>IDEQ_05</c:v>
                </c:pt>
                <c:pt idx="5">
                  <c:v>IDEQ_06</c:v>
                </c:pt>
                <c:pt idx="6">
                  <c:v>IDEQ_07</c:v>
                </c:pt>
                <c:pt idx="7">
                  <c:v>IDEQ_08</c:v>
                </c:pt>
                <c:pt idx="8">
                  <c:v>IDEQ_09</c:v>
                </c:pt>
                <c:pt idx="9">
                  <c:v>IDEQ_10</c:v>
                </c:pt>
                <c:pt idx="10">
                  <c:v>IDEQ_100</c:v>
                </c:pt>
                <c:pt idx="11">
                  <c:v>IDEQ_101</c:v>
                </c:pt>
                <c:pt idx="12">
                  <c:v>IDEQ_102</c:v>
                </c:pt>
                <c:pt idx="13">
                  <c:v>IDEQ_103</c:v>
                </c:pt>
                <c:pt idx="14">
                  <c:v>IDEQ_104</c:v>
                </c:pt>
                <c:pt idx="15">
                  <c:v>IDEQ_105</c:v>
                </c:pt>
                <c:pt idx="16">
                  <c:v>IDEQ_106</c:v>
                </c:pt>
                <c:pt idx="17">
                  <c:v>IDEQ_107</c:v>
                </c:pt>
                <c:pt idx="18">
                  <c:v>IDEQ_108</c:v>
                </c:pt>
                <c:pt idx="19">
                  <c:v>IDEQ_109</c:v>
                </c:pt>
                <c:pt idx="20">
                  <c:v>IDEQ_11</c:v>
                </c:pt>
                <c:pt idx="21">
                  <c:v>IDEQ_12</c:v>
                </c:pt>
                <c:pt idx="22">
                  <c:v>IDEQ_13</c:v>
                </c:pt>
                <c:pt idx="23">
                  <c:v>IDEQ_14</c:v>
                </c:pt>
                <c:pt idx="24">
                  <c:v>IDEQ_15</c:v>
                </c:pt>
                <c:pt idx="25">
                  <c:v>IDEQ_16</c:v>
                </c:pt>
                <c:pt idx="26">
                  <c:v>IDEQ_17</c:v>
                </c:pt>
                <c:pt idx="27">
                  <c:v>IDEQ_18</c:v>
                </c:pt>
                <c:pt idx="28">
                  <c:v>IDEQ_19</c:v>
                </c:pt>
                <c:pt idx="29">
                  <c:v>IDEQ_20</c:v>
                </c:pt>
                <c:pt idx="30">
                  <c:v>IDEQ_21</c:v>
                </c:pt>
                <c:pt idx="31">
                  <c:v>IDEQ_22</c:v>
                </c:pt>
                <c:pt idx="32">
                  <c:v>IDEQ_23</c:v>
                </c:pt>
                <c:pt idx="33">
                  <c:v>IDEQ_24</c:v>
                </c:pt>
                <c:pt idx="34">
                  <c:v>IDEQ_25</c:v>
                </c:pt>
                <c:pt idx="35">
                  <c:v>IDEQ_26</c:v>
                </c:pt>
                <c:pt idx="36">
                  <c:v>IDEQ_27</c:v>
                </c:pt>
                <c:pt idx="37">
                  <c:v>IDEQ_28</c:v>
                </c:pt>
                <c:pt idx="38">
                  <c:v>IDEQ_29</c:v>
                </c:pt>
                <c:pt idx="39">
                  <c:v>IDEQ_30</c:v>
                </c:pt>
                <c:pt idx="40">
                  <c:v>IDEQ_31</c:v>
                </c:pt>
                <c:pt idx="41">
                  <c:v>IDEQ_32</c:v>
                </c:pt>
                <c:pt idx="42">
                  <c:v>IDEQ_33</c:v>
                </c:pt>
                <c:pt idx="43">
                  <c:v>IDEQ_34</c:v>
                </c:pt>
                <c:pt idx="44">
                  <c:v>IDEQ_35</c:v>
                </c:pt>
                <c:pt idx="45">
                  <c:v>IDEQ_36</c:v>
                </c:pt>
                <c:pt idx="46">
                  <c:v>IDEQ_37</c:v>
                </c:pt>
                <c:pt idx="47">
                  <c:v>IDEQ_38</c:v>
                </c:pt>
                <c:pt idx="48">
                  <c:v>IDEQ_39</c:v>
                </c:pt>
                <c:pt idx="49">
                  <c:v>IDEQ_40</c:v>
                </c:pt>
                <c:pt idx="50">
                  <c:v>IDEQ_41</c:v>
                </c:pt>
                <c:pt idx="51">
                  <c:v>IDEQ_42</c:v>
                </c:pt>
                <c:pt idx="52">
                  <c:v>IDEQ_43</c:v>
                </c:pt>
                <c:pt idx="53">
                  <c:v>IDEQ_44</c:v>
                </c:pt>
                <c:pt idx="54">
                  <c:v>IDEQ_45</c:v>
                </c:pt>
                <c:pt idx="55">
                  <c:v>IDEQ_46</c:v>
                </c:pt>
                <c:pt idx="56">
                  <c:v>IDEQ_47</c:v>
                </c:pt>
                <c:pt idx="57">
                  <c:v>IDEQ_48</c:v>
                </c:pt>
                <c:pt idx="58">
                  <c:v>IDEQ_49</c:v>
                </c:pt>
                <c:pt idx="59">
                  <c:v>IDEQ_50</c:v>
                </c:pt>
                <c:pt idx="60">
                  <c:v>IDEQ_51</c:v>
                </c:pt>
                <c:pt idx="61">
                  <c:v>IDEQ_52</c:v>
                </c:pt>
                <c:pt idx="62">
                  <c:v>IDEQ_53</c:v>
                </c:pt>
                <c:pt idx="63">
                  <c:v>IDEQ_54</c:v>
                </c:pt>
                <c:pt idx="64">
                  <c:v>IDEQ_55</c:v>
                </c:pt>
                <c:pt idx="65">
                  <c:v>IDEQ_56</c:v>
                </c:pt>
                <c:pt idx="66">
                  <c:v>IDEQ_57</c:v>
                </c:pt>
                <c:pt idx="67">
                  <c:v>IDEQ_58</c:v>
                </c:pt>
                <c:pt idx="68">
                  <c:v>IDEQ_59</c:v>
                </c:pt>
                <c:pt idx="69">
                  <c:v>IDEQ_60</c:v>
                </c:pt>
                <c:pt idx="70">
                  <c:v>IDEQ_61</c:v>
                </c:pt>
                <c:pt idx="71">
                  <c:v>IDEQ_62</c:v>
                </c:pt>
                <c:pt idx="72">
                  <c:v>IDEQ_63</c:v>
                </c:pt>
                <c:pt idx="73">
                  <c:v>IDEQ_64</c:v>
                </c:pt>
                <c:pt idx="74">
                  <c:v>IDEQ_65</c:v>
                </c:pt>
                <c:pt idx="75">
                  <c:v>IDEQ_66</c:v>
                </c:pt>
                <c:pt idx="76">
                  <c:v>IDEQ_67</c:v>
                </c:pt>
                <c:pt idx="77">
                  <c:v>IDEQ_68</c:v>
                </c:pt>
                <c:pt idx="78">
                  <c:v>IDEQ_69</c:v>
                </c:pt>
                <c:pt idx="79">
                  <c:v>IDEQ_70</c:v>
                </c:pt>
                <c:pt idx="80">
                  <c:v>IDEQ_71</c:v>
                </c:pt>
                <c:pt idx="81">
                  <c:v>IDEQ_72</c:v>
                </c:pt>
                <c:pt idx="82">
                  <c:v>IDEQ_73</c:v>
                </c:pt>
                <c:pt idx="83">
                  <c:v>IDEQ_74</c:v>
                </c:pt>
                <c:pt idx="84">
                  <c:v>IDEQ_75</c:v>
                </c:pt>
                <c:pt idx="85">
                  <c:v>IDEQ_76</c:v>
                </c:pt>
                <c:pt idx="86">
                  <c:v>IDEQ_77</c:v>
                </c:pt>
                <c:pt idx="87">
                  <c:v>IDEQ_78</c:v>
                </c:pt>
                <c:pt idx="88">
                  <c:v>IDEQ_79</c:v>
                </c:pt>
                <c:pt idx="89">
                  <c:v>IDEQ_80</c:v>
                </c:pt>
                <c:pt idx="90">
                  <c:v>IDEQ_81</c:v>
                </c:pt>
                <c:pt idx="91">
                  <c:v>IDEQ_82</c:v>
                </c:pt>
                <c:pt idx="92">
                  <c:v>IDEQ_83</c:v>
                </c:pt>
                <c:pt idx="93">
                  <c:v>IDEQ_84</c:v>
                </c:pt>
                <c:pt idx="94">
                  <c:v>IDEQ_85</c:v>
                </c:pt>
                <c:pt idx="95">
                  <c:v>IDEQ_86</c:v>
                </c:pt>
                <c:pt idx="96">
                  <c:v>IDEQ_87</c:v>
                </c:pt>
                <c:pt idx="97">
                  <c:v>IDEQ_88</c:v>
                </c:pt>
                <c:pt idx="98">
                  <c:v>IDEQ_89</c:v>
                </c:pt>
                <c:pt idx="99">
                  <c:v>IDEQ_90</c:v>
                </c:pt>
                <c:pt idx="100">
                  <c:v>IDEQ_91</c:v>
                </c:pt>
                <c:pt idx="101">
                  <c:v>IDEQ_92</c:v>
                </c:pt>
                <c:pt idx="102">
                  <c:v>IDEQ_93</c:v>
                </c:pt>
                <c:pt idx="103">
                  <c:v>IDEQ_94</c:v>
                </c:pt>
                <c:pt idx="104">
                  <c:v>IDEQ_95</c:v>
                </c:pt>
                <c:pt idx="105">
                  <c:v>IDEQ_96</c:v>
                </c:pt>
                <c:pt idx="106">
                  <c:v>IDEQ_97</c:v>
                </c:pt>
                <c:pt idx="107">
                  <c:v>IDEQ_98</c:v>
                </c:pt>
                <c:pt idx="108">
                  <c:v>IDEQ_99</c:v>
                </c:pt>
              </c:strCache>
            </c:strRef>
          </c:cat>
          <c:val>
            <c:numRef>
              <c:f>'tablas dinamicas 2'!$B$330:$B$439</c:f>
              <c:numCache>
                <c:formatCode>General</c:formatCode>
                <c:ptCount val="109"/>
                <c:pt idx="0">
                  <c:v>13</c:v>
                </c:pt>
                <c:pt idx="1">
                  <c:v>6</c:v>
                </c:pt>
                <c:pt idx="2">
                  <c:v>2</c:v>
                </c:pt>
                <c:pt idx="3">
                  <c:v>5</c:v>
                </c:pt>
                <c:pt idx="4">
                  <c:v>24</c:v>
                </c:pt>
                <c:pt idx="5">
                  <c:v>1</c:v>
                </c:pt>
                <c:pt idx="6">
                  <c:v>2</c:v>
                </c:pt>
                <c:pt idx="7">
                  <c:v>22</c:v>
                </c:pt>
                <c:pt idx="8">
                  <c:v>1</c:v>
                </c:pt>
                <c:pt idx="9">
                  <c:v>5</c:v>
                </c:pt>
                <c:pt idx="10">
                  <c:v>14</c:v>
                </c:pt>
                <c:pt idx="11">
                  <c:v>10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6</c:v>
                </c:pt>
                <c:pt idx="21">
                  <c:v>40</c:v>
                </c:pt>
                <c:pt idx="22">
                  <c:v>25</c:v>
                </c:pt>
                <c:pt idx="23">
                  <c:v>7</c:v>
                </c:pt>
                <c:pt idx="24">
                  <c:v>32</c:v>
                </c:pt>
                <c:pt idx="25">
                  <c:v>21</c:v>
                </c:pt>
                <c:pt idx="26">
                  <c:v>1</c:v>
                </c:pt>
                <c:pt idx="27">
                  <c:v>31</c:v>
                </c:pt>
                <c:pt idx="28">
                  <c:v>24</c:v>
                </c:pt>
                <c:pt idx="29">
                  <c:v>22</c:v>
                </c:pt>
                <c:pt idx="30">
                  <c:v>1</c:v>
                </c:pt>
                <c:pt idx="31">
                  <c:v>2</c:v>
                </c:pt>
                <c:pt idx="32">
                  <c:v>28</c:v>
                </c:pt>
                <c:pt idx="33">
                  <c:v>29</c:v>
                </c:pt>
                <c:pt idx="34">
                  <c:v>24</c:v>
                </c:pt>
                <c:pt idx="35">
                  <c:v>27</c:v>
                </c:pt>
                <c:pt idx="36">
                  <c:v>3</c:v>
                </c:pt>
                <c:pt idx="37">
                  <c:v>4</c:v>
                </c:pt>
                <c:pt idx="38">
                  <c:v>2</c:v>
                </c:pt>
                <c:pt idx="39">
                  <c:v>21</c:v>
                </c:pt>
                <c:pt idx="40">
                  <c:v>36</c:v>
                </c:pt>
                <c:pt idx="41">
                  <c:v>4</c:v>
                </c:pt>
                <c:pt idx="42">
                  <c:v>6</c:v>
                </c:pt>
                <c:pt idx="43">
                  <c:v>35</c:v>
                </c:pt>
                <c:pt idx="44">
                  <c:v>1</c:v>
                </c:pt>
                <c:pt idx="45">
                  <c:v>24</c:v>
                </c:pt>
                <c:pt idx="46">
                  <c:v>5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3</c:v>
                </c:pt>
                <c:pt idx="51">
                  <c:v>4</c:v>
                </c:pt>
                <c:pt idx="52">
                  <c:v>1</c:v>
                </c:pt>
                <c:pt idx="53">
                  <c:v>22</c:v>
                </c:pt>
                <c:pt idx="54">
                  <c:v>3</c:v>
                </c:pt>
                <c:pt idx="55">
                  <c:v>21</c:v>
                </c:pt>
                <c:pt idx="56">
                  <c:v>14</c:v>
                </c:pt>
                <c:pt idx="57">
                  <c:v>30</c:v>
                </c:pt>
                <c:pt idx="58">
                  <c:v>5</c:v>
                </c:pt>
                <c:pt idx="59">
                  <c:v>2</c:v>
                </c:pt>
                <c:pt idx="60">
                  <c:v>9</c:v>
                </c:pt>
                <c:pt idx="61">
                  <c:v>1</c:v>
                </c:pt>
                <c:pt idx="62">
                  <c:v>1</c:v>
                </c:pt>
                <c:pt idx="63">
                  <c:v>7</c:v>
                </c:pt>
                <c:pt idx="64">
                  <c:v>1</c:v>
                </c:pt>
                <c:pt idx="65">
                  <c:v>13</c:v>
                </c:pt>
                <c:pt idx="66">
                  <c:v>27</c:v>
                </c:pt>
                <c:pt idx="67">
                  <c:v>1</c:v>
                </c:pt>
                <c:pt idx="68">
                  <c:v>2</c:v>
                </c:pt>
                <c:pt idx="69">
                  <c:v>4</c:v>
                </c:pt>
                <c:pt idx="70">
                  <c:v>1</c:v>
                </c:pt>
                <c:pt idx="71">
                  <c:v>1</c:v>
                </c:pt>
                <c:pt idx="72">
                  <c:v>5</c:v>
                </c:pt>
                <c:pt idx="73">
                  <c:v>16</c:v>
                </c:pt>
                <c:pt idx="74">
                  <c:v>6</c:v>
                </c:pt>
                <c:pt idx="75">
                  <c:v>9</c:v>
                </c:pt>
                <c:pt idx="76">
                  <c:v>22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8</c:v>
                </c:pt>
                <c:pt idx="81">
                  <c:v>2</c:v>
                </c:pt>
                <c:pt idx="82">
                  <c:v>5</c:v>
                </c:pt>
                <c:pt idx="83">
                  <c:v>1</c:v>
                </c:pt>
                <c:pt idx="84">
                  <c:v>5</c:v>
                </c:pt>
                <c:pt idx="85">
                  <c:v>6</c:v>
                </c:pt>
                <c:pt idx="86">
                  <c:v>2</c:v>
                </c:pt>
                <c:pt idx="87">
                  <c:v>9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15</c:v>
                </c:pt>
                <c:pt idx="92">
                  <c:v>1</c:v>
                </c:pt>
                <c:pt idx="93">
                  <c:v>1</c:v>
                </c:pt>
                <c:pt idx="94">
                  <c:v>3</c:v>
                </c:pt>
                <c:pt idx="95">
                  <c:v>3</c:v>
                </c:pt>
                <c:pt idx="96">
                  <c:v>2</c:v>
                </c:pt>
                <c:pt idx="97">
                  <c:v>7</c:v>
                </c:pt>
                <c:pt idx="98">
                  <c:v>3</c:v>
                </c:pt>
                <c:pt idx="99">
                  <c:v>1</c:v>
                </c:pt>
                <c:pt idx="100">
                  <c:v>4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3</c:v>
                </c:pt>
                <c:pt idx="105">
                  <c:v>3</c:v>
                </c:pt>
                <c:pt idx="106">
                  <c:v>2</c:v>
                </c:pt>
                <c:pt idx="107">
                  <c:v>3</c:v>
                </c:pt>
                <c:pt idx="10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8C-45D1-A24F-88AF491D3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69478192"/>
        <c:axId val="1469477536"/>
      </c:barChart>
      <c:lineChart>
        <c:grouping val="standard"/>
        <c:varyColors val="0"/>
        <c:ser>
          <c:idx val="1"/>
          <c:order val="1"/>
          <c:tx>
            <c:strRef>
              <c:f>'tablas dinamicas 2'!$C$329</c:f>
              <c:strCache>
                <c:ptCount val="1"/>
                <c:pt idx="0">
                  <c:v>Suma de TIEMPO PARADA</c:v>
                </c:pt>
              </c:strCache>
            </c:strRef>
          </c:tx>
          <c:spPr>
            <a:ln w="41275" cap="rnd">
              <a:solidFill>
                <a:srgbClr val="38629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86294"/>
              </a:solidFill>
              <a:ln w="9525">
                <a:solidFill>
                  <a:srgbClr val="386294"/>
                </a:solidFill>
              </a:ln>
              <a:effectLst/>
            </c:spPr>
          </c:marker>
          <c:cat>
            <c:strRef>
              <c:f>'tablas dinamicas 2'!$A$330:$A$439</c:f>
              <c:strCache>
                <c:ptCount val="109"/>
                <c:pt idx="0">
                  <c:v>IDEQ_01</c:v>
                </c:pt>
                <c:pt idx="1">
                  <c:v>IDEQ_02</c:v>
                </c:pt>
                <c:pt idx="2">
                  <c:v>IDEQ_03</c:v>
                </c:pt>
                <c:pt idx="3">
                  <c:v>IDEQ_04</c:v>
                </c:pt>
                <c:pt idx="4">
                  <c:v>IDEQ_05</c:v>
                </c:pt>
                <c:pt idx="5">
                  <c:v>IDEQ_06</c:v>
                </c:pt>
                <c:pt idx="6">
                  <c:v>IDEQ_07</c:v>
                </c:pt>
                <c:pt idx="7">
                  <c:v>IDEQ_08</c:v>
                </c:pt>
                <c:pt idx="8">
                  <c:v>IDEQ_09</c:v>
                </c:pt>
                <c:pt idx="9">
                  <c:v>IDEQ_10</c:v>
                </c:pt>
                <c:pt idx="10">
                  <c:v>IDEQ_100</c:v>
                </c:pt>
                <c:pt idx="11">
                  <c:v>IDEQ_101</c:v>
                </c:pt>
                <c:pt idx="12">
                  <c:v>IDEQ_102</c:v>
                </c:pt>
                <c:pt idx="13">
                  <c:v>IDEQ_103</c:v>
                </c:pt>
                <c:pt idx="14">
                  <c:v>IDEQ_104</c:v>
                </c:pt>
                <c:pt idx="15">
                  <c:v>IDEQ_105</c:v>
                </c:pt>
                <c:pt idx="16">
                  <c:v>IDEQ_106</c:v>
                </c:pt>
                <c:pt idx="17">
                  <c:v>IDEQ_107</c:v>
                </c:pt>
                <c:pt idx="18">
                  <c:v>IDEQ_108</c:v>
                </c:pt>
                <c:pt idx="19">
                  <c:v>IDEQ_109</c:v>
                </c:pt>
                <c:pt idx="20">
                  <c:v>IDEQ_11</c:v>
                </c:pt>
                <c:pt idx="21">
                  <c:v>IDEQ_12</c:v>
                </c:pt>
                <c:pt idx="22">
                  <c:v>IDEQ_13</c:v>
                </c:pt>
                <c:pt idx="23">
                  <c:v>IDEQ_14</c:v>
                </c:pt>
                <c:pt idx="24">
                  <c:v>IDEQ_15</c:v>
                </c:pt>
                <c:pt idx="25">
                  <c:v>IDEQ_16</c:v>
                </c:pt>
                <c:pt idx="26">
                  <c:v>IDEQ_17</c:v>
                </c:pt>
                <c:pt idx="27">
                  <c:v>IDEQ_18</c:v>
                </c:pt>
                <c:pt idx="28">
                  <c:v>IDEQ_19</c:v>
                </c:pt>
                <c:pt idx="29">
                  <c:v>IDEQ_20</c:v>
                </c:pt>
                <c:pt idx="30">
                  <c:v>IDEQ_21</c:v>
                </c:pt>
                <c:pt idx="31">
                  <c:v>IDEQ_22</c:v>
                </c:pt>
                <c:pt idx="32">
                  <c:v>IDEQ_23</c:v>
                </c:pt>
                <c:pt idx="33">
                  <c:v>IDEQ_24</c:v>
                </c:pt>
                <c:pt idx="34">
                  <c:v>IDEQ_25</c:v>
                </c:pt>
                <c:pt idx="35">
                  <c:v>IDEQ_26</c:v>
                </c:pt>
                <c:pt idx="36">
                  <c:v>IDEQ_27</c:v>
                </c:pt>
                <c:pt idx="37">
                  <c:v>IDEQ_28</c:v>
                </c:pt>
                <c:pt idx="38">
                  <c:v>IDEQ_29</c:v>
                </c:pt>
                <c:pt idx="39">
                  <c:v>IDEQ_30</c:v>
                </c:pt>
                <c:pt idx="40">
                  <c:v>IDEQ_31</c:v>
                </c:pt>
                <c:pt idx="41">
                  <c:v>IDEQ_32</c:v>
                </c:pt>
                <c:pt idx="42">
                  <c:v>IDEQ_33</c:v>
                </c:pt>
                <c:pt idx="43">
                  <c:v>IDEQ_34</c:v>
                </c:pt>
                <c:pt idx="44">
                  <c:v>IDEQ_35</c:v>
                </c:pt>
                <c:pt idx="45">
                  <c:v>IDEQ_36</c:v>
                </c:pt>
                <c:pt idx="46">
                  <c:v>IDEQ_37</c:v>
                </c:pt>
                <c:pt idx="47">
                  <c:v>IDEQ_38</c:v>
                </c:pt>
                <c:pt idx="48">
                  <c:v>IDEQ_39</c:v>
                </c:pt>
                <c:pt idx="49">
                  <c:v>IDEQ_40</c:v>
                </c:pt>
                <c:pt idx="50">
                  <c:v>IDEQ_41</c:v>
                </c:pt>
                <c:pt idx="51">
                  <c:v>IDEQ_42</c:v>
                </c:pt>
                <c:pt idx="52">
                  <c:v>IDEQ_43</c:v>
                </c:pt>
                <c:pt idx="53">
                  <c:v>IDEQ_44</c:v>
                </c:pt>
                <c:pt idx="54">
                  <c:v>IDEQ_45</c:v>
                </c:pt>
                <c:pt idx="55">
                  <c:v>IDEQ_46</c:v>
                </c:pt>
                <c:pt idx="56">
                  <c:v>IDEQ_47</c:v>
                </c:pt>
                <c:pt idx="57">
                  <c:v>IDEQ_48</c:v>
                </c:pt>
                <c:pt idx="58">
                  <c:v>IDEQ_49</c:v>
                </c:pt>
                <c:pt idx="59">
                  <c:v>IDEQ_50</c:v>
                </c:pt>
                <c:pt idx="60">
                  <c:v>IDEQ_51</c:v>
                </c:pt>
                <c:pt idx="61">
                  <c:v>IDEQ_52</c:v>
                </c:pt>
                <c:pt idx="62">
                  <c:v>IDEQ_53</c:v>
                </c:pt>
                <c:pt idx="63">
                  <c:v>IDEQ_54</c:v>
                </c:pt>
                <c:pt idx="64">
                  <c:v>IDEQ_55</c:v>
                </c:pt>
                <c:pt idx="65">
                  <c:v>IDEQ_56</c:v>
                </c:pt>
                <c:pt idx="66">
                  <c:v>IDEQ_57</c:v>
                </c:pt>
                <c:pt idx="67">
                  <c:v>IDEQ_58</c:v>
                </c:pt>
                <c:pt idx="68">
                  <c:v>IDEQ_59</c:v>
                </c:pt>
                <c:pt idx="69">
                  <c:v>IDEQ_60</c:v>
                </c:pt>
                <c:pt idx="70">
                  <c:v>IDEQ_61</c:v>
                </c:pt>
                <c:pt idx="71">
                  <c:v>IDEQ_62</c:v>
                </c:pt>
                <c:pt idx="72">
                  <c:v>IDEQ_63</c:v>
                </c:pt>
                <c:pt idx="73">
                  <c:v>IDEQ_64</c:v>
                </c:pt>
                <c:pt idx="74">
                  <c:v>IDEQ_65</c:v>
                </c:pt>
                <c:pt idx="75">
                  <c:v>IDEQ_66</c:v>
                </c:pt>
                <c:pt idx="76">
                  <c:v>IDEQ_67</c:v>
                </c:pt>
                <c:pt idx="77">
                  <c:v>IDEQ_68</c:v>
                </c:pt>
                <c:pt idx="78">
                  <c:v>IDEQ_69</c:v>
                </c:pt>
                <c:pt idx="79">
                  <c:v>IDEQ_70</c:v>
                </c:pt>
                <c:pt idx="80">
                  <c:v>IDEQ_71</c:v>
                </c:pt>
                <c:pt idx="81">
                  <c:v>IDEQ_72</c:v>
                </c:pt>
                <c:pt idx="82">
                  <c:v>IDEQ_73</c:v>
                </c:pt>
                <c:pt idx="83">
                  <c:v>IDEQ_74</c:v>
                </c:pt>
                <c:pt idx="84">
                  <c:v>IDEQ_75</c:v>
                </c:pt>
                <c:pt idx="85">
                  <c:v>IDEQ_76</c:v>
                </c:pt>
                <c:pt idx="86">
                  <c:v>IDEQ_77</c:v>
                </c:pt>
                <c:pt idx="87">
                  <c:v>IDEQ_78</c:v>
                </c:pt>
                <c:pt idx="88">
                  <c:v>IDEQ_79</c:v>
                </c:pt>
                <c:pt idx="89">
                  <c:v>IDEQ_80</c:v>
                </c:pt>
                <c:pt idx="90">
                  <c:v>IDEQ_81</c:v>
                </c:pt>
                <c:pt idx="91">
                  <c:v>IDEQ_82</c:v>
                </c:pt>
                <c:pt idx="92">
                  <c:v>IDEQ_83</c:v>
                </c:pt>
                <c:pt idx="93">
                  <c:v>IDEQ_84</c:v>
                </c:pt>
                <c:pt idx="94">
                  <c:v>IDEQ_85</c:v>
                </c:pt>
                <c:pt idx="95">
                  <c:v>IDEQ_86</c:v>
                </c:pt>
                <c:pt idx="96">
                  <c:v>IDEQ_87</c:v>
                </c:pt>
                <c:pt idx="97">
                  <c:v>IDEQ_88</c:v>
                </c:pt>
                <c:pt idx="98">
                  <c:v>IDEQ_89</c:v>
                </c:pt>
                <c:pt idx="99">
                  <c:v>IDEQ_90</c:v>
                </c:pt>
                <c:pt idx="100">
                  <c:v>IDEQ_91</c:v>
                </c:pt>
                <c:pt idx="101">
                  <c:v>IDEQ_92</c:v>
                </c:pt>
                <c:pt idx="102">
                  <c:v>IDEQ_93</c:v>
                </c:pt>
                <c:pt idx="103">
                  <c:v>IDEQ_94</c:v>
                </c:pt>
                <c:pt idx="104">
                  <c:v>IDEQ_95</c:v>
                </c:pt>
                <c:pt idx="105">
                  <c:v>IDEQ_96</c:v>
                </c:pt>
                <c:pt idx="106">
                  <c:v>IDEQ_97</c:v>
                </c:pt>
                <c:pt idx="107">
                  <c:v>IDEQ_98</c:v>
                </c:pt>
                <c:pt idx="108">
                  <c:v>IDEQ_99</c:v>
                </c:pt>
              </c:strCache>
            </c:strRef>
          </c:cat>
          <c:val>
            <c:numRef>
              <c:f>'tablas dinamicas 2'!$C$330:$C$439</c:f>
              <c:numCache>
                <c:formatCode>General</c:formatCode>
                <c:ptCount val="109"/>
                <c:pt idx="0">
                  <c:v>43.5</c:v>
                </c:pt>
                <c:pt idx="1">
                  <c:v>13.5</c:v>
                </c:pt>
                <c:pt idx="2">
                  <c:v>18</c:v>
                </c:pt>
                <c:pt idx="3">
                  <c:v>16</c:v>
                </c:pt>
                <c:pt idx="4">
                  <c:v>72.5</c:v>
                </c:pt>
                <c:pt idx="5">
                  <c:v>5</c:v>
                </c:pt>
                <c:pt idx="6">
                  <c:v>9</c:v>
                </c:pt>
                <c:pt idx="7">
                  <c:v>29.5</c:v>
                </c:pt>
                <c:pt idx="8">
                  <c:v>1</c:v>
                </c:pt>
                <c:pt idx="9">
                  <c:v>7.5</c:v>
                </c:pt>
                <c:pt idx="10">
                  <c:v>41.5</c:v>
                </c:pt>
                <c:pt idx="11">
                  <c:v>30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8</c:v>
                </c:pt>
                <c:pt idx="16">
                  <c:v>4</c:v>
                </c:pt>
                <c:pt idx="17">
                  <c:v>6</c:v>
                </c:pt>
                <c:pt idx="18">
                  <c:v>1</c:v>
                </c:pt>
                <c:pt idx="19">
                  <c:v>4</c:v>
                </c:pt>
                <c:pt idx="20">
                  <c:v>17</c:v>
                </c:pt>
                <c:pt idx="21">
                  <c:v>72.599999999999994</c:v>
                </c:pt>
                <c:pt idx="22">
                  <c:v>40.5</c:v>
                </c:pt>
                <c:pt idx="23">
                  <c:v>20.5</c:v>
                </c:pt>
                <c:pt idx="24">
                  <c:v>49.5</c:v>
                </c:pt>
                <c:pt idx="25">
                  <c:v>43.5</c:v>
                </c:pt>
                <c:pt idx="26">
                  <c:v>9</c:v>
                </c:pt>
                <c:pt idx="27">
                  <c:v>39.5</c:v>
                </c:pt>
                <c:pt idx="28">
                  <c:v>29.5</c:v>
                </c:pt>
                <c:pt idx="29">
                  <c:v>67.5</c:v>
                </c:pt>
                <c:pt idx="30">
                  <c:v>1</c:v>
                </c:pt>
                <c:pt idx="31">
                  <c:v>9</c:v>
                </c:pt>
                <c:pt idx="32">
                  <c:v>50</c:v>
                </c:pt>
                <c:pt idx="33">
                  <c:v>47</c:v>
                </c:pt>
                <c:pt idx="34">
                  <c:v>42.5</c:v>
                </c:pt>
                <c:pt idx="35">
                  <c:v>31</c:v>
                </c:pt>
                <c:pt idx="36">
                  <c:v>4</c:v>
                </c:pt>
                <c:pt idx="37">
                  <c:v>26.5</c:v>
                </c:pt>
                <c:pt idx="38">
                  <c:v>3</c:v>
                </c:pt>
                <c:pt idx="39">
                  <c:v>41</c:v>
                </c:pt>
                <c:pt idx="40">
                  <c:v>45.5</c:v>
                </c:pt>
                <c:pt idx="41">
                  <c:v>16</c:v>
                </c:pt>
                <c:pt idx="42">
                  <c:v>11</c:v>
                </c:pt>
                <c:pt idx="43">
                  <c:v>51.5</c:v>
                </c:pt>
                <c:pt idx="44">
                  <c:v>1</c:v>
                </c:pt>
                <c:pt idx="45">
                  <c:v>39</c:v>
                </c:pt>
                <c:pt idx="46">
                  <c:v>6</c:v>
                </c:pt>
                <c:pt idx="47">
                  <c:v>14</c:v>
                </c:pt>
                <c:pt idx="48">
                  <c:v>13</c:v>
                </c:pt>
                <c:pt idx="49">
                  <c:v>1.5</c:v>
                </c:pt>
                <c:pt idx="50">
                  <c:v>3</c:v>
                </c:pt>
                <c:pt idx="51">
                  <c:v>10</c:v>
                </c:pt>
                <c:pt idx="52">
                  <c:v>1.5</c:v>
                </c:pt>
                <c:pt idx="53">
                  <c:v>44</c:v>
                </c:pt>
                <c:pt idx="54">
                  <c:v>7.5</c:v>
                </c:pt>
                <c:pt idx="55">
                  <c:v>34</c:v>
                </c:pt>
                <c:pt idx="56">
                  <c:v>26.5</c:v>
                </c:pt>
                <c:pt idx="57">
                  <c:v>54</c:v>
                </c:pt>
                <c:pt idx="58">
                  <c:v>5.5</c:v>
                </c:pt>
                <c:pt idx="59">
                  <c:v>2.5</c:v>
                </c:pt>
                <c:pt idx="60">
                  <c:v>10</c:v>
                </c:pt>
                <c:pt idx="61">
                  <c:v>9</c:v>
                </c:pt>
                <c:pt idx="62">
                  <c:v>1</c:v>
                </c:pt>
                <c:pt idx="63">
                  <c:v>12.5</c:v>
                </c:pt>
                <c:pt idx="64">
                  <c:v>4</c:v>
                </c:pt>
                <c:pt idx="65">
                  <c:v>34</c:v>
                </c:pt>
                <c:pt idx="66">
                  <c:v>36</c:v>
                </c:pt>
                <c:pt idx="67">
                  <c:v>2.5</c:v>
                </c:pt>
                <c:pt idx="68">
                  <c:v>9.5</c:v>
                </c:pt>
                <c:pt idx="69">
                  <c:v>8</c:v>
                </c:pt>
                <c:pt idx="70">
                  <c:v>0</c:v>
                </c:pt>
                <c:pt idx="71">
                  <c:v>2.5</c:v>
                </c:pt>
                <c:pt idx="72">
                  <c:v>4.5</c:v>
                </c:pt>
                <c:pt idx="73">
                  <c:v>25</c:v>
                </c:pt>
                <c:pt idx="74">
                  <c:v>26.5</c:v>
                </c:pt>
                <c:pt idx="75">
                  <c:v>16</c:v>
                </c:pt>
                <c:pt idx="76">
                  <c:v>28</c:v>
                </c:pt>
                <c:pt idx="77">
                  <c:v>2</c:v>
                </c:pt>
                <c:pt idx="78">
                  <c:v>2</c:v>
                </c:pt>
                <c:pt idx="79">
                  <c:v>11</c:v>
                </c:pt>
                <c:pt idx="80">
                  <c:v>22.5</c:v>
                </c:pt>
                <c:pt idx="81">
                  <c:v>3.5</c:v>
                </c:pt>
                <c:pt idx="82">
                  <c:v>6.5</c:v>
                </c:pt>
                <c:pt idx="83">
                  <c:v>3</c:v>
                </c:pt>
                <c:pt idx="84">
                  <c:v>20</c:v>
                </c:pt>
                <c:pt idx="85">
                  <c:v>25.5</c:v>
                </c:pt>
                <c:pt idx="86">
                  <c:v>5</c:v>
                </c:pt>
                <c:pt idx="87">
                  <c:v>12</c:v>
                </c:pt>
                <c:pt idx="88">
                  <c:v>0.5</c:v>
                </c:pt>
                <c:pt idx="89">
                  <c:v>3</c:v>
                </c:pt>
                <c:pt idx="90">
                  <c:v>2</c:v>
                </c:pt>
                <c:pt idx="91">
                  <c:v>28.5</c:v>
                </c:pt>
                <c:pt idx="92">
                  <c:v>1</c:v>
                </c:pt>
                <c:pt idx="93">
                  <c:v>1</c:v>
                </c:pt>
                <c:pt idx="94">
                  <c:v>9</c:v>
                </c:pt>
                <c:pt idx="95">
                  <c:v>5.5</c:v>
                </c:pt>
                <c:pt idx="96">
                  <c:v>9</c:v>
                </c:pt>
                <c:pt idx="97">
                  <c:v>10</c:v>
                </c:pt>
                <c:pt idx="98">
                  <c:v>16.5</c:v>
                </c:pt>
                <c:pt idx="99">
                  <c:v>5</c:v>
                </c:pt>
                <c:pt idx="100">
                  <c:v>13</c:v>
                </c:pt>
                <c:pt idx="101">
                  <c:v>6.5</c:v>
                </c:pt>
                <c:pt idx="102">
                  <c:v>14.5</c:v>
                </c:pt>
                <c:pt idx="103">
                  <c:v>1</c:v>
                </c:pt>
                <c:pt idx="104">
                  <c:v>5</c:v>
                </c:pt>
                <c:pt idx="105">
                  <c:v>6</c:v>
                </c:pt>
                <c:pt idx="106">
                  <c:v>3</c:v>
                </c:pt>
                <c:pt idx="107">
                  <c:v>2.5</c:v>
                </c:pt>
                <c:pt idx="10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D-49E1-BAF0-4C6EF2B1A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9478192"/>
        <c:axId val="1469477536"/>
      </c:lineChart>
      <c:catAx>
        <c:axId val="146947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s-AR"/>
          </a:p>
        </c:txPr>
        <c:crossAx val="1469477536"/>
        <c:crosses val="autoZero"/>
        <c:auto val="1"/>
        <c:lblAlgn val="ctr"/>
        <c:lblOffset val="100"/>
        <c:noMultiLvlLbl val="1"/>
      </c:catAx>
      <c:valAx>
        <c:axId val="1469477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6947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200" b="0">
          <a:solidFill>
            <a:schemeClr val="bg1">
              <a:lumMod val="95000"/>
            </a:schemeClr>
          </a:solidFill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[indicadores_mant.xlsm]tablas dinamicas 2!TablaDinámica5</c:name>
    <c:fmtId val="2"/>
  </c:pivotSource>
  <c:chart>
    <c:autoTitleDeleted val="1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</c:pivotFmt>
      <c:pivotFmt>
        <c:idx val="2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</c:pivotFmt>
      <c:pivotFmt>
        <c:idx val="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</c:pivotFmt>
      <c:pivotFmt>
        <c:idx val="35"/>
      </c:pivotFmt>
      <c:pivotFmt>
        <c:idx val="36"/>
        <c:spPr>
          <a:solidFill>
            <a:srgbClr val="8064A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800" b="0" i="0" u="none" strike="noStrike" kern="1200" baseline="0">
                  <a:solidFill>
                    <a:sysClr val="windowText" lastClr="000000"/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F81BD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ysClr val="windowText" lastClr="000000"/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spPr>
          <a:solidFill>
            <a:srgbClr val="4F81BD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49"/>
        <c:spPr>
          <a:solidFill>
            <a:srgbClr val="8064A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50"/>
        <c:spPr>
          <a:solidFill>
            <a:srgbClr val="4F81BD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51"/>
        <c:spPr>
          <a:solidFill>
            <a:srgbClr val="4F81BD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52"/>
        <c:spPr>
          <a:solidFill>
            <a:srgbClr val="4F81BD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53"/>
        <c:spPr>
          <a:solidFill>
            <a:srgbClr val="8064A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54"/>
        <c:spPr>
          <a:solidFill>
            <a:srgbClr val="8064A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  <c:pivotFmt>
        <c:idx val="55"/>
        <c:spPr>
          <a:solidFill>
            <a:srgbClr val="8064A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1172516339869283"/>
          <c:y val="0.14929111111111112"/>
          <c:w val="0.77068937908496737"/>
          <c:h val="0.722387433015192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dinamicas 2'!$B$269:$B$270</c:f>
              <c:strCache>
                <c:ptCount val="1"/>
                <c:pt idx="0">
                  <c:v>PM03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0AF-4FCF-98BC-BEACA70511CB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0AF-4FCF-98BC-BEACA70511C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2'!$A$271:$A$275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dinamicas 2'!$B$271:$B$275</c:f>
              <c:numCache>
                <c:formatCode>General</c:formatCode>
                <c:ptCount val="4"/>
                <c:pt idx="0">
                  <c:v>2</c:v>
                </c:pt>
                <c:pt idx="1">
                  <c:v>127</c:v>
                </c:pt>
                <c:pt idx="2">
                  <c:v>72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AF-4FCF-98BC-BEACA70511CB}"/>
            </c:ext>
          </c:extLst>
        </c:ser>
        <c:ser>
          <c:idx val="1"/>
          <c:order val="1"/>
          <c:tx>
            <c:strRef>
              <c:f>'tablas dinamicas 2'!$C$269:$C$270</c:f>
              <c:strCache>
                <c:ptCount val="1"/>
                <c:pt idx="0">
                  <c:v>PM04</c:v>
                </c:pt>
              </c:strCache>
            </c:strRef>
          </c:tx>
          <c:spPr>
            <a:solidFill>
              <a:srgbClr val="8064A2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8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2'!$A$271:$A$275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dinamicas 2'!$C$271:$C$275</c:f>
              <c:numCache>
                <c:formatCode>General</c:formatCode>
                <c:ptCount val="4"/>
                <c:pt idx="0">
                  <c:v>85</c:v>
                </c:pt>
                <c:pt idx="1">
                  <c:v>285</c:v>
                </c:pt>
                <c:pt idx="2">
                  <c:v>191</c:v>
                </c:pt>
                <c:pt idx="3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FD-4D54-8EE3-1B0895A8C3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51470512"/>
        <c:axId val="1251473792"/>
      </c:barChart>
      <c:valAx>
        <c:axId val="12514737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51470512"/>
        <c:crosses val="autoZero"/>
        <c:crossBetween val="between"/>
      </c:valAx>
      <c:catAx>
        <c:axId val="125147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s-AR"/>
          </a:p>
        </c:txPr>
        <c:crossAx val="125147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[indicadores_mant.xlsm]tablas dinamicas 2!TablaDinámica2</c:name>
    <c:fmtId val="2"/>
  </c:pivotSource>
  <c:chart>
    <c:autoTitleDeleted val="1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664E8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600" b="0" i="0" u="none" strike="noStrike" kern="1200" baseline="0">
                  <a:solidFill>
                    <a:sysClr val="windowText" lastClr="000000"/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9179A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600" b="0" i="0" u="none" strike="noStrike" kern="1200" baseline="0">
                  <a:solidFill>
                    <a:sysClr val="windowText" lastClr="000000"/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386294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4F81BD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600" b="0" i="0" u="none" strike="noStrike" kern="1200" baseline="0">
                  <a:solidFill>
                    <a:sysClr val="windowText" lastClr="000000"/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</c:pivotFmt>
      <c:pivotFmt>
        <c:idx val="106"/>
      </c:pivotFmt>
      <c:pivotFmt>
        <c:idx val="107"/>
      </c:pivotFmt>
    </c:pivotFmts>
    <c:plotArea>
      <c:layout>
        <c:manualLayout>
          <c:layoutTarget val="inner"/>
          <c:xMode val="edge"/>
          <c:yMode val="edge"/>
          <c:x val="2.264113369537641E-2"/>
          <c:y val="0.13016847006884161"/>
          <c:w val="0.95108610958921302"/>
          <c:h val="0.698728506466674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dinamicas 2'!$B$44:$B$45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664E82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79-46B7-B3F9-17189D253A1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08-4CEB-853D-602AB08EC8E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3EE-40DD-A891-503B393C03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2'!$A$46:$A$50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dinamicas 2'!$B$46:$B$50</c:f>
              <c:numCache>
                <c:formatCode>General</c:formatCode>
                <c:ptCount val="4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A7-4956-A09D-DDC21A5AE55C}"/>
            </c:ext>
          </c:extLst>
        </c:ser>
        <c:ser>
          <c:idx val="1"/>
          <c:order val="1"/>
          <c:tx>
            <c:strRef>
              <c:f>'tablas dinamicas 2'!$C$44:$C$45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9179AF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2'!$A$46:$A$50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dinamicas 2'!$C$46:$C$50</c:f>
              <c:numCache>
                <c:formatCode>General</c:formatCode>
                <c:ptCount val="4"/>
                <c:pt idx="0">
                  <c:v>12</c:v>
                </c:pt>
                <c:pt idx="1">
                  <c:v>67</c:v>
                </c:pt>
                <c:pt idx="2">
                  <c:v>53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6ED-4FB2-A6AA-016806F2B892}"/>
            </c:ext>
          </c:extLst>
        </c:ser>
        <c:ser>
          <c:idx val="2"/>
          <c:order val="2"/>
          <c:tx>
            <c:strRef>
              <c:f>'tablas dinamicas 2'!$D$44:$D$45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rgbClr val="386294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2'!$A$46:$A$50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dinamicas 2'!$D$46:$D$50</c:f>
              <c:numCache>
                <c:formatCode>General</c:formatCode>
                <c:ptCount val="4"/>
                <c:pt idx="0">
                  <c:v>62</c:v>
                </c:pt>
                <c:pt idx="1">
                  <c:v>323</c:v>
                </c:pt>
                <c:pt idx="2">
                  <c:v>199</c:v>
                </c:pt>
                <c:pt idx="3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6ED-4FB2-A6AA-016806F2B892}"/>
            </c:ext>
          </c:extLst>
        </c:ser>
        <c:ser>
          <c:idx val="3"/>
          <c:order val="3"/>
          <c:tx>
            <c:strRef>
              <c:f>'tablas dinamicas 2'!$E$44:$E$45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2'!$A$46:$A$50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cat>
          <c:val>
            <c:numRef>
              <c:f>'tablas dinamicas 2'!$E$46:$E$50</c:f>
              <c:numCache>
                <c:formatCode>General</c:formatCode>
                <c:ptCount val="4"/>
                <c:pt idx="0">
                  <c:v>7</c:v>
                </c:pt>
                <c:pt idx="1">
                  <c:v>16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6ED-4FB2-A6AA-016806F2B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944494080"/>
        <c:axId val="944496048"/>
      </c:barChart>
      <c:dateAx>
        <c:axId val="94449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6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s-AR"/>
          </a:p>
        </c:txPr>
        <c:crossAx val="944496048"/>
        <c:crosses val="autoZero"/>
        <c:auto val="0"/>
        <c:lblOffset val="100"/>
        <c:baseTimeUnit val="days"/>
      </c:dateAx>
      <c:valAx>
        <c:axId val="9444960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4449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2!TablaDinámica12</c:name>
    <c:fmtId val="4"/>
  </c:pivotSource>
  <c:chart>
    <c:autoTitleDeleted val="1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solidFill>
            <a:srgbClr val="8064A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solidFill>
            <a:srgbClr val="8064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997238981490949"/>
          <c:y val="1.9246113739729832E-2"/>
          <c:w val="0.66860334350098138"/>
          <c:h val="0.939161106076178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'tablas dinamicas 2'!$BD$164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064A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ECB-49E7-BB95-383A94F0B9A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CA4-475B-B338-9C729C61905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1FF-4070-9634-8DEEE40B5A45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10B-4C52-AE21-79196DDCECD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1FF-4070-9634-8DEEE40B5A45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DCA4-475B-B338-9C729C61905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BDF2-48CE-908D-DD5F5E0E6B23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ECB-49E7-BB95-383A94F0B9A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noFill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2'!$BC$165:$BC$175</c:f>
              <c:strCache>
                <c:ptCount val="10"/>
                <c:pt idx="0">
                  <c:v>OPERARIO-01</c:v>
                </c:pt>
                <c:pt idx="1">
                  <c:v>OPERARIO-10</c:v>
                </c:pt>
                <c:pt idx="2">
                  <c:v>OPERARIO-09</c:v>
                </c:pt>
                <c:pt idx="3">
                  <c:v>OPERARIO-05</c:v>
                </c:pt>
                <c:pt idx="4">
                  <c:v>OPERARIO-07</c:v>
                </c:pt>
                <c:pt idx="5">
                  <c:v>OPERARIO-04</c:v>
                </c:pt>
                <c:pt idx="6">
                  <c:v>OPERARIO-02</c:v>
                </c:pt>
                <c:pt idx="7">
                  <c:v>OPERARIO-03</c:v>
                </c:pt>
                <c:pt idx="8">
                  <c:v>OPERARIO-08</c:v>
                </c:pt>
                <c:pt idx="9">
                  <c:v>OPERARIO-06</c:v>
                </c:pt>
              </c:strCache>
            </c:strRef>
          </c:cat>
          <c:val>
            <c:numRef>
              <c:f>'tablas dinamicas 2'!$BD$165:$BD$175</c:f>
              <c:numCache>
                <c:formatCode>0</c:formatCode>
                <c:ptCount val="10"/>
                <c:pt idx="0">
                  <c:v>28.5</c:v>
                </c:pt>
                <c:pt idx="1">
                  <c:v>39</c:v>
                </c:pt>
                <c:pt idx="2">
                  <c:v>105</c:v>
                </c:pt>
                <c:pt idx="3">
                  <c:v>192.8</c:v>
                </c:pt>
                <c:pt idx="4">
                  <c:v>217</c:v>
                </c:pt>
                <c:pt idx="5">
                  <c:v>403</c:v>
                </c:pt>
                <c:pt idx="6">
                  <c:v>496</c:v>
                </c:pt>
                <c:pt idx="7">
                  <c:v>566.5</c:v>
                </c:pt>
                <c:pt idx="8">
                  <c:v>667</c:v>
                </c:pt>
                <c:pt idx="9">
                  <c:v>832.5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F-4070-9634-8DEEE40B5A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0"/>
        <c:axId val="1159356816"/>
        <c:axId val="1159356160"/>
      </c:barChart>
      <c:catAx>
        <c:axId val="1159356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s-AR"/>
          </a:p>
        </c:txPr>
        <c:crossAx val="1159356160"/>
        <c:crosses val="autoZero"/>
        <c:auto val="1"/>
        <c:lblAlgn val="ctr"/>
        <c:lblOffset val="100"/>
        <c:noMultiLvlLbl val="0"/>
      </c:catAx>
      <c:valAx>
        <c:axId val="115935616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15935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2!TablaDinámica4</c:name>
    <c:fmtId val="2"/>
  </c:pivotSource>
  <c:chart>
    <c:autoTitleDeleted val="1"/>
    <c:pivotFmts>
      <c:pivotFmt>
        <c:idx val="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</c:pivotFmt>
      <c:pivotFmt>
        <c:idx val="86"/>
        <c:dLbl>
          <c:idx val="0"/>
          <c:layout>
            <c:manualLayout>
              <c:x val="2.0751633986927343E-3"/>
              <c:y val="-0.10936111111111124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layout>
            <c:manualLayout>
              <c:x val="-2.0751633986928865E-3"/>
              <c:y val="6.7027777777777783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layout>
            <c:manualLayout>
              <c:x val="0"/>
              <c:y val="-7.4083333333333334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</c:pivotFmt>
      <c:pivotFmt>
        <c:idx val="90"/>
      </c:pivotFmt>
      <c:pivotFmt>
        <c:idx val="91"/>
        <c:dLbl>
          <c:idx val="0"/>
          <c:layout>
            <c:manualLayout>
              <c:x val="-9.3348891481920499E-4"/>
              <c:y val="-5.9618996230389451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layout>
            <c:manualLayout>
              <c:x val="-2.8004667444574438E-3"/>
              <c:y val="-4.5590997117356639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</c:pivotFmt>
      <c:pivotFmt>
        <c:idx val="94"/>
      </c:pivotFmt>
      <c:pivotFmt>
        <c:idx val="9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layout>
            <c:manualLayout>
              <c:x val="-3.8044222819259745E-17"/>
              <c:y val="-8.4666666666666668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layout>
            <c:manualLayout>
              <c:x val="0"/>
              <c:y val="7.4083333333333209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  <c:dLbl>
          <c:idx val="0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  <c:spPr>
          <a:ln w="41275" cap="rnd">
            <a:solidFill>
              <a:srgbClr val="00B8BC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41275" cap="rnd">
            <a:solidFill>
              <a:srgbClr val="664E8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41275" cap="rnd">
            <a:solidFill>
              <a:srgbClr val="4F81BD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41275" cap="rnd">
            <a:solidFill>
              <a:srgbClr val="0EE8B4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41275" cap="rnd">
            <a:solidFill>
              <a:srgbClr val="00B8BC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19"/>
        <c:spPr>
          <a:ln w="41275" cap="rnd">
            <a:solidFill>
              <a:srgbClr val="4F81BD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20"/>
        <c:spPr>
          <a:ln w="41275" cap="rnd">
            <a:solidFill>
              <a:srgbClr val="664E8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21"/>
        <c:spPr>
          <a:ln w="41275" cap="rnd">
            <a:solidFill>
              <a:srgbClr val="00B8BC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22"/>
        <c:spPr>
          <a:ln w="41275" cap="rnd">
            <a:solidFill>
              <a:srgbClr val="0EE8B4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23"/>
        <c:spPr>
          <a:ln w="41275" cap="rnd">
            <a:solidFill>
              <a:srgbClr val="4F81BD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24"/>
        <c:spPr>
          <a:ln w="41275" cap="rnd">
            <a:solidFill>
              <a:srgbClr val="664E8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25"/>
        <c:spPr>
          <a:ln w="41275" cap="rnd">
            <a:solidFill>
              <a:srgbClr val="664E8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26"/>
        <c:spPr>
          <a:ln w="41275" cap="rnd">
            <a:solidFill>
              <a:srgbClr val="664E8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27"/>
        <c:spPr>
          <a:ln w="41275" cap="rnd">
            <a:solidFill>
              <a:srgbClr val="664E8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28"/>
        <c:spPr>
          <a:ln w="41275" cap="rnd">
            <a:solidFill>
              <a:srgbClr val="664E8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29"/>
        <c:spPr>
          <a:ln w="4127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30"/>
        <c:spPr>
          <a:ln w="4127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31"/>
        <c:spPr>
          <a:ln w="4127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32"/>
        <c:spPr>
          <a:ln w="41275" cap="rnd">
            <a:solidFill>
              <a:srgbClr val="4F81BD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33"/>
        <c:spPr>
          <a:ln w="4127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34"/>
        <c:spPr>
          <a:ln w="41275" cap="rnd">
            <a:solidFill>
              <a:srgbClr val="4F81BD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35"/>
        <c:spPr>
          <a:ln w="41275" cap="rnd">
            <a:solidFill>
              <a:srgbClr val="4F81BD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3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/>
            </a:solidFill>
            <a:prstDash val="dash"/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ln w="34925" cap="rnd">
            <a:solidFill>
              <a:srgbClr val="FF0000"/>
            </a:solidFill>
            <a:prstDash val="dash"/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ln w="34925" cap="rnd">
            <a:solidFill>
              <a:srgbClr val="FF0000"/>
            </a:solidFill>
            <a:prstDash val="dash"/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ln w="34925" cap="rnd">
            <a:solidFill>
              <a:srgbClr val="FF0000"/>
            </a:solidFill>
            <a:prstDash val="dash"/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ln w="34925" cap="rnd">
            <a:solidFill>
              <a:srgbClr val="FF0000"/>
            </a:solidFill>
            <a:prstDash val="dash"/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ln w="41275" cap="rnd">
            <a:solidFill>
              <a:srgbClr val="664E8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147"/>
        <c:spPr>
          <a:ln w="41275" cap="rnd">
            <a:solidFill>
              <a:srgbClr val="664E8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7493246289741801E-2"/>
          <c:y val="0.13720481927710843"/>
          <c:w val="0.96250675371025818"/>
          <c:h val="0.69459444075514654"/>
        </c:manualLayout>
      </c:layout>
      <c:lineChart>
        <c:grouping val="standard"/>
        <c:varyColors val="0"/>
        <c:ser>
          <c:idx val="0"/>
          <c:order val="0"/>
          <c:tx>
            <c:strRef>
              <c:f>'tablas dinamicas 2'!$AJ$48:$AJ$50</c:f>
              <c:strCache>
                <c:ptCount val="1"/>
                <c:pt idx="0">
                  <c:v>2021 - Cuenta de TURNO</c:v>
                </c:pt>
              </c:strCache>
            </c:strRef>
          </c:tx>
          <c:spPr>
            <a:ln w="41275" cap="rnd">
              <a:solidFill>
                <a:srgbClr val="4F81BD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CF4-4680-B093-BD4077385197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DE1A-4A5D-9DD5-A19591A71F84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F8C-4625-AF95-1B6F34940044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41275" cap="rnd">
                <a:solidFill>
                  <a:srgbClr val="4F81BD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F8C-4625-AF95-1B6F34940044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903-4874-AFDC-371BF674AEB2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41275" cap="rnd">
                <a:solidFill>
                  <a:srgbClr val="4F81BD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AF3-4752-ABB0-115E7FE1064D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41275" cap="rnd">
                <a:solidFill>
                  <a:srgbClr val="4F81BD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8D-497C-BA36-7925291CC3E4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41275" cap="rnd">
                <a:solidFill>
                  <a:srgbClr val="4F81BD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7C3B-4416-AC4B-B631156F08B8}"/>
              </c:ext>
            </c:extLst>
          </c:dPt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2'!$AJ$51:$AJ$63</c:f>
              <c:numCache>
                <c:formatCode>General</c:formatCode>
                <c:ptCount val="12"/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10</c:v>
                </c:pt>
                <c:pt idx="10">
                  <c:v>21</c:v>
                </c:pt>
                <c:pt idx="11">
                  <c:v>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E8D-497C-BA36-7925291CC3E4}"/>
            </c:ext>
          </c:extLst>
        </c:ser>
        <c:ser>
          <c:idx val="1"/>
          <c:order val="1"/>
          <c:tx>
            <c:strRef>
              <c:f>'tablas dinamicas 2'!$AK$48:$AK$50</c:f>
              <c:strCache>
                <c:ptCount val="1"/>
                <c:pt idx="0">
                  <c:v>2021 - Suma de objetivo</c:v>
                </c:pt>
              </c:strCache>
            </c:strRef>
          </c:tx>
          <c:spPr>
            <a:ln w="34925" cap="rnd">
              <a:solidFill>
                <a:srgbClr val="FF0000"/>
              </a:solidFill>
              <a:prstDash val="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2'!$AK$51:$AK$63</c:f>
              <c:numCache>
                <c:formatCode>General</c:formatCode>
                <c:ptCount val="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5892-4E83-ABED-FE0713F9D31C}"/>
            </c:ext>
          </c:extLst>
        </c:ser>
        <c:ser>
          <c:idx val="2"/>
          <c:order val="2"/>
          <c:tx>
            <c:strRef>
              <c:f>'tablas dinamicas 2'!$AL$48:$AL$50</c:f>
              <c:strCache>
                <c:ptCount val="1"/>
                <c:pt idx="0">
                  <c:v>2022 - Cuenta de TURNO</c:v>
                </c:pt>
              </c:strCache>
            </c:strRef>
          </c:tx>
          <c:spPr>
            <a:ln w="41275" cap="rnd">
              <a:solidFill>
                <a:srgbClr val="0EE8B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Pt>
            <c:idx val="10"/>
            <c:marker>
              <c:symbol val="none"/>
            </c:marker>
            <c:bubble3D val="0"/>
            <c:spPr>
              <a:ln w="41275" cap="rnd">
                <a:solidFill>
                  <a:srgbClr val="0EE8B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2'!$AL$51:$AL$63</c:f>
              <c:numCache>
                <c:formatCode>General</c:formatCode>
                <c:ptCount val="12"/>
                <c:pt idx="0">
                  <c:v>47</c:v>
                </c:pt>
                <c:pt idx="1">
                  <c:v>33</c:v>
                </c:pt>
                <c:pt idx="2">
                  <c:v>67</c:v>
                </c:pt>
                <c:pt idx="3">
                  <c:v>51</c:v>
                </c:pt>
                <c:pt idx="4">
                  <c:v>49</c:v>
                </c:pt>
                <c:pt idx="5">
                  <c:v>44</c:v>
                </c:pt>
                <c:pt idx="6">
                  <c:v>21</c:v>
                </c:pt>
                <c:pt idx="7">
                  <c:v>28</c:v>
                </c:pt>
                <c:pt idx="8">
                  <c:v>19</c:v>
                </c:pt>
                <c:pt idx="9">
                  <c:v>22</c:v>
                </c:pt>
                <c:pt idx="10">
                  <c:v>13</c:v>
                </c:pt>
                <c:pt idx="1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864-482E-8425-761AD05D8FBF}"/>
            </c:ext>
          </c:extLst>
        </c:ser>
        <c:ser>
          <c:idx val="3"/>
          <c:order val="3"/>
          <c:tx>
            <c:strRef>
              <c:f>'tablas dinamicas 2'!$AM$48:$AM$50</c:f>
              <c:strCache>
                <c:ptCount val="1"/>
                <c:pt idx="0">
                  <c:v>2022 - Suma de objetivo</c:v>
                </c:pt>
              </c:strCache>
            </c:strRef>
          </c:tx>
          <c:spPr>
            <a:ln w="34925" cap="rnd">
              <a:solidFill>
                <a:srgbClr val="FF0000"/>
              </a:solidFill>
              <a:prstDash val="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2'!$AM$51:$AM$63</c:f>
              <c:numCache>
                <c:formatCode>General</c:formatCode>
                <c:ptCount val="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864-482E-8425-761AD05D8FBF}"/>
            </c:ext>
          </c:extLst>
        </c:ser>
        <c:ser>
          <c:idx val="4"/>
          <c:order val="4"/>
          <c:tx>
            <c:strRef>
              <c:f>'tablas dinamicas 2'!$AN$48:$AN$50</c:f>
              <c:strCache>
                <c:ptCount val="1"/>
                <c:pt idx="0">
                  <c:v>2023 - Cuenta de TURNO</c:v>
                </c:pt>
              </c:strCache>
            </c:strRef>
          </c:tx>
          <c:spPr>
            <a:ln w="41275" cap="rnd">
              <a:solidFill>
                <a:srgbClr val="00B8BC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Pt>
            <c:idx val="10"/>
            <c:marker>
              <c:symbol val="none"/>
            </c:marker>
            <c:bubble3D val="0"/>
            <c:spPr>
              <a:ln w="41275" cap="rnd">
                <a:solidFill>
                  <a:srgbClr val="00B8BC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2'!$AN$51:$AN$63</c:f>
              <c:numCache>
                <c:formatCode>General</c:formatCode>
                <c:ptCount val="12"/>
                <c:pt idx="0">
                  <c:v>32</c:v>
                </c:pt>
                <c:pt idx="1">
                  <c:v>17</c:v>
                </c:pt>
                <c:pt idx="2">
                  <c:v>37</c:v>
                </c:pt>
                <c:pt idx="3">
                  <c:v>28</c:v>
                </c:pt>
                <c:pt idx="4">
                  <c:v>26</c:v>
                </c:pt>
                <c:pt idx="5">
                  <c:v>22</c:v>
                </c:pt>
                <c:pt idx="6">
                  <c:v>13</c:v>
                </c:pt>
                <c:pt idx="7">
                  <c:v>20</c:v>
                </c:pt>
                <c:pt idx="8">
                  <c:v>20</c:v>
                </c:pt>
                <c:pt idx="9">
                  <c:v>15</c:v>
                </c:pt>
                <c:pt idx="10">
                  <c:v>20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864-482E-8425-761AD05D8FBF}"/>
            </c:ext>
          </c:extLst>
        </c:ser>
        <c:ser>
          <c:idx val="5"/>
          <c:order val="5"/>
          <c:tx>
            <c:strRef>
              <c:f>'tablas dinamicas 2'!$AO$48:$AO$50</c:f>
              <c:strCache>
                <c:ptCount val="1"/>
                <c:pt idx="0">
                  <c:v>2023 - Suma de objetivo</c:v>
                </c:pt>
              </c:strCache>
            </c:strRef>
          </c:tx>
          <c:spPr>
            <a:ln w="34925" cap="rnd">
              <a:solidFill>
                <a:srgbClr val="FF0000"/>
              </a:solidFill>
              <a:prstDash val="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2'!$AO$51:$AO$63</c:f>
              <c:numCache>
                <c:formatCode>General</c:formatCode>
                <c:ptCount val="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864-482E-8425-761AD05D8FBF}"/>
            </c:ext>
          </c:extLst>
        </c:ser>
        <c:ser>
          <c:idx val="6"/>
          <c:order val="6"/>
          <c:tx>
            <c:strRef>
              <c:f>'tablas dinamicas 2'!$AP$48:$AP$50</c:f>
              <c:strCache>
                <c:ptCount val="1"/>
                <c:pt idx="0">
                  <c:v>2024 - Cuenta de TURNO</c:v>
                </c:pt>
              </c:strCache>
            </c:strRef>
          </c:tx>
          <c:spPr>
            <a:ln w="41275" cap="rnd">
              <a:solidFill>
                <a:srgbClr val="664E8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41275" cap="rnd">
                <a:solidFill>
                  <a:srgbClr val="664E8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1"/>
            <c:marker>
              <c:symbol val="none"/>
            </c:marker>
            <c:bubble3D val="0"/>
            <c:spPr>
              <a:ln w="41275" cap="rnd">
                <a:solidFill>
                  <a:srgbClr val="664E8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2"/>
            <c:marker>
              <c:symbol val="none"/>
            </c:marker>
            <c:bubble3D val="0"/>
            <c:spPr>
              <a:ln w="41275" cap="rnd">
                <a:solidFill>
                  <a:srgbClr val="664E8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3"/>
            <c:marker>
              <c:symbol val="none"/>
            </c:marker>
            <c:bubble3D val="0"/>
            <c:spPr>
              <a:ln w="41275" cap="rnd">
                <a:solidFill>
                  <a:srgbClr val="664E8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4"/>
            <c:marker>
              <c:symbol val="none"/>
            </c:marker>
            <c:bubble3D val="0"/>
            <c:spPr>
              <a:ln w="41275" cap="rnd">
                <a:solidFill>
                  <a:srgbClr val="664E8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6"/>
            <c:marker>
              <c:symbol val="none"/>
            </c:marker>
            <c:bubble3D val="0"/>
            <c:spPr>
              <a:ln w="41275" cap="rnd">
                <a:solidFill>
                  <a:srgbClr val="664E8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8"/>
            <c:marker>
              <c:symbol val="none"/>
            </c:marker>
            <c:bubble3D val="0"/>
            <c:spPr>
              <a:ln w="41275" cap="rnd">
                <a:solidFill>
                  <a:srgbClr val="664E8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2'!$AP$51:$AP$63</c:f>
              <c:numCache>
                <c:formatCode>General</c:formatCode>
                <c:ptCount val="12"/>
                <c:pt idx="0">
                  <c:v>12</c:v>
                </c:pt>
                <c:pt idx="1">
                  <c:v>10</c:v>
                </c:pt>
                <c:pt idx="2">
                  <c:v>10</c:v>
                </c:pt>
                <c:pt idx="3">
                  <c:v>20</c:v>
                </c:pt>
                <c:pt idx="4">
                  <c:v>26</c:v>
                </c:pt>
                <c:pt idx="5">
                  <c:v>17</c:v>
                </c:pt>
                <c:pt idx="6">
                  <c:v>21</c:v>
                </c:pt>
                <c:pt idx="7">
                  <c:v>20</c:v>
                </c:pt>
                <c:pt idx="8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864-482E-8425-761AD05D8FBF}"/>
            </c:ext>
          </c:extLst>
        </c:ser>
        <c:ser>
          <c:idx val="7"/>
          <c:order val="7"/>
          <c:tx>
            <c:strRef>
              <c:f>'tablas dinamicas 2'!$AQ$48:$AQ$50</c:f>
              <c:strCache>
                <c:ptCount val="1"/>
                <c:pt idx="0">
                  <c:v>2024 - Suma de objetivo</c:v>
                </c:pt>
              </c:strCache>
            </c:strRef>
          </c:tx>
          <c:spPr>
            <a:ln w="34925" cap="rnd">
              <a:solidFill>
                <a:srgbClr val="FF0000"/>
              </a:solidFill>
              <a:prstDash val="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'tablas dinamicas 2'!$AI$51:$AI$63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dinamicas 2'!$AQ$51:$AQ$63</c:f>
              <c:numCache>
                <c:formatCode>General</c:formatCode>
                <c:ptCount val="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864-482E-8425-761AD05D8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358992"/>
        <c:axId val="1251358336"/>
      </c:lineChart>
      <c:catAx>
        <c:axId val="125135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800" b="0" i="0" u="none" strike="noStrike" kern="1200" baseline="0">
                <a:ln>
                  <a:noFill/>
                </a:ln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51358336"/>
        <c:crosses val="autoZero"/>
        <c:auto val="1"/>
        <c:lblAlgn val="ctr"/>
        <c:lblOffset val="100"/>
        <c:noMultiLvlLbl val="0"/>
      </c:catAx>
      <c:valAx>
        <c:axId val="1251358336"/>
        <c:scaling>
          <c:orientation val="minMax"/>
          <c:max val="8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5135899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[indicadores_mant.xlsm]tablas dinamicas 2!TablaDinámica1</c:name>
    <c:fmtId val="2"/>
  </c:pivotSource>
  <c:chart>
    <c:autoTitleDeleted val="1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85000"/>
                    </a:schemeClr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solidFill>
              <a:srgbClr val="8064A2"/>
            </a:solidFill>
            <a:ln w="9525">
              <a:solidFill>
                <a:srgbClr val="8064A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85000"/>
                    </a:schemeClr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solidFill>
              <a:srgbClr val="8064A2"/>
            </a:solidFill>
            <a:ln w="9525">
              <a:solidFill>
                <a:srgbClr val="8064A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85000"/>
                    </a:schemeClr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2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2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2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3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3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3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3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3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solidFill>
              <a:srgbClr val="8064A2"/>
            </a:solidFill>
            <a:ln w="9525">
              <a:solidFill>
                <a:srgbClr val="8064A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35"/>
        <c:spPr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3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3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3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4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4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4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4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4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4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solidFill>
              <a:srgbClr val="8064A2"/>
            </a:solidFill>
            <a:ln w="9525">
              <a:solidFill>
                <a:srgbClr val="8064A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46"/>
        <c:spPr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47"/>
        <c:spPr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48"/>
        <c:spPr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49"/>
        <c:spPr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50"/>
        <c:spPr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51"/>
        <c:spPr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52"/>
        <c:spPr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53"/>
        <c:spPr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54"/>
        <c:spPr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  <c:pivotFmt>
        <c:idx val="55"/>
        <c:spPr>
          <a:ln w="57150" cap="rnd">
            <a:solidFill>
              <a:srgbClr val="8064A2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1.7839142270543555E-2"/>
          <c:y val="0.14611794100647135"/>
          <c:w val="0.96432171545891288"/>
          <c:h val="0.60212282712207443"/>
        </c:manualLayout>
      </c:layout>
      <c:lineChart>
        <c:grouping val="standard"/>
        <c:varyColors val="0"/>
        <c:ser>
          <c:idx val="0"/>
          <c:order val="0"/>
          <c:tx>
            <c:strRef>
              <c:f>'tablas dinamicas 2'!$B$3</c:f>
              <c:strCache>
                <c:ptCount val="1"/>
                <c:pt idx="0">
                  <c:v>Total</c:v>
                </c:pt>
              </c:strCache>
            </c:strRef>
          </c:tx>
          <c:spPr>
            <a:ln w="57150" cap="rnd">
              <a:solidFill>
                <a:srgbClr val="8064A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4B12-46AA-9CB0-29F9E3E9ED51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7-4B12-46AA-9CB0-29F9E3E9ED51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9-4B12-46AA-9CB0-29F9E3E9ED51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B-4B12-46AA-9CB0-29F9E3E9ED51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D-4B12-46AA-9CB0-29F9E3E9ED51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F-4B12-46AA-9CB0-29F9E3E9ED51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4B12-46AA-9CB0-29F9E3E9ED51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3-4B12-46AA-9CB0-29F9E3E9ED51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5-4B12-46AA-9CB0-29F9E3E9ED51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7-4B12-46AA-9CB0-29F9E3E9ED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2'!$A$4:$A$14</c:f>
              <c:strCache>
                <c:ptCount val="10"/>
                <c:pt idx="0">
                  <c:v>OPERARIO-06</c:v>
                </c:pt>
                <c:pt idx="1">
                  <c:v>OPERARIO-08</c:v>
                </c:pt>
                <c:pt idx="2">
                  <c:v>OPERARIO-04</c:v>
                </c:pt>
                <c:pt idx="3">
                  <c:v>OPERARIO-05</c:v>
                </c:pt>
                <c:pt idx="4">
                  <c:v>OPERARIO-07</c:v>
                </c:pt>
                <c:pt idx="5">
                  <c:v>OPERARIO-02</c:v>
                </c:pt>
                <c:pt idx="6">
                  <c:v>OPERARIO-03</c:v>
                </c:pt>
                <c:pt idx="7">
                  <c:v>OPERARIO-09</c:v>
                </c:pt>
                <c:pt idx="8">
                  <c:v>OPERARIO-10</c:v>
                </c:pt>
                <c:pt idx="9">
                  <c:v>OPERARIO-01</c:v>
                </c:pt>
              </c:strCache>
            </c:strRef>
          </c:cat>
          <c:val>
            <c:numRef>
              <c:f>'tablas dinamicas 2'!$B$4:$B$14</c:f>
              <c:numCache>
                <c:formatCode>General</c:formatCode>
                <c:ptCount val="10"/>
                <c:pt idx="0">
                  <c:v>223</c:v>
                </c:pt>
                <c:pt idx="1">
                  <c:v>199</c:v>
                </c:pt>
                <c:pt idx="2">
                  <c:v>146</c:v>
                </c:pt>
                <c:pt idx="3">
                  <c:v>97</c:v>
                </c:pt>
                <c:pt idx="4">
                  <c:v>74</c:v>
                </c:pt>
                <c:pt idx="5">
                  <c:v>66</c:v>
                </c:pt>
                <c:pt idx="6">
                  <c:v>64</c:v>
                </c:pt>
                <c:pt idx="7">
                  <c:v>28</c:v>
                </c:pt>
                <c:pt idx="8">
                  <c:v>11</c:v>
                </c:pt>
                <c:pt idx="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B12-46AA-9CB0-29F9E3E9ED5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21486096"/>
        <c:axId val="821486424"/>
      </c:lineChart>
      <c:catAx>
        <c:axId val="82148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0"/>
          <a:lstStyle/>
          <a:p>
            <a:pPr algn="ctr">
              <a:defRPr lang="en-US" sz="1200" b="0" i="0" u="none" strike="noStrike" kern="1200" baseline="0">
                <a:ln>
                  <a:noFill/>
                </a:ln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s-AR"/>
          </a:p>
        </c:txPr>
        <c:crossAx val="821486424"/>
        <c:crosses val="autoZero"/>
        <c:auto val="1"/>
        <c:lblAlgn val="ctr"/>
        <c:lblOffset val="100"/>
        <c:noMultiLvlLbl val="0"/>
      </c:catAx>
      <c:valAx>
        <c:axId val="8214864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21486096"/>
        <c:crosses val="autoZero"/>
        <c:crossBetween val="between"/>
      </c:valAx>
      <c:spPr>
        <a:noFill/>
        <a:ln w="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2!TablaDinámica8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8064A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6219548872180451"/>
          <c:y val="4.2172735831751157E-2"/>
          <c:w val="0.46215759872121248"/>
          <c:h val="0.9430456067163168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'tablas dinamicas 2'!$CG$130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064A2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2'!$CF$131:$CF$141</c:f>
              <c:strCache>
                <c:ptCount val="10"/>
                <c:pt idx="0">
                  <c:v>UNION DOBLE</c:v>
                </c:pt>
                <c:pt idx="1">
                  <c:v>BISAGRA</c:v>
                </c:pt>
                <c:pt idx="2">
                  <c:v>RETENCION </c:v>
                </c:pt>
                <c:pt idx="3">
                  <c:v>PISTON</c:v>
                </c:pt>
                <c:pt idx="4">
                  <c:v>CONECTOR</c:v>
                </c:pt>
                <c:pt idx="5">
                  <c:v>VALVULA</c:v>
                </c:pt>
                <c:pt idx="6">
                  <c:v>SELLOS</c:v>
                </c:pt>
                <c:pt idx="7">
                  <c:v>TRAMPA</c:v>
                </c:pt>
                <c:pt idx="8">
                  <c:v>SENSOR</c:v>
                </c:pt>
                <c:pt idx="9">
                  <c:v>MANGUERA</c:v>
                </c:pt>
              </c:strCache>
            </c:strRef>
          </c:cat>
          <c:val>
            <c:numRef>
              <c:f>'tablas dinamicas 2'!$CG$131:$CG$141</c:f>
              <c:numCache>
                <c:formatCode>0.00%</c:formatCode>
                <c:ptCount val="10"/>
                <c:pt idx="0">
                  <c:v>4.519774011299435E-2</c:v>
                </c:pt>
                <c:pt idx="1">
                  <c:v>4.519774011299435E-2</c:v>
                </c:pt>
                <c:pt idx="2">
                  <c:v>5.9322033898305086E-2</c:v>
                </c:pt>
                <c:pt idx="3">
                  <c:v>6.2146892655367235E-2</c:v>
                </c:pt>
                <c:pt idx="4">
                  <c:v>7.3446327683615822E-2</c:v>
                </c:pt>
                <c:pt idx="5">
                  <c:v>9.03954802259887E-2</c:v>
                </c:pt>
                <c:pt idx="6">
                  <c:v>0.10451977401129943</c:v>
                </c:pt>
                <c:pt idx="7">
                  <c:v>0.12994350282485875</c:v>
                </c:pt>
                <c:pt idx="8">
                  <c:v>0.1440677966101695</c:v>
                </c:pt>
                <c:pt idx="9">
                  <c:v>0.24576271186440679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3-4DE7-95A8-F082ABE63EB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70112800"/>
        <c:axId val="896506672"/>
      </c:barChart>
      <c:catAx>
        <c:axId val="870112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s-AR"/>
          </a:p>
        </c:txPr>
        <c:crossAx val="896506672"/>
        <c:crosses val="autoZero"/>
        <c:auto val="1"/>
        <c:lblAlgn val="ctr"/>
        <c:lblOffset val="100"/>
        <c:noMultiLvlLbl val="0"/>
      </c:catAx>
      <c:valAx>
        <c:axId val="89650667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87011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2!TablaDinámica1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9179AF">
                  <a:alpha val="51000"/>
                </a:srgbClr>
              </a:gs>
              <a:gs pos="20000">
                <a:srgbClr val="9179AF">
                  <a:alpha val="53000"/>
                </a:srgbClr>
              </a:gs>
              <a:gs pos="100000">
                <a:srgbClr val="313451">
                  <a:alpha val="45000"/>
                </a:srgb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904417471569716E-2"/>
          <c:y val="0.10514528742524289"/>
          <c:w val="0.91688420894865474"/>
          <c:h val="0.78403153047992813"/>
        </c:manualLayout>
      </c:layout>
      <c:areaChart>
        <c:grouping val="standard"/>
        <c:varyColors val="0"/>
        <c:ser>
          <c:idx val="0"/>
          <c:order val="0"/>
          <c:tx>
            <c:strRef>
              <c:f>'tablas dinamicas 2'!$B$3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9179AF">
                    <a:alpha val="51000"/>
                  </a:srgbClr>
                </a:gs>
                <a:gs pos="20000">
                  <a:srgbClr val="9179AF">
                    <a:alpha val="53000"/>
                  </a:srgbClr>
                </a:gs>
                <a:gs pos="100000">
                  <a:srgbClr val="313451">
                    <a:alpha val="45000"/>
                  </a:srgb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'tablas dinamicas 2'!$A$4:$A$14</c:f>
              <c:strCache>
                <c:ptCount val="10"/>
                <c:pt idx="0">
                  <c:v>OPERARIO-06</c:v>
                </c:pt>
                <c:pt idx="1">
                  <c:v>OPERARIO-08</c:v>
                </c:pt>
                <c:pt idx="2">
                  <c:v>OPERARIO-04</c:v>
                </c:pt>
                <c:pt idx="3">
                  <c:v>OPERARIO-05</c:v>
                </c:pt>
                <c:pt idx="4">
                  <c:v>OPERARIO-07</c:v>
                </c:pt>
                <c:pt idx="5">
                  <c:v>OPERARIO-02</c:v>
                </c:pt>
                <c:pt idx="6">
                  <c:v>OPERARIO-03</c:v>
                </c:pt>
                <c:pt idx="7">
                  <c:v>OPERARIO-09</c:v>
                </c:pt>
                <c:pt idx="8">
                  <c:v>OPERARIO-10</c:v>
                </c:pt>
                <c:pt idx="9">
                  <c:v>OPERARIO-01</c:v>
                </c:pt>
              </c:strCache>
            </c:strRef>
          </c:cat>
          <c:val>
            <c:numRef>
              <c:f>'tablas dinamicas 2'!$B$4:$B$14</c:f>
              <c:numCache>
                <c:formatCode>General</c:formatCode>
                <c:ptCount val="10"/>
                <c:pt idx="0">
                  <c:v>223</c:v>
                </c:pt>
                <c:pt idx="1">
                  <c:v>199</c:v>
                </c:pt>
                <c:pt idx="2">
                  <c:v>146</c:v>
                </c:pt>
                <c:pt idx="3">
                  <c:v>97</c:v>
                </c:pt>
                <c:pt idx="4">
                  <c:v>74</c:v>
                </c:pt>
                <c:pt idx="5">
                  <c:v>66</c:v>
                </c:pt>
                <c:pt idx="6">
                  <c:v>64</c:v>
                </c:pt>
                <c:pt idx="7">
                  <c:v>28</c:v>
                </c:pt>
                <c:pt idx="8">
                  <c:v>11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0-4FEB-8CEE-08BEE1875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887344"/>
        <c:axId val="932882304"/>
      </c:areaChart>
      <c:catAx>
        <c:axId val="932887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32882304"/>
        <c:crosses val="autoZero"/>
        <c:auto val="1"/>
        <c:lblAlgn val="ctr"/>
        <c:lblOffset val="100"/>
        <c:noMultiLvlLbl val="0"/>
      </c:catAx>
      <c:valAx>
        <c:axId val="9328823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32887344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[indicadores_mant.xlsm]tablas dinamicas 1!TablaDinámica10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8064A2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Roboto" panose="02000000000000000000" pitchFamily="2" charset="0"/>
                  <a:ea typeface="Roboto" panose="02000000000000000000" pitchFamily="2" charset="0"/>
                  <a:cs typeface="Roboto" panose="02000000000000000000" pitchFamily="2" charset="0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561898827394777"/>
          <c:y val="4.9830160123530289E-2"/>
          <c:w val="0.57049611963972124"/>
          <c:h val="0.90033967975293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'tablas dinamicas 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064A2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 1'!$A$4:$A$8</c:f>
              <c:strCache>
                <c:ptCount val="4"/>
                <c:pt idx="0">
                  <c:v>CAÑISTA</c:v>
                </c:pt>
                <c:pt idx="1">
                  <c:v>ELECTRICO</c:v>
                </c:pt>
                <c:pt idx="2">
                  <c:v>HIDRAULICO</c:v>
                </c:pt>
                <c:pt idx="3">
                  <c:v>MECANICO</c:v>
                </c:pt>
              </c:strCache>
            </c:strRef>
          </c:cat>
          <c:val>
            <c:numRef>
              <c:f>'tablas dinamicas 1'!$B$4:$B$8</c:f>
              <c:numCache>
                <c:formatCode>General</c:formatCode>
                <c:ptCount val="4"/>
                <c:pt idx="0">
                  <c:v>37.5</c:v>
                </c:pt>
                <c:pt idx="1">
                  <c:v>625.5</c:v>
                </c:pt>
                <c:pt idx="2">
                  <c:v>2</c:v>
                </c:pt>
                <c:pt idx="3">
                  <c:v>2882.3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55-4021-A1F8-3B5200BDD55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29442767"/>
        <c:axId val="329446007"/>
      </c:barChart>
      <c:catAx>
        <c:axId val="329442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es-AR"/>
          </a:p>
        </c:txPr>
        <c:crossAx val="329446007"/>
        <c:crosses val="autoZero"/>
        <c:auto val="1"/>
        <c:lblAlgn val="ctr"/>
        <c:lblOffset val="100"/>
        <c:noMultiLvlLbl val="0"/>
      </c:catAx>
      <c:valAx>
        <c:axId val="3294460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442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image" Target="../media/image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19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.png"/><Relationship Id="rId5" Type="http://schemas.openxmlformats.org/officeDocument/2006/relationships/chart" Target="../charts/chart15.xml"/><Relationship Id="rId10" Type="http://schemas.openxmlformats.org/officeDocument/2006/relationships/image" Target="../media/image2.png"/><Relationship Id="rId4" Type="http://schemas.openxmlformats.org/officeDocument/2006/relationships/chart" Target="../charts/chart14.xml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190499</xdr:rowOff>
    </xdr:from>
    <xdr:to>
      <xdr:col>9</xdr:col>
      <xdr:colOff>695325</xdr:colOff>
      <xdr:row>16</xdr:row>
      <xdr:rowOff>85724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CE5638A-9033-4D28-8EE7-D097A2D5EC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409574</xdr:colOff>
      <xdr:row>41</xdr:row>
      <xdr:rowOff>95249</xdr:rowOff>
    </xdr:from>
    <xdr:to>
      <xdr:col>16</xdr:col>
      <xdr:colOff>257175</xdr:colOff>
      <xdr:row>60</xdr:row>
      <xdr:rowOff>104775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E177A2-675A-4AAA-8E5F-714B0235D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524783</xdr:colOff>
      <xdr:row>116</xdr:row>
      <xdr:rowOff>12699</xdr:rowOff>
    </xdr:from>
    <xdr:to>
      <xdr:col>31</xdr:col>
      <xdr:colOff>82550</xdr:colOff>
      <xdr:row>138</xdr:row>
      <xdr:rowOff>117475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47AC40-863F-4FC2-8CBB-D5E770481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114300</xdr:colOff>
      <xdr:row>260</xdr:row>
      <xdr:rowOff>166687</xdr:rowOff>
    </xdr:from>
    <xdr:to>
      <xdr:col>19</xdr:col>
      <xdr:colOff>28575</xdr:colOff>
      <xdr:row>275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32EDCBE-92B2-4D11-A311-4AE8E6E857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794904</xdr:colOff>
      <xdr:row>323</xdr:row>
      <xdr:rowOff>88756</xdr:rowOff>
    </xdr:from>
    <xdr:to>
      <xdr:col>50</xdr:col>
      <xdr:colOff>30306</xdr:colOff>
      <xdr:row>340</xdr:row>
      <xdr:rowOff>93518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69283E9-0204-4D93-A1C4-628BBF4F2F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102053</xdr:colOff>
      <xdr:row>174</xdr:row>
      <xdr:rowOff>57150</xdr:rowOff>
    </xdr:from>
    <xdr:to>
      <xdr:col>50</xdr:col>
      <xdr:colOff>517071</xdr:colOff>
      <xdr:row>197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CD98B20-E58D-44F1-B9D7-A57929CE15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54</xdr:col>
      <xdr:colOff>1974850</xdr:colOff>
      <xdr:row>41</xdr:row>
      <xdr:rowOff>153987</xdr:rowOff>
    </xdr:from>
    <xdr:to>
      <xdr:col>56</xdr:col>
      <xdr:colOff>1069975</xdr:colOff>
      <xdr:row>56</xdr:row>
      <xdr:rowOff>39687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40CF59-DF9D-487C-AB0A-E07E3F4718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45</xdr:col>
      <xdr:colOff>515470</xdr:colOff>
      <xdr:row>210</xdr:row>
      <xdr:rowOff>56029</xdr:rowOff>
    </xdr:from>
    <xdr:to>
      <xdr:col>54</xdr:col>
      <xdr:colOff>980514</xdr:colOff>
      <xdr:row>231</xdr:row>
      <xdr:rowOff>67235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6266633-51E7-45A9-B8DF-41200EB791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69680</xdr:colOff>
      <xdr:row>81</xdr:row>
      <xdr:rowOff>37488</xdr:rowOff>
    </xdr:from>
    <xdr:to>
      <xdr:col>89</xdr:col>
      <xdr:colOff>562536</xdr:colOff>
      <xdr:row>118</xdr:row>
      <xdr:rowOff>125506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2717A1D-9136-475B-A4FB-D8D9F291F7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23</xdr:col>
      <xdr:colOff>86590</xdr:colOff>
      <xdr:row>27</xdr:row>
      <xdr:rowOff>83127</xdr:rowOff>
    </xdr:from>
    <xdr:to>
      <xdr:col>32</xdr:col>
      <xdr:colOff>294408</xdr:colOff>
      <xdr:row>41</xdr:row>
      <xdr:rowOff>159327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4A79B01-E0D9-FA82-8E05-C67B32156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31750</xdr:rowOff>
    </xdr:from>
    <xdr:to>
      <xdr:col>38</xdr:col>
      <xdr:colOff>714375</xdr:colOff>
      <xdr:row>10</xdr:row>
      <xdr:rowOff>95250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EF578B21-3F89-6A2F-C238-663AFFCE7504}"/>
            </a:ext>
          </a:extLst>
        </xdr:cNvPr>
        <xdr:cNvSpPr txBox="1"/>
      </xdr:nvSpPr>
      <xdr:spPr>
        <a:xfrm>
          <a:off x="63500" y="31750"/>
          <a:ext cx="29718000" cy="1968500"/>
        </a:xfrm>
        <a:prstGeom prst="rect">
          <a:avLst/>
        </a:prstGeom>
        <a:solidFill>
          <a:srgbClr val="0D0D29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AR" sz="1100"/>
        </a:p>
      </xdr:txBody>
    </xdr:sp>
    <xdr:clientData/>
  </xdr:twoCellAnchor>
  <xdr:twoCellAnchor editAs="absolute">
    <xdr:from>
      <xdr:col>29</xdr:col>
      <xdr:colOff>285750</xdr:colOff>
      <xdr:row>0</xdr:row>
      <xdr:rowOff>111125</xdr:rowOff>
    </xdr:from>
    <xdr:to>
      <xdr:col>38</xdr:col>
      <xdr:colOff>635000</xdr:colOff>
      <xdr:row>9</xdr:row>
      <xdr:rowOff>127000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9" name="FECHA         ORDEN">
              <a:extLst>
                <a:ext uri="{FF2B5EF4-FFF2-40B4-BE49-F238E27FC236}">
                  <a16:creationId xmlns:a16="http://schemas.microsoft.com/office/drawing/2014/main" id="{09FF8430-276B-773D-C35D-52B66F46B3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        ORDE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383750" y="111125"/>
              <a:ext cx="7318375" cy="1730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 fLocksWithSheet="0"/>
  </xdr:twoCellAnchor>
  <xdr:twoCellAnchor editAs="absolute">
    <xdr:from>
      <xdr:col>15</xdr:col>
      <xdr:colOff>190500</xdr:colOff>
      <xdr:row>26</xdr:row>
      <xdr:rowOff>15875</xdr:rowOff>
    </xdr:from>
    <xdr:to>
      <xdr:col>25</xdr:col>
      <xdr:colOff>463524</xdr:colOff>
      <xdr:row>43</xdr:row>
      <xdr:rowOff>158750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86A62C93-2FD7-40B0-B12C-B5C4EBD015DC}"/>
            </a:ext>
          </a:extLst>
        </xdr:cNvPr>
        <xdr:cNvSpPr/>
      </xdr:nvSpPr>
      <xdr:spPr>
        <a:xfrm>
          <a:off x="11620500" y="4968875"/>
          <a:ext cx="7893024" cy="3381375"/>
        </a:xfrm>
        <a:prstGeom prst="roundRect">
          <a:avLst>
            <a:gd name="adj" fmla="val 4386"/>
          </a:avLst>
        </a:prstGeom>
        <a:solidFill>
          <a:schemeClr val="bg1"/>
        </a:solidFill>
        <a:ln w="6350">
          <a:solidFill>
            <a:schemeClr val="tx1">
              <a:lumMod val="65000"/>
              <a:lumOff val="3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A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25</xdr:col>
      <xdr:colOff>619125</xdr:colOff>
      <xdr:row>26</xdr:row>
      <xdr:rowOff>31750</xdr:rowOff>
    </xdr:from>
    <xdr:to>
      <xdr:col>32</xdr:col>
      <xdr:colOff>571501</xdr:colOff>
      <xdr:row>43</xdr:row>
      <xdr:rowOff>158750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8FE94E12-6182-4F8C-8770-279F6855B2EF}"/>
            </a:ext>
          </a:extLst>
        </xdr:cNvPr>
        <xdr:cNvSpPr/>
      </xdr:nvSpPr>
      <xdr:spPr>
        <a:xfrm>
          <a:off x="19669125" y="4984750"/>
          <a:ext cx="5397501" cy="3365500"/>
        </a:xfrm>
        <a:prstGeom prst="roundRect">
          <a:avLst>
            <a:gd name="adj" fmla="val 4386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6</xdr:col>
      <xdr:colOff>739775</xdr:colOff>
      <xdr:row>26</xdr:row>
      <xdr:rowOff>15875</xdr:rowOff>
    </xdr:from>
    <xdr:to>
      <xdr:col>15</xdr:col>
      <xdr:colOff>31751</xdr:colOff>
      <xdr:row>43</xdr:row>
      <xdr:rowOff>136525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8C452C99-72F4-4BE8-B571-142DD62FFAF4}"/>
            </a:ext>
          </a:extLst>
        </xdr:cNvPr>
        <xdr:cNvSpPr/>
      </xdr:nvSpPr>
      <xdr:spPr>
        <a:xfrm>
          <a:off x="5311775" y="4968875"/>
          <a:ext cx="6149976" cy="3359150"/>
        </a:xfrm>
        <a:prstGeom prst="roundRect">
          <a:avLst>
            <a:gd name="adj" fmla="val 4386"/>
          </a:avLst>
        </a:prstGeom>
        <a:solidFill>
          <a:schemeClr val="bg1"/>
        </a:solidFill>
        <a:ln w="6350">
          <a:solidFill>
            <a:schemeClr val="tx1">
              <a:lumMod val="65000"/>
              <a:lumOff val="3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A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95250</xdr:colOff>
      <xdr:row>44</xdr:row>
      <xdr:rowOff>111126</xdr:rowOff>
    </xdr:from>
    <xdr:to>
      <xdr:col>32</xdr:col>
      <xdr:colOff>603251</xdr:colOff>
      <xdr:row>64</xdr:row>
      <xdr:rowOff>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C9FD3AA5-309D-4DE3-92A4-0888321E5DB8}"/>
            </a:ext>
          </a:extLst>
        </xdr:cNvPr>
        <xdr:cNvSpPr/>
      </xdr:nvSpPr>
      <xdr:spPr>
        <a:xfrm>
          <a:off x="95250" y="8493126"/>
          <a:ext cx="25003126" cy="3698874"/>
        </a:xfrm>
        <a:prstGeom prst="roundRect">
          <a:avLst>
            <a:gd name="adj" fmla="val 4394"/>
          </a:avLst>
        </a:prstGeom>
        <a:solidFill>
          <a:schemeClr val="bg1"/>
        </a:solidFill>
        <a:ln w="6350">
          <a:solidFill>
            <a:schemeClr val="tx1">
              <a:lumMod val="65000"/>
              <a:lumOff val="3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A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32</xdr:col>
      <xdr:colOff>746125</xdr:colOff>
      <xdr:row>8</xdr:row>
      <xdr:rowOff>142876</xdr:rowOff>
    </xdr:from>
    <xdr:to>
      <xdr:col>38</xdr:col>
      <xdr:colOff>571500</xdr:colOff>
      <xdr:row>43</xdr:row>
      <xdr:rowOff>158750</xdr:rowOff>
    </xdr:to>
    <xdr:sp macro="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A5CF5D07-03C6-45F8-A931-82FF9FB58A60}"/>
            </a:ext>
          </a:extLst>
        </xdr:cNvPr>
        <xdr:cNvSpPr/>
      </xdr:nvSpPr>
      <xdr:spPr>
        <a:xfrm>
          <a:off x="25241250" y="1666876"/>
          <a:ext cx="4397375" cy="6683374"/>
        </a:xfrm>
        <a:prstGeom prst="roundRect">
          <a:avLst>
            <a:gd name="adj" fmla="val 4386"/>
          </a:avLst>
        </a:prstGeom>
        <a:solidFill>
          <a:schemeClr val="bg1"/>
        </a:solidFill>
        <a:ln w="6350">
          <a:solidFill>
            <a:schemeClr val="tx1">
              <a:lumMod val="65000"/>
              <a:lumOff val="3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A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190500</xdr:colOff>
      <xdr:row>8</xdr:row>
      <xdr:rowOff>142874</xdr:rowOff>
    </xdr:from>
    <xdr:to>
      <xdr:col>32</xdr:col>
      <xdr:colOff>539750</xdr:colOff>
      <xdr:row>25</xdr:row>
      <xdr:rowOff>47625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C4CFA423-392A-466E-B1D6-DF790220EFF1}"/>
            </a:ext>
          </a:extLst>
        </xdr:cNvPr>
        <xdr:cNvSpPr/>
      </xdr:nvSpPr>
      <xdr:spPr>
        <a:xfrm>
          <a:off x="11620500" y="1666874"/>
          <a:ext cx="13414375" cy="3143251"/>
        </a:xfrm>
        <a:prstGeom prst="roundRect">
          <a:avLst>
            <a:gd name="adj" fmla="val 4386"/>
          </a:avLst>
        </a:prstGeom>
        <a:solidFill>
          <a:schemeClr val="bg1"/>
        </a:solidFill>
        <a:ln w="6350">
          <a:solidFill>
            <a:schemeClr val="tx1">
              <a:lumMod val="65000"/>
              <a:lumOff val="3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A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730251</xdr:colOff>
      <xdr:row>8</xdr:row>
      <xdr:rowOff>158749</xdr:rowOff>
    </xdr:from>
    <xdr:to>
      <xdr:col>15</xdr:col>
      <xdr:colOff>63501</xdr:colOff>
      <xdr:row>25</xdr:row>
      <xdr:rowOff>47625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4C1287D-B38E-4873-30E3-6C2D70C941DE}"/>
            </a:ext>
          </a:extLst>
        </xdr:cNvPr>
        <xdr:cNvSpPr/>
      </xdr:nvSpPr>
      <xdr:spPr>
        <a:xfrm>
          <a:off x="5302251" y="1682749"/>
          <a:ext cx="6191250" cy="3127376"/>
        </a:xfrm>
        <a:prstGeom prst="roundRect">
          <a:avLst>
            <a:gd name="adj" fmla="val 4386"/>
          </a:avLst>
        </a:prstGeom>
        <a:solidFill>
          <a:schemeClr val="bg1"/>
        </a:solidFill>
        <a:ln w="6350">
          <a:solidFill>
            <a:schemeClr val="tx1">
              <a:lumMod val="65000"/>
              <a:lumOff val="3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0</xdr:col>
      <xdr:colOff>333375</xdr:colOff>
      <xdr:row>46</xdr:row>
      <xdr:rowOff>111125</xdr:rowOff>
    </xdr:from>
    <xdr:to>
      <xdr:col>33</xdr:col>
      <xdr:colOff>33170</xdr:colOff>
      <xdr:row>63</xdr:row>
      <xdr:rowOff>123966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2B614F0-B279-4126-8DA3-BF04FB09B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758906</xdr:colOff>
      <xdr:row>27</xdr:row>
      <xdr:rowOff>79374</xdr:rowOff>
    </xdr:from>
    <xdr:to>
      <xdr:col>14</xdr:col>
      <xdr:colOff>412749</xdr:colOff>
      <xdr:row>43</xdr:row>
      <xdr:rowOff>102465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8D3543C-BF01-4EC0-A974-95DF3ACE13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746126</xdr:colOff>
      <xdr:row>10</xdr:row>
      <xdr:rowOff>47625</xdr:rowOff>
    </xdr:from>
    <xdr:to>
      <xdr:col>14</xdr:col>
      <xdr:colOff>301626</xdr:colOff>
      <xdr:row>25</xdr:row>
      <xdr:rowOff>51627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0F35D5C-03F4-40DE-99EC-F85C253C4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25</xdr:col>
      <xdr:colOff>698500</xdr:colOff>
      <xdr:row>28</xdr:row>
      <xdr:rowOff>79375</xdr:rowOff>
    </xdr:from>
    <xdr:to>
      <xdr:col>32</xdr:col>
      <xdr:colOff>539750</xdr:colOff>
      <xdr:row>43</xdr:row>
      <xdr:rowOff>120257</xdr:rowOff>
    </xdr:to>
    <xdr:graphicFrame macro="">
      <xdr:nvGraphicFramePr>
        <xdr:cNvPr id="12" name="Gráfico 7">
          <a:extLst>
            <a:ext uri="{FF2B5EF4-FFF2-40B4-BE49-F238E27FC236}">
              <a16:creationId xmlns:a16="http://schemas.microsoft.com/office/drawing/2014/main" id="{FEA341EE-B5B7-44BA-8532-BE9F2799AD59}"/>
            </a:ext>
            <a:ext uri="{147F2762-F138-4A5C-976F-8EAC2B608ADB}">
              <a16:predDERef xmlns:a16="http://schemas.microsoft.com/office/drawing/2014/main" pred="{60F35D5C-03F4-40DE-99EC-F85C253C4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0</xdr:colOff>
      <xdr:row>6</xdr:row>
      <xdr:rowOff>68036</xdr:rowOff>
    </xdr:from>
    <xdr:to>
      <xdr:col>3</xdr:col>
      <xdr:colOff>94948</xdr:colOff>
      <xdr:row>10</xdr:row>
      <xdr:rowOff>81643</xdr:rowOff>
    </xdr:to>
    <xdr:sp macro="" textlink="">
      <xdr:nvSpPr>
        <xdr:cNvPr id="27649" name="Object 1" hidden="1">
          <a:extLst>
            <a:ext uri="{63B3BB69-23CF-44E3-9099-C40C66FF867C}">
              <a14:compatExt xmlns:a14="http://schemas.microsoft.com/office/drawing/2010/main" spid="_x0000_s27649"/>
            </a:ext>
            <a:ext uri="{FF2B5EF4-FFF2-40B4-BE49-F238E27FC236}">
              <a16:creationId xmlns:a16="http://schemas.microsoft.com/office/drawing/2014/main" id="{AAD48898-67F4-4A95-B525-E06B386BFC9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15</xdr:col>
      <xdr:colOff>280662</xdr:colOff>
      <xdr:row>11</xdr:row>
      <xdr:rowOff>0</xdr:rowOff>
    </xdr:from>
    <xdr:to>
      <xdr:col>31</xdr:col>
      <xdr:colOff>523876</xdr:colOff>
      <xdr:row>24</xdr:row>
      <xdr:rowOff>158750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5138AFA-DD1F-43BA-9335-9EAD18D69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15</xdr:col>
      <xdr:colOff>238125</xdr:colOff>
      <xdr:row>27</xdr:row>
      <xdr:rowOff>158750</xdr:rowOff>
    </xdr:from>
    <xdr:to>
      <xdr:col>25</xdr:col>
      <xdr:colOff>428625</xdr:colOff>
      <xdr:row>43</xdr:row>
      <xdr:rowOff>117308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2B2C077-1073-4C33-9B35-28C3748172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12</xdr:col>
      <xdr:colOff>666749</xdr:colOff>
      <xdr:row>0</xdr:row>
      <xdr:rowOff>79374</xdr:rowOff>
    </xdr:from>
    <xdr:to>
      <xdr:col>27</xdr:col>
      <xdr:colOff>746124</xdr:colOff>
      <xdr:row>7</xdr:row>
      <xdr:rowOff>142875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ADC1B904-A6F2-045B-173F-DEE55D0C02A6}"/>
            </a:ext>
          </a:extLst>
        </xdr:cNvPr>
        <xdr:cNvSpPr txBox="1"/>
      </xdr:nvSpPr>
      <xdr:spPr>
        <a:xfrm>
          <a:off x="9810749" y="79374"/>
          <a:ext cx="11509375" cy="1397001"/>
        </a:xfrm>
        <a:prstGeom prst="rect">
          <a:avLst/>
        </a:prstGeom>
        <a:solidFill>
          <a:srgbClr val="0D0D2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AR" sz="4800" b="1">
              <a:solidFill>
                <a:schemeClr val="bg1">
                  <a:lumMod val="9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Indicadores</a:t>
          </a:r>
          <a:r>
            <a:rPr lang="es-AR" sz="4800" b="1" baseline="0">
              <a:solidFill>
                <a:schemeClr val="bg1">
                  <a:lumMod val="9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Mantenimiento Correctivo</a:t>
          </a:r>
        </a:p>
        <a:p>
          <a:pPr algn="l"/>
          <a:r>
            <a:rPr lang="es-AR" sz="3200" i="1" u="none" baseline="0">
              <a:solidFill>
                <a:schemeClr val="bg1">
                  <a:lumMod val="9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Analisis de Fallas y Tiempos</a:t>
          </a:r>
        </a:p>
        <a:p>
          <a:pPr algn="l"/>
          <a:endParaRPr lang="es-AR" sz="4000"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0</xdr:colOff>
      <xdr:row>13</xdr:row>
      <xdr:rowOff>31751</xdr:rowOff>
    </xdr:from>
    <xdr:to>
      <xdr:col>6</xdr:col>
      <xdr:colOff>635000</xdr:colOff>
      <xdr:row>26</xdr:row>
      <xdr:rowOff>127001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0" name="ID-EQUIPO">
              <a:extLst>
                <a:ext uri="{FF2B5EF4-FFF2-40B4-BE49-F238E27FC236}">
                  <a16:creationId xmlns:a16="http://schemas.microsoft.com/office/drawing/2014/main" id="{A436C466-BABF-3DF1-936E-03749BACE416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-EQUIP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508251"/>
              <a:ext cx="5207000" cy="2571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31750</xdr:colOff>
      <xdr:row>32</xdr:row>
      <xdr:rowOff>158750</xdr:rowOff>
    </xdr:from>
    <xdr:to>
      <xdr:col>6</xdr:col>
      <xdr:colOff>523875</xdr:colOff>
      <xdr:row>44</xdr:row>
      <xdr:rowOff>79375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1" name="PERSONA A CARGO">
              <a:extLst>
                <a:ext uri="{FF2B5EF4-FFF2-40B4-BE49-F238E27FC236}">
                  <a16:creationId xmlns:a16="http://schemas.microsoft.com/office/drawing/2014/main" id="{FC845D8B-2252-B722-0C1D-37CD1CDCB5C3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SONA A CARG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" y="6254750"/>
              <a:ext cx="5064125" cy="2206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absolute">
    <xdr:from>
      <xdr:col>33</xdr:col>
      <xdr:colOff>47626</xdr:colOff>
      <xdr:row>10</xdr:row>
      <xdr:rowOff>111125</xdr:rowOff>
    </xdr:from>
    <xdr:to>
      <xdr:col>38</xdr:col>
      <xdr:colOff>460376</xdr:colOff>
      <xdr:row>43</xdr:row>
      <xdr:rowOff>95250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51EECBAC-EFE2-40F7-8C2C-BCEBDE6E5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15</xdr:col>
      <xdr:colOff>222251</xdr:colOff>
      <xdr:row>28</xdr:row>
      <xdr:rowOff>126999</xdr:rowOff>
    </xdr:from>
    <xdr:to>
      <xdr:col>25</xdr:col>
      <xdr:colOff>142877</xdr:colOff>
      <xdr:row>40</xdr:row>
      <xdr:rowOff>187324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0761D462-6B2D-4AAA-8E24-7DD359A8FB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31</xdr:col>
      <xdr:colOff>682625</xdr:colOff>
      <xdr:row>14</xdr:row>
      <xdr:rowOff>79375</xdr:rowOff>
    </xdr:from>
    <xdr:to>
      <xdr:col>32</xdr:col>
      <xdr:colOff>539750</xdr:colOff>
      <xdr:row>16</xdr:row>
      <xdr:rowOff>15875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75794DB7-C964-8FD4-0801-2B0A6AC1E6EC}"/>
            </a:ext>
          </a:extLst>
        </xdr:cNvPr>
        <xdr:cNvSpPr txBox="1"/>
      </xdr:nvSpPr>
      <xdr:spPr>
        <a:xfrm>
          <a:off x="24304625" y="2746375"/>
          <a:ext cx="73025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0">
              <a:solidFill>
                <a:sysClr val="windowText" lastClr="000000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2021</a:t>
          </a:r>
        </a:p>
      </xdr:txBody>
    </xdr:sp>
    <xdr:clientData/>
  </xdr:twoCellAnchor>
  <xdr:twoCellAnchor editAs="absolute">
    <xdr:from>
      <xdr:col>31</xdr:col>
      <xdr:colOff>508000</xdr:colOff>
      <xdr:row>14</xdr:row>
      <xdr:rowOff>142875</xdr:rowOff>
    </xdr:from>
    <xdr:to>
      <xdr:col>31</xdr:col>
      <xdr:colOff>714375</xdr:colOff>
      <xdr:row>15</xdr:row>
      <xdr:rowOff>127000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878E7EE2-7E8B-F01C-1BDE-5E03218E5DE3}"/>
            </a:ext>
          </a:extLst>
        </xdr:cNvPr>
        <xdr:cNvSpPr/>
      </xdr:nvSpPr>
      <xdr:spPr>
        <a:xfrm>
          <a:off x="24130000" y="2809875"/>
          <a:ext cx="206375" cy="174625"/>
        </a:xfrm>
        <a:prstGeom prst="ellipse">
          <a:avLst/>
        </a:prstGeom>
        <a:solidFill>
          <a:srgbClr val="3E6CA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31</xdr:col>
      <xdr:colOff>676275</xdr:colOff>
      <xdr:row>16</xdr:row>
      <xdr:rowOff>41275</xdr:rowOff>
    </xdr:from>
    <xdr:to>
      <xdr:col>32</xdr:col>
      <xdr:colOff>533400</xdr:colOff>
      <xdr:row>17</xdr:row>
      <xdr:rowOff>168275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FDE48E43-BB41-4774-9E22-8E82346B6D4D}"/>
            </a:ext>
          </a:extLst>
        </xdr:cNvPr>
        <xdr:cNvSpPr txBox="1"/>
      </xdr:nvSpPr>
      <xdr:spPr>
        <a:xfrm>
          <a:off x="24298275" y="3089275"/>
          <a:ext cx="73025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0">
              <a:solidFill>
                <a:sysClr val="windowText" lastClr="000000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2022</a:t>
          </a:r>
        </a:p>
      </xdr:txBody>
    </xdr:sp>
    <xdr:clientData/>
  </xdr:twoCellAnchor>
  <xdr:twoCellAnchor editAs="absolute">
    <xdr:from>
      <xdr:col>31</xdr:col>
      <xdr:colOff>501650</xdr:colOff>
      <xdr:row>16</xdr:row>
      <xdr:rowOff>104775</xdr:rowOff>
    </xdr:from>
    <xdr:to>
      <xdr:col>31</xdr:col>
      <xdr:colOff>708025</xdr:colOff>
      <xdr:row>17</xdr:row>
      <xdr:rowOff>88900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75AEF885-78DA-442C-AEA3-1D959BF09C35}"/>
            </a:ext>
          </a:extLst>
        </xdr:cNvPr>
        <xdr:cNvSpPr/>
      </xdr:nvSpPr>
      <xdr:spPr>
        <a:xfrm>
          <a:off x="24123650" y="3152775"/>
          <a:ext cx="206375" cy="174625"/>
        </a:xfrm>
        <a:prstGeom prst="ellipse">
          <a:avLst/>
        </a:prstGeom>
        <a:solidFill>
          <a:srgbClr val="17EDA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31</xdr:col>
      <xdr:colOff>676275</xdr:colOff>
      <xdr:row>18</xdr:row>
      <xdr:rowOff>9525</xdr:rowOff>
    </xdr:from>
    <xdr:to>
      <xdr:col>32</xdr:col>
      <xdr:colOff>533400</xdr:colOff>
      <xdr:row>19</xdr:row>
      <xdr:rowOff>136525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9F1E4388-76D1-42BA-931C-92BB1AACA289}"/>
            </a:ext>
          </a:extLst>
        </xdr:cNvPr>
        <xdr:cNvSpPr txBox="1"/>
      </xdr:nvSpPr>
      <xdr:spPr>
        <a:xfrm>
          <a:off x="24298275" y="3438525"/>
          <a:ext cx="73025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0">
              <a:solidFill>
                <a:sysClr val="windowText" lastClr="000000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2023</a:t>
          </a:r>
        </a:p>
      </xdr:txBody>
    </xdr:sp>
    <xdr:clientData/>
  </xdr:twoCellAnchor>
  <xdr:twoCellAnchor editAs="absolute">
    <xdr:from>
      <xdr:col>31</xdr:col>
      <xdr:colOff>485775</xdr:colOff>
      <xdr:row>18</xdr:row>
      <xdr:rowOff>57150</xdr:rowOff>
    </xdr:from>
    <xdr:to>
      <xdr:col>31</xdr:col>
      <xdr:colOff>692150</xdr:colOff>
      <xdr:row>19</xdr:row>
      <xdr:rowOff>41275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B8B30CEB-51CE-44A3-9AA2-F70F1CFF67E3}"/>
            </a:ext>
          </a:extLst>
        </xdr:cNvPr>
        <xdr:cNvSpPr/>
      </xdr:nvSpPr>
      <xdr:spPr>
        <a:xfrm>
          <a:off x="24107775" y="3486150"/>
          <a:ext cx="206375" cy="174625"/>
        </a:xfrm>
        <a:prstGeom prst="ellipse">
          <a:avLst/>
        </a:prstGeom>
        <a:solidFill>
          <a:srgbClr val="00E1E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31</xdr:col>
      <xdr:colOff>692150</xdr:colOff>
      <xdr:row>19</xdr:row>
      <xdr:rowOff>152400</xdr:rowOff>
    </xdr:from>
    <xdr:to>
      <xdr:col>32</xdr:col>
      <xdr:colOff>549275</xdr:colOff>
      <xdr:row>21</xdr:row>
      <xdr:rowOff>88900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5A09A7DA-9C7A-421C-B513-F0A552E8A276}"/>
            </a:ext>
          </a:extLst>
        </xdr:cNvPr>
        <xdr:cNvSpPr txBox="1"/>
      </xdr:nvSpPr>
      <xdr:spPr>
        <a:xfrm>
          <a:off x="24314150" y="3771900"/>
          <a:ext cx="73025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0">
              <a:solidFill>
                <a:sysClr val="windowText" lastClr="000000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2024</a:t>
          </a:r>
        </a:p>
      </xdr:txBody>
    </xdr:sp>
    <xdr:clientData/>
  </xdr:twoCellAnchor>
  <xdr:twoCellAnchor editAs="absolute">
    <xdr:from>
      <xdr:col>31</xdr:col>
      <xdr:colOff>501650</xdr:colOff>
      <xdr:row>20</xdr:row>
      <xdr:rowOff>25400</xdr:rowOff>
    </xdr:from>
    <xdr:to>
      <xdr:col>31</xdr:col>
      <xdr:colOff>708025</xdr:colOff>
      <xdr:row>21</xdr:row>
      <xdr:rowOff>9525</xdr:rowOff>
    </xdr:to>
    <xdr:sp macro="" textlink="">
      <xdr:nvSpPr>
        <xdr:cNvPr id="55" name="Elipse 54">
          <a:extLst>
            <a:ext uri="{FF2B5EF4-FFF2-40B4-BE49-F238E27FC236}">
              <a16:creationId xmlns:a16="http://schemas.microsoft.com/office/drawing/2014/main" id="{A2B586E8-9991-4638-9951-BEDAB6A7BDAA}"/>
            </a:ext>
          </a:extLst>
        </xdr:cNvPr>
        <xdr:cNvSpPr/>
      </xdr:nvSpPr>
      <xdr:spPr>
        <a:xfrm>
          <a:off x="24123650" y="3835400"/>
          <a:ext cx="206375" cy="174625"/>
        </a:xfrm>
        <a:prstGeom prst="ellipse">
          <a:avLst/>
        </a:prstGeom>
        <a:solidFill>
          <a:srgbClr val="8064A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13</xdr:col>
      <xdr:colOff>666750</xdr:colOff>
      <xdr:row>32</xdr:row>
      <xdr:rowOff>152399</xdr:rowOff>
    </xdr:from>
    <xdr:to>
      <xdr:col>14</xdr:col>
      <xdr:colOff>739775</xdr:colOff>
      <xdr:row>34</xdr:row>
      <xdr:rowOff>111124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D9A3E40-FD30-4886-8574-61E60839631A}"/>
            </a:ext>
          </a:extLst>
        </xdr:cNvPr>
        <xdr:cNvSpPr txBox="1"/>
      </xdr:nvSpPr>
      <xdr:spPr>
        <a:xfrm>
          <a:off x="10572750" y="6248399"/>
          <a:ext cx="835025" cy="339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0">
              <a:solidFill>
                <a:sysClr val="windowText" lastClr="000000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PM03</a:t>
          </a:r>
        </a:p>
      </xdr:txBody>
    </xdr:sp>
    <xdr:clientData/>
  </xdr:twoCellAnchor>
  <xdr:twoCellAnchor editAs="absolute">
    <xdr:from>
      <xdr:col>13</xdr:col>
      <xdr:colOff>501650</xdr:colOff>
      <xdr:row>33</xdr:row>
      <xdr:rowOff>41275</xdr:rowOff>
    </xdr:from>
    <xdr:to>
      <xdr:col>13</xdr:col>
      <xdr:colOff>708025</xdr:colOff>
      <xdr:row>34</xdr:row>
      <xdr:rowOff>25400</xdr:rowOff>
    </xdr:to>
    <xdr:sp macro="" textlink="">
      <xdr:nvSpPr>
        <xdr:cNvPr id="60" name="Elipse 59">
          <a:extLst>
            <a:ext uri="{FF2B5EF4-FFF2-40B4-BE49-F238E27FC236}">
              <a16:creationId xmlns:a16="http://schemas.microsoft.com/office/drawing/2014/main" id="{6244204F-F90B-48A9-B48C-828A98216A18}"/>
            </a:ext>
          </a:extLst>
        </xdr:cNvPr>
        <xdr:cNvSpPr/>
      </xdr:nvSpPr>
      <xdr:spPr>
        <a:xfrm>
          <a:off x="10407650" y="6327775"/>
          <a:ext cx="206375" cy="174625"/>
        </a:xfrm>
        <a:prstGeom prst="ellipse">
          <a:avLst/>
        </a:prstGeom>
        <a:solidFill>
          <a:srgbClr val="3E6CA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13</xdr:col>
      <xdr:colOff>682625</xdr:colOff>
      <xdr:row>36</xdr:row>
      <xdr:rowOff>34925</xdr:rowOff>
    </xdr:from>
    <xdr:to>
      <xdr:col>14</xdr:col>
      <xdr:colOff>749300</xdr:colOff>
      <xdr:row>37</xdr:row>
      <xdr:rowOff>127000</xdr:rowOff>
    </xdr:to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95CD3D94-028F-461F-B1F3-88D4C046FFA6}"/>
            </a:ext>
          </a:extLst>
        </xdr:cNvPr>
        <xdr:cNvSpPr txBox="1"/>
      </xdr:nvSpPr>
      <xdr:spPr>
        <a:xfrm>
          <a:off x="10588625" y="6892925"/>
          <a:ext cx="82867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0">
              <a:solidFill>
                <a:sysClr val="windowText" lastClr="000000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PM04</a:t>
          </a:r>
        </a:p>
      </xdr:txBody>
    </xdr:sp>
    <xdr:clientData/>
  </xdr:twoCellAnchor>
  <xdr:twoCellAnchor editAs="absolute">
    <xdr:from>
      <xdr:col>13</xdr:col>
      <xdr:colOff>542925</xdr:colOff>
      <xdr:row>36</xdr:row>
      <xdr:rowOff>114300</xdr:rowOff>
    </xdr:from>
    <xdr:to>
      <xdr:col>13</xdr:col>
      <xdr:colOff>749300</xdr:colOff>
      <xdr:row>37</xdr:row>
      <xdr:rowOff>98425</xdr:rowOff>
    </xdr:to>
    <xdr:sp macro="" textlink="">
      <xdr:nvSpPr>
        <xdr:cNvPr id="62" name="Elipse 61">
          <a:extLst>
            <a:ext uri="{FF2B5EF4-FFF2-40B4-BE49-F238E27FC236}">
              <a16:creationId xmlns:a16="http://schemas.microsoft.com/office/drawing/2014/main" id="{DCED307A-9C50-47BC-929A-3D4869ED1383}"/>
            </a:ext>
          </a:extLst>
        </xdr:cNvPr>
        <xdr:cNvSpPr/>
      </xdr:nvSpPr>
      <xdr:spPr>
        <a:xfrm>
          <a:off x="10448925" y="6972300"/>
          <a:ext cx="206375" cy="174625"/>
        </a:xfrm>
        <a:prstGeom prst="ellipse">
          <a:avLst/>
        </a:prstGeom>
        <a:solidFill>
          <a:srgbClr val="8064A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14</xdr:col>
      <xdr:colOff>219075</xdr:colOff>
      <xdr:row>12</xdr:row>
      <xdr:rowOff>187325</xdr:rowOff>
    </xdr:from>
    <xdr:to>
      <xdr:col>14</xdr:col>
      <xdr:colOff>425450</xdr:colOff>
      <xdr:row>13</xdr:row>
      <xdr:rowOff>171450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C25F5270-0F5A-4BCC-8511-D435E98DAF3C}"/>
            </a:ext>
          </a:extLst>
        </xdr:cNvPr>
        <xdr:cNvSpPr/>
      </xdr:nvSpPr>
      <xdr:spPr>
        <a:xfrm>
          <a:off x="10887075" y="2473325"/>
          <a:ext cx="206375" cy="174625"/>
        </a:xfrm>
        <a:prstGeom prst="ellipse">
          <a:avLst/>
        </a:prstGeom>
        <a:solidFill>
          <a:srgbClr val="664E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14</xdr:col>
      <xdr:colOff>244475</xdr:colOff>
      <xdr:row>15</xdr:row>
      <xdr:rowOff>85725</xdr:rowOff>
    </xdr:from>
    <xdr:to>
      <xdr:col>14</xdr:col>
      <xdr:colOff>450850</xdr:colOff>
      <xdr:row>16</xdr:row>
      <xdr:rowOff>69850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1B00BDE3-EE83-4B55-AF41-30E76F45E71B}"/>
            </a:ext>
          </a:extLst>
        </xdr:cNvPr>
        <xdr:cNvSpPr/>
      </xdr:nvSpPr>
      <xdr:spPr>
        <a:xfrm>
          <a:off x="10912475" y="2943225"/>
          <a:ext cx="206375" cy="174625"/>
        </a:xfrm>
        <a:prstGeom prst="ellipse">
          <a:avLst/>
        </a:prstGeom>
        <a:solidFill>
          <a:srgbClr val="9179A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14</xdr:col>
      <xdr:colOff>238125</xdr:colOff>
      <xdr:row>17</xdr:row>
      <xdr:rowOff>158750</xdr:rowOff>
    </xdr:from>
    <xdr:to>
      <xdr:col>14</xdr:col>
      <xdr:colOff>444500</xdr:colOff>
      <xdr:row>18</xdr:row>
      <xdr:rowOff>142875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6E52247B-AAF4-4EE9-AECD-7C77D401394B}"/>
            </a:ext>
          </a:extLst>
        </xdr:cNvPr>
        <xdr:cNvSpPr/>
      </xdr:nvSpPr>
      <xdr:spPr>
        <a:xfrm>
          <a:off x="10906125" y="3397250"/>
          <a:ext cx="206375" cy="174625"/>
        </a:xfrm>
        <a:prstGeom prst="ellipse">
          <a:avLst/>
        </a:prstGeom>
        <a:solidFill>
          <a:srgbClr val="38629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14</xdr:col>
      <xdr:colOff>231775</xdr:colOff>
      <xdr:row>20</xdr:row>
      <xdr:rowOff>57150</xdr:rowOff>
    </xdr:from>
    <xdr:to>
      <xdr:col>14</xdr:col>
      <xdr:colOff>438150</xdr:colOff>
      <xdr:row>21</xdr:row>
      <xdr:rowOff>41275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ABCF4BC4-5D56-4936-B3E9-2AC4C49026CB}"/>
            </a:ext>
          </a:extLst>
        </xdr:cNvPr>
        <xdr:cNvSpPr/>
      </xdr:nvSpPr>
      <xdr:spPr>
        <a:xfrm>
          <a:off x="10899775" y="3867150"/>
          <a:ext cx="206375" cy="174625"/>
        </a:xfrm>
        <a:prstGeom prst="ellipse">
          <a:avLst/>
        </a:prstGeom>
        <a:solidFill>
          <a:srgbClr val="4F81B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14</xdr:col>
      <xdr:colOff>460375</xdr:colOff>
      <xdr:row>12</xdr:row>
      <xdr:rowOff>111126</xdr:rowOff>
    </xdr:from>
    <xdr:to>
      <xdr:col>14</xdr:col>
      <xdr:colOff>746125</xdr:colOff>
      <xdr:row>14</xdr:row>
      <xdr:rowOff>15876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6E85174D-C9B3-7660-9029-2BDDF6814BB0}"/>
            </a:ext>
          </a:extLst>
        </xdr:cNvPr>
        <xdr:cNvSpPr txBox="1"/>
      </xdr:nvSpPr>
      <xdr:spPr>
        <a:xfrm>
          <a:off x="11128375" y="2397126"/>
          <a:ext cx="285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AR" sz="160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</a:t>
          </a:r>
        </a:p>
      </xdr:txBody>
    </xdr:sp>
    <xdr:clientData/>
  </xdr:twoCellAnchor>
  <xdr:twoCellAnchor editAs="absolute">
    <xdr:from>
      <xdr:col>14</xdr:col>
      <xdr:colOff>469900</xdr:colOff>
      <xdr:row>15</xdr:row>
      <xdr:rowOff>9526</xdr:rowOff>
    </xdr:from>
    <xdr:to>
      <xdr:col>14</xdr:col>
      <xdr:colOff>755650</xdr:colOff>
      <xdr:row>16</xdr:row>
      <xdr:rowOff>104776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53E46869-7030-4FBA-BBE7-8A2716B78A55}"/>
            </a:ext>
          </a:extLst>
        </xdr:cNvPr>
        <xdr:cNvSpPr txBox="1"/>
      </xdr:nvSpPr>
      <xdr:spPr>
        <a:xfrm>
          <a:off x="11137900" y="2867026"/>
          <a:ext cx="285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AR" sz="160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B</a:t>
          </a:r>
        </a:p>
      </xdr:txBody>
    </xdr:sp>
    <xdr:clientData/>
  </xdr:twoCellAnchor>
  <xdr:twoCellAnchor editAs="absolute">
    <xdr:from>
      <xdr:col>14</xdr:col>
      <xdr:colOff>479425</xdr:colOff>
      <xdr:row>17</xdr:row>
      <xdr:rowOff>114301</xdr:rowOff>
    </xdr:from>
    <xdr:to>
      <xdr:col>15</xdr:col>
      <xdr:colOff>3175</xdr:colOff>
      <xdr:row>19</xdr:row>
      <xdr:rowOff>19051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6D1A5898-C3A2-4973-8B83-B68FCD9D3CBE}"/>
            </a:ext>
          </a:extLst>
        </xdr:cNvPr>
        <xdr:cNvSpPr txBox="1"/>
      </xdr:nvSpPr>
      <xdr:spPr>
        <a:xfrm>
          <a:off x="11147425" y="3352801"/>
          <a:ext cx="285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AR" sz="160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C</a:t>
          </a:r>
        </a:p>
      </xdr:txBody>
    </xdr:sp>
    <xdr:clientData/>
  </xdr:twoCellAnchor>
  <xdr:twoCellAnchor editAs="absolute">
    <xdr:from>
      <xdr:col>14</xdr:col>
      <xdr:colOff>473075</xdr:colOff>
      <xdr:row>20</xdr:row>
      <xdr:rowOff>12701</xdr:rowOff>
    </xdr:from>
    <xdr:to>
      <xdr:col>14</xdr:col>
      <xdr:colOff>758825</xdr:colOff>
      <xdr:row>21</xdr:row>
      <xdr:rowOff>107951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14953F8-9601-459E-A9AC-CAA7A0308F29}"/>
            </a:ext>
          </a:extLst>
        </xdr:cNvPr>
        <xdr:cNvSpPr txBox="1"/>
      </xdr:nvSpPr>
      <xdr:spPr>
        <a:xfrm>
          <a:off x="11141075" y="3822701"/>
          <a:ext cx="285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AR" sz="160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</a:t>
          </a:r>
        </a:p>
      </xdr:txBody>
    </xdr:sp>
    <xdr:clientData/>
  </xdr:twoCellAnchor>
  <xdr:twoCellAnchor editAs="absolute">
    <xdr:from>
      <xdr:col>7</xdr:col>
      <xdr:colOff>141549</xdr:colOff>
      <xdr:row>9</xdr:row>
      <xdr:rowOff>31750</xdr:rowOff>
    </xdr:from>
    <xdr:to>
      <xdr:col>7</xdr:col>
      <xdr:colOff>190500</xdr:colOff>
      <xdr:row>12</xdr:row>
      <xdr:rowOff>0</xdr:rowOff>
    </xdr:to>
    <xdr:sp macro="" textlink="">
      <xdr:nvSpPr>
        <xdr:cNvPr id="23" name="Diagrama de flujo: proceso 22">
          <a:extLst>
            <a:ext uri="{FF2B5EF4-FFF2-40B4-BE49-F238E27FC236}">
              <a16:creationId xmlns:a16="http://schemas.microsoft.com/office/drawing/2014/main" id="{A861C12B-AA17-46F0-BD59-23547BA2E865}"/>
            </a:ext>
          </a:extLst>
        </xdr:cNvPr>
        <xdr:cNvSpPr/>
      </xdr:nvSpPr>
      <xdr:spPr>
        <a:xfrm>
          <a:off x="5475549" y="1746250"/>
          <a:ext cx="48951" cy="539750"/>
        </a:xfrm>
        <a:prstGeom prst="flowChartProcess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7</xdr:col>
      <xdr:colOff>186326</xdr:colOff>
      <xdr:row>8</xdr:row>
      <xdr:rowOff>142873</xdr:rowOff>
    </xdr:from>
    <xdr:to>
      <xdr:col>10</xdr:col>
      <xdr:colOff>698500</xdr:colOff>
      <xdr:row>12</xdr:row>
      <xdr:rowOff>111124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3B9A75AA-9227-424F-A123-740002876944}"/>
            </a:ext>
          </a:extLst>
        </xdr:cNvPr>
        <xdr:cNvSpPr txBox="1"/>
      </xdr:nvSpPr>
      <xdr:spPr>
        <a:xfrm>
          <a:off x="5520326" y="1666873"/>
          <a:ext cx="2798174" cy="730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400" b="0" i="0"/>
            <a:t>Grado de Criticidad</a:t>
          </a:r>
        </a:p>
        <a:p>
          <a:r>
            <a:rPr lang="es-AR" sz="1600" b="0" i="0"/>
            <a:t>Por Orden</a:t>
          </a:r>
          <a:endParaRPr lang="es-AR" sz="1400" b="0" i="0"/>
        </a:p>
      </xdr:txBody>
    </xdr:sp>
    <xdr:clientData/>
  </xdr:twoCellAnchor>
  <xdr:twoCellAnchor editAs="absolute">
    <xdr:from>
      <xdr:col>15</xdr:col>
      <xdr:colOff>484449</xdr:colOff>
      <xdr:row>9</xdr:row>
      <xdr:rowOff>41275</xdr:rowOff>
    </xdr:from>
    <xdr:to>
      <xdr:col>15</xdr:col>
      <xdr:colOff>533400</xdr:colOff>
      <xdr:row>12</xdr:row>
      <xdr:rowOff>9525</xdr:rowOff>
    </xdr:to>
    <xdr:sp macro="" textlink="">
      <xdr:nvSpPr>
        <xdr:cNvPr id="27" name="Diagrama de flujo: proceso 26">
          <a:extLst>
            <a:ext uri="{FF2B5EF4-FFF2-40B4-BE49-F238E27FC236}">
              <a16:creationId xmlns:a16="http://schemas.microsoft.com/office/drawing/2014/main" id="{ABC04369-D905-4559-BD6D-C91F832BE5BA}"/>
            </a:ext>
          </a:extLst>
        </xdr:cNvPr>
        <xdr:cNvSpPr/>
      </xdr:nvSpPr>
      <xdr:spPr>
        <a:xfrm>
          <a:off x="11914449" y="1755775"/>
          <a:ext cx="48951" cy="539750"/>
        </a:xfrm>
        <a:prstGeom prst="flowChartProcess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15</xdr:col>
      <xdr:colOff>529226</xdr:colOff>
      <xdr:row>8</xdr:row>
      <xdr:rowOff>152399</xdr:rowOff>
    </xdr:from>
    <xdr:to>
      <xdr:col>19</xdr:col>
      <xdr:colOff>279400</xdr:colOff>
      <xdr:row>11</xdr:row>
      <xdr:rowOff>95250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FFD0AB0E-A407-4BB0-A62F-58A2DE9E43A5}"/>
            </a:ext>
          </a:extLst>
        </xdr:cNvPr>
        <xdr:cNvSpPr txBox="1"/>
      </xdr:nvSpPr>
      <xdr:spPr>
        <a:xfrm>
          <a:off x="11959226" y="1676399"/>
          <a:ext cx="2798174" cy="514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400" b="0" i="0"/>
            <a:t>Indice de Fallas</a:t>
          </a:r>
        </a:p>
      </xdr:txBody>
    </xdr:sp>
    <xdr:clientData/>
  </xdr:twoCellAnchor>
  <xdr:twoCellAnchor editAs="absolute">
    <xdr:from>
      <xdr:col>33</xdr:col>
      <xdr:colOff>151074</xdr:colOff>
      <xdr:row>9</xdr:row>
      <xdr:rowOff>41275</xdr:rowOff>
    </xdr:from>
    <xdr:to>
      <xdr:col>33</xdr:col>
      <xdr:colOff>200025</xdr:colOff>
      <xdr:row>12</xdr:row>
      <xdr:rowOff>9525</xdr:rowOff>
    </xdr:to>
    <xdr:sp macro="" textlink="">
      <xdr:nvSpPr>
        <xdr:cNvPr id="29" name="Diagrama de flujo: proceso 28">
          <a:extLst>
            <a:ext uri="{FF2B5EF4-FFF2-40B4-BE49-F238E27FC236}">
              <a16:creationId xmlns:a16="http://schemas.microsoft.com/office/drawing/2014/main" id="{B562B3B1-2CA3-49B3-A84E-43D3D0C17AC1}"/>
            </a:ext>
          </a:extLst>
        </xdr:cNvPr>
        <xdr:cNvSpPr/>
      </xdr:nvSpPr>
      <xdr:spPr>
        <a:xfrm>
          <a:off x="25408199" y="1755775"/>
          <a:ext cx="48951" cy="539750"/>
        </a:xfrm>
        <a:prstGeom prst="flowChartProcess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33</xdr:col>
      <xdr:colOff>195851</xdr:colOff>
      <xdr:row>8</xdr:row>
      <xdr:rowOff>152398</xdr:rowOff>
    </xdr:from>
    <xdr:to>
      <xdr:col>37</xdr:col>
      <xdr:colOff>746125</xdr:colOff>
      <xdr:row>12</xdr:row>
      <xdr:rowOff>120649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B3C04842-E9E2-44AB-B49B-9F94D67C3A1A}"/>
            </a:ext>
          </a:extLst>
        </xdr:cNvPr>
        <xdr:cNvSpPr txBox="1"/>
      </xdr:nvSpPr>
      <xdr:spPr>
        <a:xfrm>
          <a:off x="25452976" y="1676398"/>
          <a:ext cx="3598274" cy="730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400" b="0" i="0"/>
            <a:t>Top</a:t>
          </a:r>
          <a:r>
            <a:rPr lang="es-AR" sz="2400" b="0" i="0" baseline="0"/>
            <a:t> Elementos de Falla</a:t>
          </a:r>
          <a:endParaRPr lang="es-AR" sz="2400" b="0" i="0"/>
        </a:p>
        <a:p>
          <a:r>
            <a:rPr lang="es-AR" sz="1600" b="0" i="0"/>
            <a:t>Por equipos</a:t>
          </a:r>
          <a:endParaRPr lang="es-AR" sz="1400" b="0" i="0"/>
        </a:p>
      </xdr:txBody>
    </xdr:sp>
    <xdr:clientData/>
  </xdr:twoCellAnchor>
  <xdr:twoCellAnchor editAs="absolute">
    <xdr:from>
      <xdr:col>25</xdr:col>
      <xdr:colOff>738449</xdr:colOff>
      <xdr:row>26</xdr:row>
      <xdr:rowOff>57150</xdr:rowOff>
    </xdr:from>
    <xdr:to>
      <xdr:col>26</xdr:col>
      <xdr:colOff>25400</xdr:colOff>
      <xdr:row>29</xdr:row>
      <xdr:rowOff>25400</xdr:rowOff>
    </xdr:to>
    <xdr:sp macro="" textlink="">
      <xdr:nvSpPr>
        <xdr:cNvPr id="31" name="Diagrama de flujo: proceso 30">
          <a:extLst>
            <a:ext uri="{FF2B5EF4-FFF2-40B4-BE49-F238E27FC236}">
              <a16:creationId xmlns:a16="http://schemas.microsoft.com/office/drawing/2014/main" id="{043631EB-E380-4369-85E5-E40D9DE15F48}"/>
            </a:ext>
          </a:extLst>
        </xdr:cNvPr>
        <xdr:cNvSpPr/>
      </xdr:nvSpPr>
      <xdr:spPr>
        <a:xfrm>
          <a:off x="19788449" y="5010150"/>
          <a:ext cx="48951" cy="539750"/>
        </a:xfrm>
        <a:prstGeom prst="flowChartProcess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26</xdr:col>
      <xdr:colOff>21225</xdr:colOff>
      <xdr:row>25</xdr:row>
      <xdr:rowOff>168273</xdr:rowOff>
    </xdr:from>
    <xdr:to>
      <xdr:col>31</xdr:col>
      <xdr:colOff>301625</xdr:colOff>
      <xdr:row>28</xdr:row>
      <xdr:rowOff>31750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215D6939-BF73-47F2-8B85-ABF4D0184DF7}"/>
            </a:ext>
          </a:extLst>
        </xdr:cNvPr>
        <xdr:cNvSpPr txBox="1"/>
      </xdr:nvSpPr>
      <xdr:spPr>
        <a:xfrm>
          <a:off x="19833225" y="4930773"/>
          <a:ext cx="4090400" cy="4349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400" b="0" i="0"/>
            <a:t>Hs por OT</a:t>
          </a:r>
          <a:r>
            <a:rPr lang="es-AR" sz="2400" b="0" i="0" baseline="0"/>
            <a:t> asignado a tecnico</a:t>
          </a:r>
          <a:endParaRPr lang="es-AR" sz="2400" b="0" i="0"/>
        </a:p>
      </xdr:txBody>
    </xdr:sp>
    <xdr:clientData/>
  </xdr:twoCellAnchor>
  <xdr:twoCellAnchor editAs="absolute">
    <xdr:from>
      <xdr:col>7</xdr:col>
      <xdr:colOff>135199</xdr:colOff>
      <xdr:row>26</xdr:row>
      <xdr:rowOff>88900</xdr:rowOff>
    </xdr:from>
    <xdr:to>
      <xdr:col>7</xdr:col>
      <xdr:colOff>184150</xdr:colOff>
      <xdr:row>29</xdr:row>
      <xdr:rowOff>57150</xdr:rowOff>
    </xdr:to>
    <xdr:sp macro="" textlink="">
      <xdr:nvSpPr>
        <xdr:cNvPr id="33" name="Diagrama de flujo: proceso 32">
          <a:extLst>
            <a:ext uri="{FF2B5EF4-FFF2-40B4-BE49-F238E27FC236}">
              <a16:creationId xmlns:a16="http://schemas.microsoft.com/office/drawing/2014/main" id="{8525924B-4C23-436E-9269-2F96D5465149}"/>
            </a:ext>
          </a:extLst>
        </xdr:cNvPr>
        <xdr:cNvSpPr/>
      </xdr:nvSpPr>
      <xdr:spPr>
        <a:xfrm>
          <a:off x="5469199" y="5041900"/>
          <a:ext cx="48951" cy="539750"/>
        </a:xfrm>
        <a:prstGeom prst="flowChartProcess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7</xdr:col>
      <xdr:colOff>179975</xdr:colOff>
      <xdr:row>26</xdr:row>
      <xdr:rowOff>9523</xdr:rowOff>
    </xdr:from>
    <xdr:to>
      <xdr:col>11</xdr:col>
      <xdr:colOff>396874</xdr:colOff>
      <xdr:row>29</xdr:row>
      <xdr:rowOff>168274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14D3EE87-E6FE-451F-9A80-EA4835AE9E30}"/>
            </a:ext>
          </a:extLst>
        </xdr:cNvPr>
        <xdr:cNvSpPr txBox="1"/>
      </xdr:nvSpPr>
      <xdr:spPr>
        <a:xfrm>
          <a:off x="5513975" y="4962523"/>
          <a:ext cx="3264899" cy="730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400" b="0" i="0"/>
            <a:t>Tipo de Mantenimiento</a:t>
          </a:r>
        </a:p>
        <a:p>
          <a:r>
            <a:rPr lang="es-AR" sz="1600" b="0" i="0"/>
            <a:t>Por Orden</a:t>
          </a:r>
          <a:endParaRPr lang="es-AR" sz="1400" b="0" i="0"/>
        </a:p>
      </xdr:txBody>
    </xdr:sp>
    <xdr:clientData/>
  </xdr:twoCellAnchor>
  <xdr:twoCellAnchor editAs="absolute">
    <xdr:from>
      <xdr:col>15</xdr:col>
      <xdr:colOff>446349</xdr:colOff>
      <xdr:row>26</xdr:row>
      <xdr:rowOff>114300</xdr:rowOff>
    </xdr:from>
    <xdr:to>
      <xdr:col>15</xdr:col>
      <xdr:colOff>495300</xdr:colOff>
      <xdr:row>29</xdr:row>
      <xdr:rowOff>82550</xdr:rowOff>
    </xdr:to>
    <xdr:sp macro="" textlink="">
      <xdr:nvSpPr>
        <xdr:cNvPr id="35" name="Diagrama de flujo: proceso 34">
          <a:extLst>
            <a:ext uri="{FF2B5EF4-FFF2-40B4-BE49-F238E27FC236}">
              <a16:creationId xmlns:a16="http://schemas.microsoft.com/office/drawing/2014/main" id="{83FB577E-121A-4582-9C98-E0C32D5B4B7F}"/>
            </a:ext>
          </a:extLst>
        </xdr:cNvPr>
        <xdr:cNvSpPr/>
      </xdr:nvSpPr>
      <xdr:spPr>
        <a:xfrm>
          <a:off x="11876349" y="5067300"/>
          <a:ext cx="48951" cy="539750"/>
        </a:xfrm>
        <a:prstGeom prst="flowChartProcess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15</xdr:col>
      <xdr:colOff>491125</xdr:colOff>
      <xdr:row>26</xdr:row>
      <xdr:rowOff>34923</xdr:rowOff>
    </xdr:from>
    <xdr:to>
      <xdr:col>21</xdr:col>
      <xdr:colOff>619125</xdr:colOff>
      <xdr:row>30</xdr:row>
      <xdr:rowOff>3174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CBCC0814-9E0D-4A25-86BD-98F3D321BF66}"/>
            </a:ext>
          </a:extLst>
        </xdr:cNvPr>
        <xdr:cNvSpPr txBox="1"/>
      </xdr:nvSpPr>
      <xdr:spPr>
        <a:xfrm>
          <a:off x="11921125" y="4987923"/>
          <a:ext cx="4700000" cy="730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400" b="0" i="0"/>
            <a:t>Cantidad de Ordenes</a:t>
          </a:r>
          <a:r>
            <a:rPr lang="es-AR" sz="2400" b="0" i="0" baseline="0"/>
            <a:t> (correctivos)</a:t>
          </a:r>
          <a:endParaRPr lang="es-AR" sz="2400" b="0" i="0"/>
        </a:p>
        <a:p>
          <a:r>
            <a:rPr lang="es-AR" sz="1600" b="0" i="0"/>
            <a:t>Por Tecnico</a:t>
          </a:r>
          <a:endParaRPr lang="es-AR" sz="1400" b="0" i="0"/>
        </a:p>
      </xdr:txBody>
    </xdr:sp>
    <xdr:clientData/>
  </xdr:twoCellAnchor>
  <xdr:twoCellAnchor editAs="absolute">
    <xdr:from>
      <xdr:col>0</xdr:col>
      <xdr:colOff>716224</xdr:colOff>
      <xdr:row>45</xdr:row>
      <xdr:rowOff>34925</xdr:rowOff>
    </xdr:from>
    <xdr:to>
      <xdr:col>1</xdr:col>
      <xdr:colOff>3175</xdr:colOff>
      <xdr:row>48</xdr:row>
      <xdr:rowOff>3175</xdr:rowOff>
    </xdr:to>
    <xdr:sp macro="" textlink="">
      <xdr:nvSpPr>
        <xdr:cNvPr id="38" name="Diagrama de flujo: proceso 37">
          <a:extLst>
            <a:ext uri="{FF2B5EF4-FFF2-40B4-BE49-F238E27FC236}">
              <a16:creationId xmlns:a16="http://schemas.microsoft.com/office/drawing/2014/main" id="{D1BF90E1-B5A2-4F16-A563-FBCF24E520C8}"/>
            </a:ext>
          </a:extLst>
        </xdr:cNvPr>
        <xdr:cNvSpPr/>
      </xdr:nvSpPr>
      <xdr:spPr>
        <a:xfrm>
          <a:off x="716224" y="8607425"/>
          <a:ext cx="48951" cy="539750"/>
        </a:xfrm>
        <a:prstGeom prst="flowChartProcess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0</xdr:col>
      <xdr:colOff>761000</xdr:colOff>
      <xdr:row>44</xdr:row>
      <xdr:rowOff>146048</xdr:rowOff>
    </xdr:from>
    <xdr:to>
      <xdr:col>8</xdr:col>
      <xdr:colOff>619125</xdr:colOff>
      <xdr:row>48</xdr:row>
      <xdr:rowOff>114299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6854B8FC-A92D-45F3-984A-B4CA66132289}"/>
            </a:ext>
          </a:extLst>
        </xdr:cNvPr>
        <xdr:cNvSpPr txBox="1"/>
      </xdr:nvSpPr>
      <xdr:spPr>
        <a:xfrm>
          <a:off x="761000" y="8528048"/>
          <a:ext cx="5954125" cy="730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400" b="0" i="0"/>
            <a:t>Cantidad de fallas y Horas de Maquina Parada</a:t>
          </a:r>
        </a:p>
        <a:p>
          <a:r>
            <a:rPr lang="es-AR" sz="1600" b="0" i="0"/>
            <a:t>Por Equipo</a:t>
          </a:r>
          <a:endParaRPr lang="es-AR" sz="1400" b="0" i="0"/>
        </a:p>
      </xdr:txBody>
    </xdr:sp>
    <xdr:clientData/>
  </xdr:twoCellAnchor>
  <xdr:twoCellAnchor editAs="absolute">
    <xdr:from>
      <xdr:col>0</xdr:col>
      <xdr:colOff>402226</xdr:colOff>
      <xdr:row>10</xdr:row>
      <xdr:rowOff>136524</xdr:rowOff>
    </xdr:from>
    <xdr:to>
      <xdr:col>2</xdr:col>
      <xdr:colOff>174625</xdr:colOff>
      <xdr:row>13</xdr:row>
      <xdr:rowOff>79376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E439848A-7039-4832-92EA-6DF776A14A5A}"/>
            </a:ext>
          </a:extLst>
        </xdr:cNvPr>
        <xdr:cNvSpPr txBox="1"/>
      </xdr:nvSpPr>
      <xdr:spPr>
        <a:xfrm>
          <a:off x="402226" y="2041524"/>
          <a:ext cx="1296399" cy="5143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400" b="1" i="0"/>
            <a:t>Equipos</a:t>
          </a:r>
          <a:endParaRPr lang="es-AR" sz="1400" b="1" i="0"/>
        </a:p>
      </xdr:txBody>
    </xdr:sp>
    <xdr:clientData/>
  </xdr:twoCellAnchor>
  <xdr:twoCellAnchor editAs="absolute">
    <xdr:from>
      <xdr:col>0</xdr:col>
      <xdr:colOff>180975</xdr:colOff>
      <xdr:row>11</xdr:row>
      <xdr:rowOff>101600</xdr:rowOff>
    </xdr:from>
    <xdr:to>
      <xdr:col>0</xdr:col>
      <xdr:colOff>387350</xdr:colOff>
      <xdr:row>12</xdr:row>
      <xdr:rowOff>85725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DB68FBA7-82E0-4885-B50A-4EAF6813595B}"/>
            </a:ext>
          </a:extLst>
        </xdr:cNvPr>
        <xdr:cNvSpPr/>
      </xdr:nvSpPr>
      <xdr:spPr>
        <a:xfrm>
          <a:off x="180975" y="2197100"/>
          <a:ext cx="206375" cy="174625"/>
        </a:xfrm>
        <a:prstGeom prst="ellipse">
          <a:avLst/>
        </a:prstGeom>
        <a:solidFill>
          <a:srgbClr val="664E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0</xdr:col>
      <xdr:colOff>411751</xdr:colOff>
      <xdr:row>31</xdr:row>
      <xdr:rowOff>98424</xdr:rowOff>
    </xdr:from>
    <xdr:to>
      <xdr:col>2</xdr:col>
      <xdr:colOff>619125</xdr:colOff>
      <xdr:row>34</xdr:row>
      <xdr:rowOff>41276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67AC97C4-AF0F-455A-89AB-215C42D8492A}"/>
            </a:ext>
          </a:extLst>
        </xdr:cNvPr>
        <xdr:cNvSpPr txBox="1"/>
      </xdr:nvSpPr>
      <xdr:spPr>
        <a:xfrm>
          <a:off x="411751" y="6003924"/>
          <a:ext cx="1731374" cy="5143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400" b="1" i="0"/>
            <a:t>Empleados</a:t>
          </a:r>
          <a:endParaRPr lang="es-AR" sz="1400" b="1" i="0"/>
        </a:p>
      </xdr:txBody>
    </xdr:sp>
    <xdr:clientData/>
  </xdr:twoCellAnchor>
  <xdr:twoCellAnchor editAs="absolute">
    <xdr:from>
      <xdr:col>0</xdr:col>
      <xdr:colOff>190500</xdr:colOff>
      <xdr:row>32</xdr:row>
      <xdr:rowOff>63500</xdr:rowOff>
    </xdr:from>
    <xdr:to>
      <xdr:col>0</xdr:col>
      <xdr:colOff>396875</xdr:colOff>
      <xdr:row>33</xdr:row>
      <xdr:rowOff>47625</xdr:rowOff>
    </xdr:to>
    <xdr:sp macro="" textlink="">
      <xdr:nvSpPr>
        <xdr:cNvPr id="57" name="Elipse 56">
          <a:extLst>
            <a:ext uri="{FF2B5EF4-FFF2-40B4-BE49-F238E27FC236}">
              <a16:creationId xmlns:a16="http://schemas.microsoft.com/office/drawing/2014/main" id="{C6B7EFA0-3370-4D00-884A-8632274D5821}"/>
            </a:ext>
          </a:extLst>
        </xdr:cNvPr>
        <xdr:cNvSpPr/>
      </xdr:nvSpPr>
      <xdr:spPr>
        <a:xfrm>
          <a:off x="190500" y="6159500"/>
          <a:ext cx="206375" cy="174625"/>
        </a:xfrm>
        <a:prstGeom prst="ellipse">
          <a:avLst/>
        </a:prstGeom>
        <a:solidFill>
          <a:srgbClr val="664E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2</xdr:col>
      <xdr:colOff>523875</xdr:colOff>
      <xdr:row>31</xdr:row>
      <xdr:rowOff>47625</xdr:rowOff>
    </xdr:from>
    <xdr:to>
      <xdr:col>3</xdr:col>
      <xdr:colOff>141007</xdr:colOff>
      <xdr:row>33</xdr:row>
      <xdr:rowOff>61232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51233217-808E-40A2-A433-1B05B4C19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7875" y="5953125"/>
          <a:ext cx="379132" cy="394607"/>
        </a:xfrm>
        <a:prstGeom prst="rect">
          <a:avLst/>
        </a:prstGeom>
      </xdr:spPr>
    </xdr:pic>
    <xdr:clientData/>
  </xdr:twoCellAnchor>
  <xdr:twoCellAnchor editAs="absolute">
    <xdr:from>
      <xdr:col>2</xdr:col>
      <xdr:colOff>444500</xdr:colOff>
      <xdr:row>10</xdr:row>
      <xdr:rowOff>127000</xdr:rowOff>
    </xdr:from>
    <xdr:to>
      <xdr:col>3</xdr:col>
      <xdr:colOff>317500</xdr:colOff>
      <xdr:row>13</xdr:row>
      <xdr:rowOff>79375</xdr:rowOff>
    </xdr:to>
    <xdr:pic>
      <xdr:nvPicPr>
        <xdr:cNvPr id="27652" name="Imagen 27651">
          <a:extLst>
            <a:ext uri="{FF2B5EF4-FFF2-40B4-BE49-F238E27FC236}">
              <a16:creationId xmlns:a16="http://schemas.microsoft.com/office/drawing/2014/main" id="{FAEE1274-50E2-8223-6A3F-30E356A79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0" y="2032000"/>
          <a:ext cx="635000" cy="523875"/>
        </a:xfrm>
        <a:prstGeom prst="rect">
          <a:avLst/>
        </a:prstGeom>
      </xdr:spPr>
    </xdr:pic>
    <xdr:clientData/>
  </xdr:twoCellAnchor>
  <xdr:twoCellAnchor editAs="absolute">
    <xdr:from>
      <xdr:col>11</xdr:col>
      <xdr:colOff>508000</xdr:colOff>
      <xdr:row>1</xdr:row>
      <xdr:rowOff>111125</xdr:rowOff>
    </xdr:from>
    <xdr:to>
      <xdr:col>12</xdr:col>
      <xdr:colOff>619125</xdr:colOff>
      <xdr:row>6</xdr:row>
      <xdr:rowOff>31750</xdr:rowOff>
    </xdr:to>
    <xdr:pic macro="[0]!ACTUALIZARDICIEMBRE">
      <xdr:nvPicPr>
        <xdr:cNvPr id="27656" name="Imagen 27655">
          <a:extLst>
            <a:ext uri="{FF2B5EF4-FFF2-40B4-BE49-F238E27FC236}">
              <a16:creationId xmlns:a16="http://schemas.microsoft.com/office/drawing/2014/main" id="{EE791254-97F5-465B-F14D-E8DBA7D30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0" y="301625"/>
          <a:ext cx="873125" cy="873125"/>
        </a:xfrm>
        <a:prstGeom prst="rect">
          <a:avLst/>
        </a:prstGeom>
      </xdr:spPr>
    </xdr:pic>
    <xdr:clientData/>
  </xdr:twoCellAnchor>
  <xdr:twoCellAnchor editAs="absolute">
    <xdr:from>
      <xdr:col>33</xdr:col>
      <xdr:colOff>15875</xdr:colOff>
      <xdr:row>44</xdr:row>
      <xdr:rowOff>149227</xdr:rowOff>
    </xdr:from>
    <xdr:to>
      <xdr:col>38</xdr:col>
      <xdr:colOff>571501</xdr:colOff>
      <xdr:row>64</xdr:row>
      <xdr:rowOff>15875</xdr:rowOff>
    </xdr:to>
    <xdr:sp macro="" textlink="">
      <xdr:nvSpPr>
        <xdr:cNvPr id="27657" name="Rectángulo: esquinas redondeadas 27656">
          <a:extLst>
            <a:ext uri="{FF2B5EF4-FFF2-40B4-BE49-F238E27FC236}">
              <a16:creationId xmlns:a16="http://schemas.microsoft.com/office/drawing/2014/main" id="{DD47C586-0BF9-4A87-974C-B8AC6FF47FB6}"/>
            </a:ext>
          </a:extLst>
        </xdr:cNvPr>
        <xdr:cNvSpPr/>
      </xdr:nvSpPr>
      <xdr:spPr>
        <a:xfrm>
          <a:off x="25273000" y="8531227"/>
          <a:ext cx="4365626" cy="3676648"/>
        </a:xfrm>
        <a:prstGeom prst="roundRect">
          <a:avLst>
            <a:gd name="adj" fmla="val 4386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33</xdr:col>
      <xdr:colOff>233681</xdr:colOff>
      <xdr:row>45</xdr:row>
      <xdr:rowOff>111126</xdr:rowOff>
    </xdr:from>
    <xdr:to>
      <xdr:col>33</xdr:col>
      <xdr:colOff>279400</xdr:colOff>
      <xdr:row>48</xdr:row>
      <xdr:rowOff>129277</xdr:rowOff>
    </xdr:to>
    <xdr:sp macro="" textlink="">
      <xdr:nvSpPr>
        <xdr:cNvPr id="27658" name="Diagrama de flujo: proceso 27657">
          <a:extLst>
            <a:ext uri="{FF2B5EF4-FFF2-40B4-BE49-F238E27FC236}">
              <a16:creationId xmlns:a16="http://schemas.microsoft.com/office/drawing/2014/main" id="{ED2F95CE-D5C1-4BD2-AADB-2B5152305B7D}"/>
            </a:ext>
          </a:extLst>
        </xdr:cNvPr>
        <xdr:cNvSpPr/>
      </xdr:nvSpPr>
      <xdr:spPr>
        <a:xfrm>
          <a:off x="25490806" y="8683626"/>
          <a:ext cx="45719" cy="589651"/>
        </a:xfrm>
        <a:prstGeom prst="flowChartProcess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33</xdr:col>
      <xdr:colOff>309687</xdr:colOff>
      <xdr:row>45</xdr:row>
      <xdr:rowOff>63500</xdr:rowOff>
    </xdr:from>
    <xdr:to>
      <xdr:col>38</xdr:col>
      <xdr:colOff>412750</xdr:colOff>
      <xdr:row>49</xdr:row>
      <xdr:rowOff>95250</xdr:rowOff>
    </xdr:to>
    <xdr:sp macro="" textlink="">
      <xdr:nvSpPr>
        <xdr:cNvPr id="27659" name="CuadroTexto 27658">
          <a:extLst>
            <a:ext uri="{FF2B5EF4-FFF2-40B4-BE49-F238E27FC236}">
              <a16:creationId xmlns:a16="http://schemas.microsoft.com/office/drawing/2014/main" id="{9550557D-0B3A-4D7E-B97D-73B07B7067A3}"/>
            </a:ext>
          </a:extLst>
        </xdr:cNvPr>
        <xdr:cNvSpPr txBox="1"/>
      </xdr:nvSpPr>
      <xdr:spPr>
        <a:xfrm>
          <a:off x="25566812" y="8636000"/>
          <a:ext cx="3913063" cy="793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400" b="0" i="0"/>
            <a:t>Total</a:t>
          </a:r>
          <a:r>
            <a:rPr lang="es-AR" sz="2400" b="0" i="0" baseline="0"/>
            <a:t> Hs de Mano de Obra</a:t>
          </a:r>
        </a:p>
        <a:p>
          <a:r>
            <a:rPr lang="es-AR" sz="1600" b="0" i="0" baseline="0"/>
            <a:t>Por Gremio</a:t>
          </a:r>
          <a:endParaRPr lang="es-AR" sz="1600" b="0" i="0"/>
        </a:p>
      </xdr:txBody>
    </xdr:sp>
    <xdr:clientData/>
  </xdr:twoCellAnchor>
  <xdr:twoCellAnchor editAs="absolute">
    <xdr:from>
      <xdr:col>33</xdr:col>
      <xdr:colOff>111124</xdr:colOff>
      <xdr:row>49</xdr:row>
      <xdr:rowOff>53976</xdr:rowOff>
    </xdr:from>
    <xdr:to>
      <xdr:col>38</xdr:col>
      <xdr:colOff>507999</xdr:colOff>
      <xdr:row>63</xdr:row>
      <xdr:rowOff>190499</xdr:rowOff>
    </xdr:to>
    <xdr:graphicFrame macro="">
      <xdr:nvGraphicFramePr>
        <xdr:cNvPr id="27660" name="Gráfico 27659">
          <a:extLst>
            <a:ext uri="{FF2B5EF4-FFF2-40B4-BE49-F238E27FC236}">
              <a16:creationId xmlns:a16="http://schemas.microsoft.com/office/drawing/2014/main" id="{B64737BA-C02F-458C-AE16-F735BDC2FB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29</xdr:col>
      <xdr:colOff>660400</xdr:colOff>
      <xdr:row>45</xdr:row>
      <xdr:rowOff>28575</xdr:rowOff>
    </xdr:from>
    <xdr:to>
      <xdr:col>31</xdr:col>
      <xdr:colOff>285750</xdr:colOff>
      <xdr:row>46</xdr:row>
      <xdr:rowOff>174625</xdr:rowOff>
    </xdr:to>
    <xdr:sp macro="" textlink="">
      <xdr:nvSpPr>
        <xdr:cNvPr id="27661" name="CuadroTexto 27660">
          <a:extLst>
            <a:ext uri="{FF2B5EF4-FFF2-40B4-BE49-F238E27FC236}">
              <a16:creationId xmlns:a16="http://schemas.microsoft.com/office/drawing/2014/main" id="{19501EB4-E6FE-432A-8C36-4735F97F5125}"/>
            </a:ext>
          </a:extLst>
        </xdr:cNvPr>
        <xdr:cNvSpPr txBox="1"/>
      </xdr:nvSpPr>
      <xdr:spPr>
        <a:xfrm>
          <a:off x="22758400" y="8601075"/>
          <a:ext cx="1149350" cy="336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0">
              <a:solidFill>
                <a:sysClr val="windowText" lastClr="000000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Fallas</a:t>
          </a:r>
        </a:p>
      </xdr:txBody>
    </xdr:sp>
    <xdr:clientData/>
  </xdr:twoCellAnchor>
  <xdr:twoCellAnchor editAs="absolute">
    <xdr:from>
      <xdr:col>29</xdr:col>
      <xdr:colOff>520700</xdr:colOff>
      <xdr:row>45</xdr:row>
      <xdr:rowOff>107950</xdr:rowOff>
    </xdr:from>
    <xdr:to>
      <xdr:col>29</xdr:col>
      <xdr:colOff>727075</xdr:colOff>
      <xdr:row>46</xdr:row>
      <xdr:rowOff>92075</xdr:rowOff>
    </xdr:to>
    <xdr:sp macro="" textlink="">
      <xdr:nvSpPr>
        <xdr:cNvPr id="27662" name="Elipse 27661">
          <a:extLst>
            <a:ext uri="{FF2B5EF4-FFF2-40B4-BE49-F238E27FC236}">
              <a16:creationId xmlns:a16="http://schemas.microsoft.com/office/drawing/2014/main" id="{A69C1405-5CC9-4477-878B-B3CCE22A2B24}"/>
            </a:ext>
          </a:extLst>
        </xdr:cNvPr>
        <xdr:cNvSpPr/>
      </xdr:nvSpPr>
      <xdr:spPr>
        <a:xfrm>
          <a:off x="22618700" y="8680450"/>
          <a:ext cx="206375" cy="174625"/>
        </a:xfrm>
        <a:prstGeom prst="ellipse">
          <a:avLst/>
        </a:prstGeom>
        <a:solidFill>
          <a:srgbClr val="8064A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31</xdr:col>
      <xdr:colOff>422275</xdr:colOff>
      <xdr:row>45</xdr:row>
      <xdr:rowOff>19049</xdr:rowOff>
    </xdr:from>
    <xdr:to>
      <xdr:col>32</xdr:col>
      <xdr:colOff>587375</xdr:colOff>
      <xdr:row>47</xdr:row>
      <xdr:rowOff>31750</xdr:rowOff>
    </xdr:to>
    <xdr:sp macro="" textlink="">
      <xdr:nvSpPr>
        <xdr:cNvPr id="27663" name="CuadroTexto 27662">
          <a:extLst>
            <a:ext uri="{FF2B5EF4-FFF2-40B4-BE49-F238E27FC236}">
              <a16:creationId xmlns:a16="http://schemas.microsoft.com/office/drawing/2014/main" id="{FB7C9106-4CE3-4DD8-ABF4-B387802C0D4B}"/>
            </a:ext>
          </a:extLst>
        </xdr:cNvPr>
        <xdr:cNvSpPr txBox="1"/>
      </xdr:nvSpPr>
      <xdr:spPr>
        <a:xfrm>
          <a:off x="24044275" y="8591549"/>
          <a:ext cx="1038225" cy="393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0">
              <a:solidFill>
                <a:sysClr val="windowText" lastClr="000000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Horas</a:t>
          </a:r>
        </a:p>
      </xdr:txBody>
    </xdr:sp>
    <xdr:clientData/>
  </xdr:twoCellAnchor>
  <xdr:twoCellAnchor editAs="absolute">
    <xdr:from>
      <xdr:col>31</xdr:col>
      <xdr:colOff>257175</xdr:colOff>
      <xdr:row>45</xdr:row>
      <xdr:rowOff>98425</xdr:rowOff>
    </xdr:from>
    <xdr:to>
      <xdr:col>31</xdr:col>
      <xdr:colOff>463550</xdr:colOff>
      <xdr:row>46</xdr:row>
      <xdr:rowOff>82550</xdr:rowOff>
    </xdr:to>
    <xdr:sp macro="" textlink="">
      <xdr:nvSpPr>
        <xdr:cNvPr id="27664" name="Elipse 27663">
          <a:extLst>
            <a:ext uri="{FF2B5EF4-FFF2-40B4-BE49-F238E27FC236}">
              <a16:creationId xmlns:a16="http://schemas.microsoft.com/office/drawing/2014/main" id="{BC8A798B-7F54-4FFE-912F-F4746E1F9EE0}"/>
            </a:ext>
          </a:extLst>
        </xdr:cNvPr>
        <xdr:cNvSpPr/>
      </xdr:nvSpPr>
      <xdr:spPr>
        <a:xfrm>
          <a:off x="23879175" y="8670925"/>
          <a:ext cx="206375" cy="174625"/>
        </a:xfrm>
        <a:prstGeom prst="ellipse">
          <a:avLst/>
        </a:prstGeom>
        <a:solidFill>
          <a:srgbClr val="3E6CA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absolute">
    <xdr:from>
      <xdr:col>0</xdr:col>
      <xdr:colOff>95250</xdr:colOff>
      <xdr:row>27</xdr:row>
      <xdr:rowOff>31751</xdr:rowOff>
    </xdr:from>
    <xdr:to>
      <xdr:col>6</xdr:col>
      <xdr:colOff>587375</xdr:colOff>
      <xdr:row>31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7666" name="GRADO    INCIDENCIA FALLA">
              <a:extLst>
                <a:ext uri="{FF2B5EF4-FFF2-40B4-BE49-F238E27FC236}">
                  <a16:creationId xmlns:a16="http://schemas.microsoft.com/office/drawing/2014/main" id="{FEC95964-552D-F32F-3054-0F584932C2C8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DO    INCIDENCIA FALL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5175251"/>
              <a:ext cx="5064125" cy="777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411751</xdr:colOff>
      <xdr:row>25</xdr:row>
      <xdr:rowOff>130174</xdr:rowOff>
    </xdr:from>
    <xdr:to>
      <xdr:col>2</xdr:col>
      <xdr:colOff>476250</xdr:colOff>
      <xdr:row>28</xdr:row>
      <xdr:rowOff>73026</xdr:rowOff>
    </xdr:to>
    <xdr:sp macro="" textlink="">
      <xdr:nvSpPr>
        <xdr:cNvPr id="27667" name="CuadroTexto 27666">
          <a:extLst>
            <a:ext uri="{FF2B5EF4-FFF2-40B4-BE49-F238E27FC236}">
              <a16:creationId xmlns:a16="http://schemas.microsoft.com/office/drawing/2014/main" id="{4AF5325A-412C-4C31-96B6-9F2F60C529FF}"/>
            </a:ext>
          </a:extLst>
        </xdr:cNvPr>
        <xdr:cNvSpPr txBox="1"/>
      </xdr:nvSpPr>
      <xdr:spPr>
        <a:xfrm>
          <a:off x="411751" y="4892674"/>
          <a:ext cx="1588499" cy="5143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2400" b="1" i="0"/>
            <a:t>Criticidad</a:t>
          </a:r>
          <a:endParaRPr lang="es-AR" sz="1400" b="1" i="0"/>
        </a:p>
      </xdr:txBody>
    </xdr:sp>
    <xdr:clientData/>
  </xdr:twoCellAnchor>
  <xdr:twoCellAnchor editAs="absolute">
    <xdr:from>
      <xdr:col>0</xdr:col>
      <xdr:colOff>190500</xdr:colOff>
      <xdr:row>26</xdr:row>
      <xdr:rowOff>95250</xdr:rowOff>
    </xdr:from>
    <xdr:to>
      <xdr:col>0</xdr:col>
      <xdr:colOff>396875</xdr:colOff>
      <xdr:row>27</xdr:row>
      <xdr:rowOff>79375</xdr:rowOff>
    </xdr:to>
    <xdr:sp macro="" textlink="">
      <xdr:nvSpPr>
        <xdr:cNvPr id="27668" name="Elipse 27667">
          <a:extLst>
            <a:ext uri="{FF2B5EF4-FFF2-40B4-BE49-F238E27FC236}">
              <a16:creationId xmlns:a16="http://schemas.microsoft.com/office/drawing/2014/main" id="{141323E2-2A47-4095-BF7B-7CE46D8E61D9}"/>
            </a:ext>
          </a:extLst>
        </xdr:cNvPr>
        <xdr:cNvSpPr/>
      </xdr:nvSpPr>
      <xdr:spPr>
        <a:xfrm>
          <a:off x="190500" y="5048250"/>
          <a:ext cx="206375" cy="174625"/>
        </a:xfrm>
        <a:prstGeom prst="ellipse">
          <a:avLst/>
        </a:prstGeom>
        <a:solidFill>
          <a:srgbClr val="664E8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 editAs="oneCell">
    <xdr:from>
      <xdr:col>2</xdr:col>
      <xdr:colOff>508000</xdr:colOff>
      <xdr:row>25</xdr:row>
      <xdr:rowOff>174626</xdr:rowOff>
    </xdr:from>
    <xdr:to>
      <xdr:col>3</xdr:col>
      <xdr:colOff>126999</xdr:colOff>
      <xdr:row>27</xdr:row>
      <xdr:rowOff>174625</xdr:rowOff>
    </xdr:to>
    <xdr:pic>
      <xdr:nvPicPr>
        <xdr:cNvPr id="27669" name="Imagen 27668">
          <a:extLst>
            <a:ext uri="{FF2B5EF4-FFF2-40B4-BE49-F238E27FC236}">
              <a16:creationId xmlns:a16="http://schemas.microsoft.com/office/drawing/2014/main" id="{F0068FC5-074C-4B4D-A62C-342DFDD5C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937126"/>
          <a:ext cx="380999" cy="38099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ceguil" refreshedDate="45990.463541087964" missingItemsLimit="0" createdVersion="7" refreshedVersion="8" minRefreshableVersion="3" recordCount="915" xr:uid="{91B53DFA-AC4A-464B-8EEE-FB586F9A358D}">
  <cacheSource type="worksheet">
    <worksheetSource name="Tabla6"/>
  </cacheSource>
  <cacheFields count="27">
    <cacheField name="FECHA         ORDEN" numFmtId="14">
      <sharedItems containsSemiMixedTypes="0" containsNonDate="0" containsDate="1" containsString="0" minDate="2021-04-30T00:00:00" maxDate="2024-09-24T00:00:00" count="431">
        <d v="2021-04-30T00:00:00"/>
        <d v="2021-06-11T00:00:00"/>
        <d v="2021-07-20T00:00:00"/>
        <d v="2021-08-04T00:00:00"/>
        <d v="2021-09-03T00:00:00"/>
        <d v="2021-09-06T00:00:00"/>
        <d v="2021-09-07T00:00:00"/>
        <d v="2021-09-14T00:00:00"/>
        <d v="2021-09-15T00:00:00"/>
        <d v="2021-09-16T00:00:00"/>
        <d v="2021-09-21T00:00:00"/>
        <d v="2021-09-27T00:00:00"/>
        <d v="2021-09-28T00:00:00"/>
        <d v="2021-10-07T00:00:00"/>
        <d v="2021-10-14T00:00:00"/>
        <d v="2021-10-15T00:00:00"/>
        <d v="2021-10-20T00:00:00"/>
        <d v="2021-10-25T00:00:00"/>
        <d v="2021-10-26T00:00:00"/>
        <d v="2021-10-28T00:00:00"/>
        <d v="2021-10-29T00:00:00"/>
        <d v="2021-11-01T00:00:00"/>
        <d v="2021-11-02T00:00:00"/>
        <d v="2021-11-05T00:00:00"/>
        <d v="2021-11-08T00:00:00"/>
        <d v="2021-11-09T00:00:00"/>
        <d v="2021-11-10T00:00:00"/>
        <d v="2021-11-11T00:00:00"/>
        <d v="2021-11-15T00:00:00"/>
        <d v="2021-11-16T00:00:00"/>
        <d v="2021-11-18T00:00:00"/>
        <d v="2021-11-19T00:00:00"/>
        <d v="2021-11-23T00:00:00"/>
        <d v="2021-11-24T00:00:00"/>
        <d v="2021-11-29T00:00:00"/>
        <d v="2021-12-02T00:00:00"/>
        <d v="2021-12-06T00:00:00"/>
        <d v="2021-12-07T00:00:00"/>
        <d v="2021-12-09T00:00:00"/>
        <d v="2021-12-10T00:00:00"/>
        <d v="2021-12-13T00:00:00"/>
        <d v="2021-12-15T00:00:00"/>
        <d v="2021-12-16T00:00:00"/>
        <d v="2021-12-17T00:00:00"/>
        <d v="2021-12-20T00:00:00"/>
        <d v="2021-12-21T00:00:00"/>
        <d v="2021-12-22T00:00:00"/>
        <d v="2021-12-27T00:00:00"/>
        <d v="2021-12-28T00:00:00"/>
        <d v="2021-12-29T00:00:00"/>
        <d v="2021-12-30T00:00:00"/>
        <d v="2022-01-03T00:00:00"/>
        <d v="2022-01-04T00:00:00"/>
        <d v="2022-01-05T00:00:00"/>
        <d v="2022-01-06T00:00:00"/>
        <d v="2022-01-07T00:00:00"/>
        <d v="2022-01-10T00:00:00"/>
        <d v="2022-01-11T00:00:00"/>
        <d v="2022-01-12T00:00:00"/>
        <d v="2022-01-13T00:00:00"/>
        <d v="2022-01-17T00:00:00"/>
        <d v="2022-01-19T00:00:00"/>
        <d v="2022-01-20T00:00:00"/>
        <d v="2022-01-21T00:00:00"/>
        <d v="2022-01-25T00:00:00"/>
        <d v="2022-01-27T00:00:00"/>
        <d v="2022-01-28T00:00:00"/>
        <d v="2022-02-03T00:00:00"/>
        <d v="2022-02-04T00:00:00"/>
        <d v="2022-02-07T00:00:00"/>
        <d v="2022-02-11T00:00:00"/>
        <d v="2022-02-14T00:00:00"/>
        <d v="2022-02-15T00:00:00"/>
        <d v="2022-02-16T00:00:00"/>
        <d v="2022-02-17T00:00:00"/>
        <d v="2022-02-18T00:00:00"/>
        <d v="2022-02-21T00:00:00"/>
        <d v="2022-02-22T00:00:00"/>
        <d v="2022-02-23T00:00:00"/>
        <d v="2022-02-24T00:00:00"/>
        <d v="2022-02-25T00:00:00"/>
        <d v="2022-03-02T00:00:00"/>
        <d v="2022-03-03T00:00:00"/>
        <d v="2022-03-07T00:00:00"/>
        <d v="2022-03-08T00:00:00"/>
        <d v="2022-03-09T00:00:00"/>
        <d v="2022-03-10T00:00:00"/>
        <d v="2022-03-11T00:00:00"/>
        <d v="2022-03-14T00:00:00"/>
        <d v="2022-03-15T00:00:00"/>
        <d v="2022-03-16T00:00:00"/>
        <d v="2022-03-17T00:00:00"/>
        <d v="2022-03-18T00:00:00"/>
        <d v="2022-03-21T00:00:00"/>
        <d v="2022-03-22T00:00:00"/>
        <d v="2022-03-25T00:00:00"/>
        <d v="2022-03-28T00:00:00"/>
        <d v="2022-03-29T00:00:00"/>
        <d v="2022-03-30T00:00:00"/>
        <d v="2022-03-31T00:00:00"/>
        <d v="2022-04-01T00:00:00"/>
        <d v="2022-04-04T00:00:00"/>
        <d v="2022-04-05T00:00:00"/>
        <d v="2022-04-06T00:00:00"/>
        <d v="2022-04-07T00:00:00"/>
        <d v="2022-04-11T00:00:00"/>
        <d v="2022-04-12T00:00:00"/>
        <d v="2022-04-13T00:00:00"/>
        <d v="2022-04-18T00:00:00"/>
        <d v="2022-04-19T00:00:00"/>
        <d v="2022-04-20T00:00:00"/>
        <d v="2022-04-21T00:00:00"/>
        <d v="2022-04-22T00:00:00"/>
        <d v="2022-04-26T00:00:00"/>
        <d v="2022-04-27T00:00:00"/>
        <d v="2022-04-28T00:00:00"/>
        <d v="2022-04-29T00:00:00"/>
        <d v="2022-05-02T00:00:00"/>
        <d v="2022-05-03T00:00:00"/>
        <d v="2022-05-04T00:00:00"/>
        <d v="2022-05-05T00:00:00"/>
        <d v="2022-05-06T00:00:00"/>
        <d v="2022-05-09T00:00:00"/>
        <d v="2022-05-10T00:00:00"/>
        <d v="2022-05-11T00:00:00"/>
        <d v="2022-05-12T00:00:00"/>
        <d v="2022-05-13T00:00:00"/>
        <d v="2022-05-16T00:00:00"/>
        <d v="2022-05-17T00:00:00"/>
        <d v="2022-05-19T00:00:00"/>
        <d v="2022-05-20T00:00:00"/>
        <d v="2022-05-23T00:00:00"/>
        <d v="2022-05-24T00:00:00"/>
        <d v="2022-05-26T00:00:00"/>
        <d v="2022-05-27T00:00:00"/>
        <d v="2022-05-30T00:00:00"/>
        <d v="2022-05-31T00:00:00"/>
        <d v="2022-06-01T00:00:00"/>
        <d v="2022-06-02T00:00:00"/>
        <d v="2022-06-03T00:00:00"/>
        <d v="2022-06-06T00:00:00"/>
        <d v="2022-06-07T00:00:00"/>
        <d v="2022-06-08T00:00:00"/>
        <d v="2022-06-09T00:00:00"/>
        <d v="2022-06-10T00:00:00"/>
        <d v="2022-06-13T00:00:00"/>
        <d v="2022-06-14T00:00:00"/>
        <d v="2022-06-15T00:00:00"/>
        <d v="2022-06-16T00:00:00"/>
        <d v="2022-06-21T00:00:00"/>
        <d v="2022-06-23T00:00:00"/>
        <d v="2022-06-24T00:00:00"/>
        <d v="2022-06-27T00:00:00"/>
        <d v="2022-06-28T00:00:00"/>
        <d v="2022-06-29T00:00:00"/>
        <d v="2022-06-30T00:00:00"/>
        <d v="2022-07-01T00:00:00"/>
        <d v="2022-07-04T00:00:00"/>
        <d v="2022-07-05T00:00:00"/>
        <d v="2022-07-07T00:00:00"/>
        <d v="2022-07-08T00:00:00"/>
        <d v="2022-07-11T00:00:00"/>
        <d v="2022-07-19T00:00:00"/>
        <d v="2022-07-20T00:00:00"/>
        <d v="2022-08-02T00:00:00"/>
        <d v="2022-08-03T00:00:00"/>
        <d v="2022-08-05T00:00:00"/>
        <d v="2022-08-08T00:00:00"/>
        <d v="2022-08-09T00:00:00"/>
        <d v="2022-08-10T00:00:00"/>
        <d v="2022-08-11T00:00:00"/>
        <d v="2022-08-12T00:00:00"/>
        <d v="2022-08-16T00:00:00"/>
        <d v="2022-08-18T00:00:00"/>
        <d v="2022-08-19T00:00:00"/>
        <d v="2022-08-22T00:00:00"/>
        <d v="2022-08-23T00:00:00"/>
        <d v="2022-08-25T00:00:00"/>
        <d v="2022-08-26T00:00:00"/>
        <d v="2022-08-29T00:00:00"/>
        <d v="2022-08-30T00:00:00"/>
        <d v="2022-09-05T00:00:00"/>
        <d v="2022-09-06T00:00:00"/>
        <d v="2022-09-12T00:00:00"/>
        <d v="2022-09-16T00:00:00"/>
        <d v="2022-09-19T00:00:00"/>
        <d v="2022-09-22T00:00:00"/>
        <d v="2022-09-23T00:00:00"/>
        <d v="2022-09-26T00:00:00"/>
        <d v="2022-10-13T00:00:00"/>
        <d v="2022-10-17T00:00:00"/>
        <d v="2022-10-19T00:00:00"/>
        <d v="2022-10-20T00:00:00"/>
        <d v="2022-10-21T00:00:00"/>
        <d v="2022-10-24T00:00:00"/>
        <d v="2022-10-26T00:00:00"/>
        <d v="2022-10-28T00:00:00"/>
        <d v="2022-10-31T00:00:00"/>
        <d v="2022-11-02T00:00:00"/>
        <d v="2022-11-04T00:00:00"/>
        <d v="2022-11-09T00:00:00"/>
        <d v="2022-11-11T00:00:00"/>
        <d v="2022-11-14T00:00:00"/>
        <d v="2022-11-15T00:00:00"/>
        <d v="2022-11-17T00:00:00"/>
        <d v="2022-12-01T00:00:00"/>
        <d v="2022-12-05T00:00:00"/>
        <d v="2022-12-06T00:00:00"/>
        <d v="2022-12-12T00:00:00"/>
        <d v="2022-12-13T00:00:00"/>
        <d v="2022-12-14T00:00:00"/>
        <d v="2022-12-15T00:00:00"/>
        <d v="2022-12-19T00:00:00"/>
        <d v="2022-12-23T00:00:00"/>
        <d v="2023-01-03T00:00:00"/>
        <d v="2023-01-04T00:00:00"/>
        <d v="2023-01-05T00:00:00"/>
        <d v="2023-01-06T00:00:00"/>
        <d v="2023-01-09T00:00:00"/>
        <d v="2023-01-11T00:00:00"/>
        <d v="2023-01-12T00:00:00"/>
        <d v="2023-01-16T00:00:00"/>
        <d v="2023-01-17T00:00:00"/>
        <d v="2023-01-18T00:00:00"/>
        <d v="2023-01-19T00:00:00"/>
        <d v="2023-01-20T00:00:00"/>
        <d v="2023-01-23T00:00:00"/>
        <d v="2023-01-24T00:00:00"/>
        <d v="2023-01-25T00:00:00"/>
        <d v="2023-01-26T00:00:00"/>
        <d v="2023-01-27T00:00:00"/>
        <d v="2023-02-03T00:00:00"/>
        <d v="2023-02-04T00:00:00"/>
        <d v="2023-02-09T00:00:00"/>
        <d v="2023-02-11T00:00:00"/>
        <d v="2023-02-13T00:00:00"/>
        <d v="2023-02-22T00:00:00"/>
        <d v="2023-02-23T00:00:00"/>
        <d v="2023-02-24T00:00:00"/>
        <d v="2023-02-27T00:00:00"/>
        <d v="2023-03-01T00:00:00"/>
        <d v="2023-03-02T00:00:00"/>
        <d v="2023-03-03T00:00:00"/>
        <d v="2023-03-06T00:00:00"/>
        <d v="2023-03-07T00:00:00"/>
        <d v="2023-03-08T00:00:00"/>
        <d v="2023-01-31T00:00:00"/>
        <d v="2023-03-13T00:00:00"/>
        <d v="2023-03-09T00:00:00"/>
        <d v="2023-03-10T00:00:00"/>
        <d v="2023-03-15T00:00:00"/>
        <d v="2023-03-14T00:00:00"/>
        <d v="2023-03-16T00:00:00"/>
        <d v="2023-03-17T00:00:00"/>
        <d v="2023-03-21T00:00:00"/>
        <d v="2023-02-17T00:00:00"/>
        <d v="2023-03-22T00:00:00"/>
        <d v="2023-04-04T00:00:00"/>
        <d v="2023-04-10T00:00:00"/>
        <d v="2023-04-12T00:00:00"/>
        <d v="2023-04-13T00:00:00"/>
        <d v="2023-04-14T00:00:00"/>
        <d v="2023-04-19T00:00:00"/>
        <d v="2023-04-24T00:00:00"/>
        <d v="2023-04-25T00:00:00"/>
        <d v="2023-04-18T00:00:00"/>
        <d v="2023-04-17T00:00:00"/>
        <d v="2023-04-26T00:00:00"/>
        <d v="2023-05-02T00:00:00"/>
        <d v="2023-04-28T00:00:00"/>
        <d v="2023-05-03T00:00:00"/>
        <d v="2023-05-11T00:00:00"/>
        <d v="2023-05-10T00:00:00"/>
        <d v="2023-05-09T00:00:00"/>
        <d v="2023-05-08T00:00:00"/>
        <d v="2023-05-04T00:00:00"/>
        <d v="2023-05-16T00:00:00"/>
        <d v="2023-05-05T00:00:00"/>
        <d v="2023-05-18T00:00:00"/>
        <d v="2023-05-12T00:00:00"/>
        <d v="2023-05-19T00:00:00"/>
        <d v="2023-05-15T00:00:00"/>
        <d v="2023-05-23T00:00:00"/>
        <d v="2023-06-12T00:00:00"/>
        <d v="2023-06-08T00:00:00"/>
        <d v="2023-06-06T00:00:00"/>
        <d v="2023-06-07T00:00:00"/>
        <d v="2023-06-01T00:00:00"/>
        <d v="2023-06-02T00:00:00"/>
        <d v="2023-06-13T00:00:00"/>
        <d v="2023-06-16T00:00:00"/>
        <d v="2023-06-23T00:00:00"/>
        <d v="2023-06-21T00:00:00"/>
        <d v="2023-06-15T00:00:00"/>
        <d v="2023-07-04T00:00:00"/>
        <d v="2023-07-03T00:00:00"/>
        <d v="2023-07-12T00:00:00"/>
        <d v="2023-07-11T00:00:00"/>
        <d v="2023-07-10T00:00:00"/>
        <d v="2023-07-06T00:00:00"/>
        <d v="2023-07-19T00:00:00"/>
        <d v="2023-07-13T00:00:00"/>
        <d v="2023-08-04T00:00:00"/>
        <d v="2023-08-14T00:00:00"/>
        <d v="2023-08-08T00:00:00"/>
        <d v="2023-08-09T00:00:00"/>
        <d v="2023-08-02T00:00:00"/>
        <d v="2023-08-07T00:00:00"/>
        <d v="2023-08-03T00:00:00"/>
        <d v="2023-08-11T00:00:00"/>
        <d v="2023-08-18T00:00:00"/>
        <d v="2023-08-15T00:00:00"/>
        <d v="2023-08-16T00:00:00"/>
        <d v="2023-08-25T00:00:00"/>
        <d v="2023-08-22T00:00:00"/>
        <d v="2023-09-04T00:00:00"/>
        <d v="2023-09-06T00:00:00"/>
        <d v="2023-09-13T00:00:00"/>
        <d v="2023-09-08T00:00:00"/>
        <d v="2023-09-05T00:00:00"/>
        <d v="2023-09-07T00:00:00"/>
        <d v="2023-09-18T00:00:00"/>
        <d v="2023-09-20T00:00:00"/>
        <d v="2023-09-19T00:00:00"/>
        <d v="2023-09-12T00:00:00"/>
        <d v="2023-10-03T00:00:00"/>
        <d v="2023-10-20T00:00:00"/>
        <d v="2023-10-02T00:00:00"/>
        <d v="2023-10-10T00:00:00"/>
        <d v="2023-10-11T00:00:00"/>
        <d v="2023-10-09T00:00:00"/>
        <d v="2023-10-17T00:00:00"/>
        <d v="2023-10-04T00:00:00"/>
        <d v="2023-10-18T00:00:00"/>
        <d v="2023-11-02T00:00:00"/>
        <d v="2023-11-03T00:00:00"/>
        <d v="2023-11-06T00:00:00"/>
        <d v="2023-11-09T00:00:00"/>
        <d v="2023-11-10T00:00:00"/>
        <d v="2023-11-17T00:00:00"/>
        <d v="2023-11-13T00:00:00"/>
        <d v="2023-11-16T00:00:00"/>
        <d v="2023-11-22T00:00:00"/>
        <d v="2023-11-24T00:00:00"/>
        <d v="2023-11-01T00:00:00"/>
        <d v="2023-11-27T00:00:00"/>
        <d v="2023-12-05T00:00:00"/>
        <d v="2023-12-01T00:00:00"/>
        <d v="2023-12-04T00:00:00"/>
        <d v="2023-12-06T00:00:00"/>
        <d v="2023-12-12T00:00:00"/>
        <d v="2023-12-19T00:00:00"/>
        <d v="2024-01-04T00:00:00"/>
        <d v="2024-01-05T00:00:00"/>
        <d v="2024-01-09T00:00:00"/>
        <d v="2024-01-11T00:00:00"/>
        <d v="2024-01-10T00:00:00"/>
        <d v="2024-01-08T00:00:00"/>
        <d v="2024-01-12T00:00:00"/>
        <d v="2024-02-13T00:00:00"/>
        <d v="2024-02-01T00:00:00"/>
        <d v="2024-02-10T00:00:00"/>
        <d v="2024-02-17T00:00:00"/>
        <d v="2024-02-09T00:00:00"/>
        <d v="2024-02-15T00:00:00"/>
        <d v="2024-03-04T00:00:00"/>
        <d v="2024-03-07T00:00:00"/>
        <d v="2024-03-08T00:00:00"/>
        <d v="2024-03-05T00:00:00"/>
        <d v="2024-03-06T00:00:00"/>
        <d v="2024-04-10T00:00:00"/>
        <d v="2024-04-15T00:00:00"/>
        <d v="2024-04-16T00:00:00"/>
        <d v="2024-04-09T00:00:00"/>
        <d v="2024-04-12T00:00:00"/>
        <d v="2024-04-11T00:00:00"/>
        <d v="2024-04-05T00:00:00"/>
        <d v="2024-04-08T00:00:00"/>
        <d v="2024-04-18T00:00:00"/>
        <d v="2024-04-19T00:00:00"/>
        <d v="2024-04-17T00:00:00"/>
        <d v="2024-04-26T00:00:00"/>
        <d v="2024-04-24T00:00:00"/>
        <d v="2024-05-10T00:00:00"/>
        <d v="2024-05-02T00:00:00"/>
        <d v="2024-05-03T00:00:00"/>
        <d v="2024-05-06T00:00:00"/>
        <d v="2024-05-14T00:00:00"/>
        <d v="2024-05-16T00:00:00"/>
        <d v="2024-05-09T00:00:00"/>
        <d v="2024-05-15T00:00:00"/>
        <d v="2024-05-13T00:00:00"/>
        <d v="2024-06-07T00:00:00"/>
        <d v="2024-06-03T00:00:00"/>
        <d v="2024-06-04T00:00:00"/>
        <d v="2024-06-10T00:00:00"/>
        <d v="2024-06-13T00:00:00"/>
        <d v="2024-06-14T00:00:00"/>
        <d v="2024-06-24T00:00:00"/>
        <d v="2024-06-18T00:00:00"/>
        <d v="2024-06-11T00:00:00"/>
        <d v="2024-06-12T00:00:00"/>
        <d v="2024-07-08T00:00:00"/>
        <d v="2024-07-02T00:00:00"/>
        <d v="2024-07-22T00:00:00"/>
        <d v="2024-07-18T00:00:00"/>
        <d v="2024-07-16T00:00:00"/>
        <d v="2024-07-10T00:00:00"/>
        <d v="2024-07-04T00:00:00"/>
        <d v="2024-07-01T00:00:00"/>
        <d v="2024-07-05T00:00:00"/>
        <d v="2024-08-05T00:00:00"/>
        <d v="2024-08-16T00:00:00"/>
        <d v="2024-08-13T00:00:00"/>
        <d v="2024-08-12T00:00:00"/>
        <d v="2024-08-08T00:00:00"/>
        <d v="2024-08-09T00:00:00"/>
        <d v="2024-08-07T00:00:00"/>
        <d v="2024-08-06T00:00:00"/>
        <d v="2024-08-01T00:00:00"/>
        <d v="2024-08-21T00:00:00"/>
        <d v="2024-09-02T00:00:00"/>
        <d v="2024-09-04T00:00:00"/>
        <d v="2024-09-09T00:00:00"/>
        <d v="2024-09-10T00:00:00"/>
        <d v="2024-09-11T00:00:00"/>
        <d v="2024-09-12T00:00:00"/>
        <d v="2024-09-18T00:00:00"/>
        <d v="2024-09-23T00:00:00"/>
        <d v="2024-09-19T00:00:00"/>
        <d v="2024-09-16T00:00:00"/>
      </sharedItems>
      <fieldGroup par="25" base="0">
        <rangePr groupBy="months" startDate="2021-04-30T00:00:00" endDate="2024-09-24T00:00:00"/>
        <groupItems count="14">
          <s v="&lt;30/04/2021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4/09/2024"/>
        </groupItems>
      </fieldGroup>
    </cacheField>
    <cacheField name="NUMERO     ORDEN" numFmtId="1">
      <sharedItems containsSemiMixedTypes="0" containsString="0" containsNumber="1" containsInteger="1" minValue="60000395726" maxValue="6000040091152"/>
    </cacheField>
    <cacheField name="TURNO" numFmtId="0">
      <sharedItems containsSemiMixedTypes="0" containsString="0" containsNumber="1" containsInteger="1" minValue="1" maxValue="1"/>
    </cacheField>
    <cacheField name="EQUIPO      COD.SAP" numFmtId="0">
      <sharedItems/>
    </cacheField>
    <cacheField name="EQUIPO DENOM." numFmtId="0">
      <sharedItems/>
    </cacheField>
    <cacheField name="ID-EQUIPO" numFmtId="0">
      <sharedItems count="109">
        <s v="IDEQ_01"/>
        <s v="IDEQ_02"/>
        <s v="IDEQ_03"/>
        <s v="IDEQ_04"/>
        <s v="IDEQ_05"/>
        <s v="IDEQ_06"/>
        <s v="IDEQ_07"/>
        <s v="IDEQ_08"/>
        <s v="IDEQ_09"/>
        <s v="IDEQ_10"/>
        <s v="IDEQ_11"/>
        <s v="IDEQ_12"/>
        <s v="IDEQ_13"/>
        <s v="IDEQ_14"/>
        <s v="IDEQ_15"/>
        <s v="IDEQ_16"/>
        <s v="IDEQ_17"/>
        <s v="IDEQ_18"/>
        <s v="IDEQ_19"/>
        <s v="IDEQ_20"/>
        <s v="IDEQ_21"/>
        <s v="IDEQ_22"/>
        <s v="IDEQ_23"/>
        <s v="IDEQ_24"/>
        <s v="IDEQ_25"/>
        <s v="IDEQ_26"/>
        <s v="IDEQ_27"/>
        <s v="IDEQ_28"/>
        <s v="IDEQ_29"/>
        <s v="IDEQ_30"/>
        <s v="IDEQ_31"/>
        <s v="IDEQ_32"/>
        <s v="IDEQ_33"/>
        <s v="IDEQ_34"/>
        <s v="IDEQ_35"/>
        <s v="IDEQ_36"/>
        <s v="IDEQ_37"/>
        <s v="IDEQ_38"/>
        <s v="IDEQ_39"/>
        <s v="IDEQ_40"/>
        <s v="IDEQ_41"/>
        <s v="IDEQ_42"/>
        <s v="IDEQ_43"/>
        <s v="IDEQ_44"/>
        <s v="IDEQ_45"/>
        <s v="IDEQ_46"/>
        <s v="IDEQ_47"/>
        <s v="IDEQ_48"/>
        <s v="IDEQ_49"/>
        <s v="IDEQ_50"/>
        <s v="IDEQ_51"/>
        <s v="IDEQ_52"/>
        <s v="IDEQ_53"/>
        <s v="IDEQ_54"/>
        <s v="IDEQ_55"/>
        <s v="IDEQ_56"/>
        <s v="IDEQ_57"/>
        <s v="IDEQ_58"/>
        <s v="IDEQ_59"/>
        <s v="IDEQ_60"/>
        <s v="IDEQ_61"/>
        <s v="IDEQ_62"/>
        <s v="IDEQ_63"/>
        <s v="IDEQ_64"/>
        <s v="IDEQ_65"/>
        <s v="IDEQ_66"/>
        <s v="IDEQ_67"/>
        <s v="IDEQ_68"/>
        <s v="IDEQ_69"/>
        <s v="IDEQ_70"/>
        <s v="IDEQ_71"/>
        <s v="IDEQ_72"/>
        <s v="IDEQ_73"/>
        <s v="IDEQ_74"/>
        <s v="IDEQ_75"/>
        <s v="IDEQ_76"/>
        <s v="IDEQ_77"/>
        <s v="IDEQ_78"/>
        <s v="IDEQ_79"/>
        <s v="IDEQ_80"/>
        <s v="IDEQ_81"/>
        <s v="IDEQ_82"/>
        <s v="IDEQ_83"/>
        <s v="IDEQ_84"/>
        <s v="IDEQ_85"/>
        <s v="IDEQ_86"/>
        <s v="IDEQ_87"/>
        <s v="IDEQ_88"/>
        <s v="IDEQ_89"/>
        <s v="IDEQ_90"/>
        <s v="IDEQ_91"/>
        <s v="IDEQ_92"/>
        <s v="IDEQ_93"/>
        <s v="IDEQ_94"/>
        <s v="IDEQ_95"/>
        <s v="IDEQ_96"/>
        <s v="IDEQ_97"/>
        <s v="IDEQ_98"/>
        <s v="IDEQ_99"/>
        <s v="IDEQ_100"/>
        <s v="IDEQ_101"/>
        <s v="IDEQ_102"/>
        <s v="IDEQ_103"/>
        <s v="IDEQ_104"/>
        <s v="IDEQ_105"/>
        <s v="IDEQ_106"/>
        <s v="IDEQ_107"/>
        <s v="IDEQ_108"/>
        <s v="IDEQ_109"/>
      </sharedItems>
    </cacheField>
    <cacheField name="CENTRO        COSTO" numFmtId="0">
      <sharedItems/>
    </cacheField>
    <cacheField name="SECTOR" numFmtId="0">
      <sharedItems/>
    </cacheField>
    <cacheField name="PLANTA" numFmtId="49">
      <sharedItems/>
    </cacheField>
    <cacheField name="CONJUNTO" numFmtId="0">
      <sharedItems/>
    </cacheField>
    <cacheField name="SUB-CONJUNTO" numFmtId="0">
      <sharedItems/>
    </cacheField>
    <cacheField name="PARTE" numFmtId="0">
      <sharedItems/>
    </cacheField>
    <cacheField name="ELEMENTO" numFmtId="0">
      <sharedItems count="236">
        <s v="MOTOR ELECTRICO"/>
        <s v="CONEXIÓN"/>
        <s v="CUBIERTAS"/>
        <s v="CORREA"/>
        <s v="MARTILLO"/>
        <s v="BALIZA"/>
        <s v="TOMA"/>
        <s v="BOMBA DE AGUA"/>
        <s v="TRAMPA"/>
        <s v="ACEITE"/>
        <s v="CAÑO"/>
        <s v="VALVULA"/>
        <s v="RODAMIENTO"/>
        <s v="RODAMIENTOS"/>
        <s v="MANGUERA"/>
        <s v="ZOCALO"/>
        <s v="SELLOS"/>
        <s v="FLUIDO TERMICO"/>
        <s v="DATOS"/>
        <s v="GOMA"/>
        <s v="CUBIERTAS "/>
        <s v="MATRICERIA"/>
        <s v="FLEXIBLE"/>
        <s v="BANDEJA"/>
        <s v="FUENTE"/>
        <s v="FICHA"/>
        <s v="ALTERNADOR"/>
        <s v="JUNTA "/>
        <s v="PINTURA"/>
        <s v="MADERA"/>
        <s v="BATERIA"/>
        <s v="SENSOR"/>
        <s v="SOPORTE"/>
        <s v="SELLOS Y MANGUERA"/>
        <s v="BISAGRA"/>
        <s v="LIMPIEZA "/>
        <s v="SELLO "/>
        <s v="BOMBA"/>
        <s v="INTERRUPTOR"/>
        <s v="PATINES"/>
        <s v="CINTA"/>
        <s v="CADENA"/>
        <s v="RESORTE"/>
        <s v="DRIVER"/>
        <s v="BORNE"/>
        <s v="PLANCHUELA"/>
        <s v="FUSIBLE"/>
        <s v="SENSOR DE BARRERA "/>
        <s v="PUERTA"/>
        <s v="SENSOR FOTOCONTROL"/>
        <s v="ROSCA"/>
        <s v="VAPOR"/>
        <s v="CONECTOR"/>
        <s v="PULSADOR"/>
        <s v="BUJE"/>
        <s v="BULON"/>
        <s v="EJE"/>
        <s v="TUERCA"/>
        <s v="MANDO DE MARCHA"/>
        <s v="ELECTROVALVULA"/>
        <s v="RETENCION "/>
        <s v="UNION DE CADENA"/>
        <s v="CABLES"/>
        <s v="UNION DOBLE"/>
        <s v="MESA"/>
        <s v="CUCHILLA"/>
        <s v="VASTAGO"/>
        <s v="VALVULA RETENCION"/>
        <s v="ESPATULA "/>
        <s v="PROTECCIONES"/>
        <s v="MANOMETRO"/>
        <s v="PATA"/>
        <s v="COMPONENTES"/>
        <s v="DISCO DISPERSOR"/>
        <s v="SELLO"/>
        <s v="FUELLE"/>
        <s v="VENTANA"/>
        <s v="MORDAZA"/>
        <s v="TIMER"/>
        <s v="INSERTO"/>
        <s v="REFLECTOR"/>
        <s v="BUSAGRA"/>
        <s v="PEDAL DE FRENO"/>
        <s v="SELECTORA"/>
        <s v="PISTON"/>
        <s v="PLATINA"/>
        <s v="MOTOR ARRANQUE"/>
        <s v="CABLE"/>
        <s v="PANTALLA ACRILICO"/>
        <s v="TERMOCUPLA "/>
        <s v="GOMAS"/>
        <s v="EJE CENTRAL"/>
        <s v="ENGRANAJES"/>
        <s v="CAÑERIA RETORNO"/>
        <s v="SELLO DE PLATO"/>
        <s v="REGLA"/>
        <s v="REGULADORA DE VAPOR"/>
        <s v="POTENCIOMETRO"/>
        <s v="ACTUADOR "/>
        <s v="BOMBA DE VACIO"/>
        <s v="O'RING"/>
        <s v="COLUMNA"/>
        <s v="SENSOR DE LLAMA"/>
        <s v="BASE DE CILINDRO"/>
        <s v="PLC"/>
        <s v="BARRERA DE SEGURIDAD"/>
        <s v="PLATO"/>
        <s v="MANIVELA"/>
        <s v="CODO"/>
        <s v="VALVULAS"/>
        <s v="PORTAESCOBILLAS"/>
        <s v="RELAY"/>
        <s v="GUIA"/>
        <s v="CHAPA"/>
        <s v="SENSOR DE CARGA"/>
        <s v="FILTRO"/>
        <s v="TRAMPA "/>
        <s v="REGULACION"/>
        <s v="SENSOR DE PARADA"/>
        <s v="RODILLO"/>
        <s v="ESPARRAGO"/>
        <s v="BRIDA"/>
        <s v="MOTOR NEUMATICO"/>
        <s v="CABLEADO"/>
        <s v="PARAMETROS"/>
        <s v="COLECTOR"/>
        <s v="VALVULA DE PURGA"/>
        <s v="ILUMINACION"/>
        <s v="CONFIGURACION TEMPERATURA"/>
        <s v="SENSOR "/>
        <s v="RADIADOR"/>
        <s v="COMANDO"/>
        <s v="NORIA"/>
        <s v="CADENA DE NORIA"/>
        <s v="PRESION"/>
        <s v="FRL"/>
        <s v="FRENO"/>
        <s v="SENSOR DE NUCLEO"/>
        <s v="DETECTOR DE LLAMA"/>
        <s v="PICO"/>
        <s v="CAÑOS"/>
        <s v="CAÑERIA "/>
        <s v="UNION"/>
        <s v="BARRERA"/>
        <s v="TORNILLOS"/>
        <s v="BARRERA DE CONTENCION"/>
        <s v="TOLVA"/>
        <s v="RUEDA MOTRIZ"/>
        <s v="CONTACTO"/>
        <s v="CAÑERIA"/>
        <s v="TORNILLO"/>
        <s v="CONFIGURACION"/>
        <s v="PRISIONERO"/>
        <s v="BULONES"/>
        <s v="BALANZA"/>
        <s v="LIMITE"/>
        <s v="SENSOR DE MESA"/>
        <s v="AUTOMATICO"/>
        <s v="MODULADOR"/>
        <s v="PORTALAMPARAS"/>
        <s v="PROGRAMACION"/>
        <s v="MOTOR"/>
        <s v="BUJE REDUCION"/>
        <s v="BULON "/>
        <s v="TENSORES"/>
        <s v="CAÑO "/>
        <s v="PURGA"/>
        <s v="TAPA"/>
        <s v="VALVULA "/>
        <s v="TRANSFERENCIA"/>
        <s v="TOMACORRIENTES"/>
        <s v="REJA"/>
        <s v="TEMPORIZADOR"/>
        <s v="VISOR"/>
        <s v="FLOTANTE"/>
        <s v="ADITIVO"/>
        <s v="PALETA"/>
        <s v="GRIP"/>
        <s v="RESISTENCIA"/>
        <s v="TRABA"/>
        <s v="PERNO"/>
        <s v="TERMOMAGNETICA"/>
        <s v="PLACA"/>
        <s v="REGULADOR DE PRESION"/>
        <s v="ACRILICO"/>
        <s v="MAGNETROL"/>
        <s v="REGULADORA DE PRESION"/>
        <s v="SEGURO"/>
        <s v="ALARMA"/>
        <s v="PLATAFORMA"/>
        <s v="PRESOSTATO"/>
        <s v="GUARDAMOTOR"/>
        <s v="CAMISA"/>
        <s v="PULIDORA"/>
        <s v="TUBO LED"/>
        <s v="FUSIBLES"/>
        <s v="LUBRICACION"/>
        <s v="PIÑON"/>
        <s v="TOPES"/>
        <s v="GANCHO"/>
        <s v="CARRO"/>
        <s v="JAULA"/>
        <s v="CONTROLADOR"/>
        <s v="ESLABON"/>
        <s v="MARCO"/>
        <s v="CIERRE"/>
        <s v="PORTAFILTRO"/>
        <s v="JUNTA"/>
        <s v="BARANDA"/>
        <s v="TAPON"/>
        <s v="MANIJA"/>
        <s v="FINAL DE CARRERA"/>
        <s v="RUEDA"/>
        <s v="BRAZO"/>
        <s v="CUENTAVUELTAS"/>
        <s v="BOBINA"/>
        <s v="VENTILADOR"/>
        <s v="AGUA"/>
        <s v="BARRA"/>
        <s v="SECCIONADOR"/>
        <s v="CURVA"/>
        <s v="TAMBOR"/>
        <s v="CALDERA"/>
        <s v="TACOS"/>
        <s v="OXIDO"/>
        <s v="CERRADURA MAGNETICA"/>
        <s v="PROGRAMADOR"/>
        <s v="BORNERA"/>
        <s v="REGULADOR"/>
        <s v="FLUIDO"/>
        <s v="LUMINARIA"/>
        <s v="SILENCIADOR"/>
        <s v="TOPE"/>
        <s v="ALFOMBRA"/>
        <s v="MANCHON"/>
        <s v="GUARDAPIES"/>
      </sharedItems>
    </cacheField>
    <cacheField name="TIPO     MAN." numFmtId="0">
      <sharedItems count="3">
        <s v="PM04"/>
        <s v="PM03"/>
        <s v="PM04 "/>
      </sharedItems>
    </cacheField>
    <cacheField name="FECHA     EJECUCIÓN" numFmtId="14">
      <sharedItems containsSemiMixedTypes="0" containsNonDate="0" containsDate="1" containsString="0" minDate="2021-01-04T00:00:00" maxDate="2024-09-24T00:00:00"/>
    </cacheField>
    <cacheField name="PERSONA A CARGO" numFmtId="0">
      <sharedItems count="10">
        <s v="OPERARIO-01"/>
        <s v="OPERARIO-02"/>
        <s v="OPERARIO-03"/>
        <s v="OPERARIO-04"/>
        <s v="OPERARIO-05"/>
        <s v="OPERARIO-06"/>
        <s v="OPERARIO-07"/>
        <s v="OPERARIO-08"/>
        <s v="OPERARIO-09"/>
        <s v="OPERARIO-10"/>
      </sharedItems>
    </cacheField>
    <cacheField name="GREMIO" numFmtId="0">
      <sharedItems count="4">
        <s v="ELECTRICO"/>
        <s v="MECANICO"/>
        <s v="CAÑISTA"/>
        <s v="HIDRAULICO"/>
      </sharedItems>
    </cacheField>
    <cacheField name="PERSONAS      INVOLUCRADAS" numFmtId="0">
      <sharedItems containsSemiMixedTypes="0" containsString="0" containsNumber="1" containsInteger="1" minValue="1" maxValue="5"/>
    </cacheField>
    <cacheField name="HORA INICIO" numFmtId="0">
      <sharedItems containsSemiMixedTypes="0" containsDate="1" containsString="0" containsMixedTypes="1" minDate="1899-12-31T00:25:04" maxDate="1899-12-30T15:30:00"/>
    </cacheField>
    <cacheField name="HORA       FIN" numFmtId="0">
      <sharedItems containsDate="1" containsMixedTypes="1" minDate="1900-01-06T09:30:04" maxDate="1899-12-30T18:00:00"/>
    </cacheField>
    <cacheField name="TIEMPO TAREA" numFmtId="0">
      <sharedItems containsMixedTypes="1" containsNumber="1" minValue="0.5" maxValue="10"/>
    </cacheField>
    <cacheField name="TIEMPO PARADA" numFmtId="0">
      <sharedItems containsSemiMixedTypes="0" containsString="0" containsNumber="1" minValue="0" maxValue="11"/>
    </cacheField>
    <cacheField name="TOTAL HS. HOMBRE" numFmtId="0">
      <sharedItems containsSemiMixedTypes="0" containsString="0" containsNumber="1" minValue="0.5" maxValue="45"/>
    </cacheField>
    <cacheField name="GRADO    INCIDENCIA FALLA" numFmtId="0">
      <sharedItems count="4">
        <s v="C"/>
        <s v="A"/>
        <s v="D"/>
        <s v="B"/>
      </sharedItems>
    </cacheField>
    <cacheField name="Trimestres" numFmtId="0" databaseField="0">
      <fieldGroup base="0">
        <rangePr groupBy="quarters" startDate="2021-04-30T00:00:00" endDate="2024-09-24T00:00:00"/>
        <groupItems count="6">
          <s v="&lt;30/04/2021"/>
          <s v="Trim.1"/>
          <s v="Trim.2"/>
          <s v="Trim.3"/>
          <s v="Trim.4"/>
          <s v="&gt;24/09/2024"/>
        </groupItems>
      </fieldGroup>
    </cacheField>
    <cacheField name="Años" numFmtId="0" databaseField="0">
      <fieldGroup base="0">
        <rangePr groupBy="years" startDate="2021-04-30T00:00:00" endDate="2024-09-24T00:00:00"/>
        <groupItems count="6">
          <s v="&lt;30/04/2021"/>
          <s v="2021"/>
          <s v="2022"/>
          <s v="2023"/>
          <s v="2024"/>
          <s v="&gt;24/09/2024"/>
        </groupItems>
      </fieldGroup>
    </cacheField>
    <cacheField name="objetivo" numFmtId="0" formula=" 15" databaseField="0"/>
  </cacheFields>
  <extLst>
    <ext xmlns:x14="http://schemas.microsoft.com/office/spreadsheetml/2009/9/main" uri="{725AE2AE-9491-48be-B2B4-4EB974FC3084}">
      <x14:pivotCacheDefinition pivotCacheId="178310701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5">
  <r>
    <x v="0"/>
    <n v="600003801355"/>
    <n v="1"/>
    <s v="E01"/>
    <s v="EQDENOM_01"/>
    <x v="0"/>
    <s v="WM01"/>
    <s v="SECTOR_01"/>
    <s v="PLANTA_1"/>
    <s v="REACTOR"/>
    <s v="INSTALACION ELECTRICA"/>
    <s v="MOTOR"/>
    <x v="0"/>
    <x v="0"/>
    <d v="2021-05-03T00:00:00"/>
    <x v="0"/>
    <x v="0"/>
    <n v="2"/>
    <n v="9.3000000000000007"/>
    <n v="11.3"/>
    <n v="2"/>
    <n v="2"/>
    <n v="4"/>
    <x v="0"/>
  </r>
  <r>
    <x v="1"/>
    <n v="600003823210"/>
    <n v="1"/>
    <s v="E02"/>
    <s v="EQDENOM_02"/>
    <x v="1"/>
    <s v="WM02"/>
    <s v="SECTOR_02"/>
    <s v="PLANTA_1"/>
    <s v="MEZCLADORA"/>
    <s v="ACCESORIOS"/>
    <s v="CAÑERIA"/>
    <x v="1"/>
    <x v="0"/>
    <d v="2021-06-11T00:00:00"/>
    <x v="0"/>
    <x v="1"/>
    <n v="1"/>
    <n v="10.3"/>
    <n v="11.4"/>
    <n v="1"/>
    <n v="1"/>
    <n v="1"/>
    <x v="0"/>
  </r>
  <r>
    <x v="2"/>
    <n v="600003843743"/>
    <n v="1"/>
    <s v="E03"/>
    <s v="EQDENOM_03"/>
    <x v="2"/>
    <s v="WM03"/>
    <s v="SECTOR_03"/>
    <s v="PLANTA_1"/>
    <s v="AUTOELEVADOR"/>
    <s v="TRANSMISION"/>
    <s v="EJE"/>
    <x v="2"/>
    <x v="0"/>
    <d v="2021-08-17T00:00:00"/>
    <x v="1"/>
    <x v="1"/>
    <n v="1"/>
    <n v="7"/>
    <n v="16"/>
    <n v="9"/>
    <n v="9"/>
    <n v="9"/>
    <x v="1"/>
  </r>
  <r>
    <x v="3"/>
    <n v="600003852965"/>
    <n v="1"/>
    <s v="E03"/>
    <s v="EQDENOM_03"/>
    <x v="2"/>
    <s v="WM03"/>
    <s v="SECTOR_03"/>
    <s v="PLANTA_1"/>
    <s v="AUTOELEVADOR"/>
    <s v="TRANSMISION"/>
    <s v="CARGA"/>
    <x v="3"/>
    <x v="0"/>
    <d v="2021-08-04T00:00:00"/>
    <x v="1"/>
    <x v="1"/>
    <n v="1"/>
    <n v="7"/>
    <n v="16"/>
    <n v="1"/>
    <n v="9"/>
    <n v="9"/>
    <x v="1"/>
  </r>
  <r>
    <x v="4"/>
    <n v="600003868405"/>
    <n v="1"/>
    <s v="E04"/>
    <s v="EQDENOM_04"/>
    <x v="3"/>
    <s v="WM03"/>
    <s v="SECTOR_04"/>
    <s v="PLANTA_1"/>
    <s v="AUTOELEVADOR"/>
    <s v="CILINDRO"/>
    <s v="DIRECCION"/>
    <x v="1"/>
    <x v="0"/>
    <d v="2021-09-03T00:00:00"/>
    <x v="2"/>
    <x v="1"/>
    <n v="2"/>
    <n v="8"/>
    <n v="11"/>
    <n v="3"/>
    <n v="1"/>
    <n v="6"/>
    <x v="0"/>
  </r>
  <r>
    <x v="5"/>
    <n v="600003869830"/>
    <n v="1"/>
    <s v="E05"/>
    <s v="EQDENOM_05"/>
    <x v="4"/>
    <s v="WM01"/>
    <s v="SECTOR_05"/>
    <s v="PLANTA_2"/>
    <s v="SECADOR"/>
    <s v="ATOMIZADOR"/>
    <s v="TANQUE"/>
    <x v="4"/>
    <x v="0"/>
    <d v="2021-09-07T00:00:00"/>
    <x v="0"/>
    <x v="1"/>
    <n v="1"/>
    <n v="8"/>
    <n v="9.3000000000000007"/>
    <n v="1"/>
    <n v="1"/>
    <n v="1"/>
    <x v="2"/>
  </r>
  <r>
    <x v="5"/>
    <n v="600003869719"/>
    <n v="1"/>
    <s v="E06"/>
    <s v="EQDENOM_06"/>
    <x v="5"/>
    <s v="WM04"/>
    <s v="SECTOR_06"/>
    <s v="PLANTA_2"/>
    <s v="APAREJO"/>
    <s v="INSTALACION ELECTRICA"/>
    <s v="ALARMA"/>
    <x v="5"/>
    <x v="0"/>
    <d v="2021-11-29T00:00:00"/>
    <x v="3"/>
    <x v="0"/>
    <n v="2"/>
    <n v="10"/>
    <n v="15"/>
    <n v="5"/>
    <n v="5"/>
    <n v="10"/>
    <x v="3"/>
  </r>
  <r>
    <x v="6"/>
    <n v="600003870092"/>
    <n v="1"/>
    <s v="E02"/>
    <s v="EQDENOM_02"/>
    <x v="1"/>
    <s v="WM02"/>
    <s v="SECTOR_02"/>
    <s v="PLANTA_1"/>
    <s v="MEZCLADORA"/>
    <s v="ISNTALACION ELECTRICA"/>
    <s v="CONEXIÓN"/>
    <x v="6"/>
    <x v="0"/>
    <d v="2021-09-07T00:00:00"/>
    <x v="0"/>
    <x v="0"/>
    <n v="1"/>
    <n v="9"/>
    <n v="13.3"/>
    <n v="4"/>
    <n v="4"/>
    <n v="4"/>
    <x v="3"/>
  </r>
  <r>
    <x v="7"/>
    <n v="600003873003"/>
    <n v="1"/>
    <s v="E07"/>
    <s v="EQDENOM_07"/>
    <x v="6"/>
    <s v="WM05"/>
    <s v="SECTOR_07"/>
    <s v="PLANTA_1"/>
    <s v="AUTOELEVADOR"/>
    <s v="PERISFERICOS"/>
    <s v="REFRIGERACION"/>
    <x v="7"/>
    <x v="0"/>
    <d v="2021-09-20T00:00:00"/>
    <x v="2"/>
    <x v="1"/>
    <n v="2"/>
    <n v="8"/>
    <n v="16"/>
    <n v="8"/>
    <n v="8"/>
    <n v="16"/>
    <x v="3"/>
  </r>
  <r>
    <x v="8"/>
    <n v="600003873466"/>
    <n v="1"/>
    <s v="E08"/>
    <s v="EQDENOM_08"/>
    <x v="7"/>
    <s v="WM06"/>
    <s v="SECTOR_08"/>
    <s v="PLANTA_2"/>
    <s v="PRENSA"/>
    <s v="ACCESORIOS"/>
    <s v="VAPOR"/>
    <x v="8"/>
    <x v="0"/>
    <d v="2021-09-23T00:00:00"/>
    <x v="4"/>
    <x v="1"/>
    <n v="2"/>
    <n v="9"/>
    <n v="10"/>
    <n v="1"/>
    <n v="1"/>
    <n v="2"/>
    <x v="0"/>
  </r>
  <r>
    <x v="8"/>
    <n v="600003873394"/>
    <n v="1"/>
    <s v="E09"/>
    <s v="EQDENOM_09"/>
    <x v="8"/>
    <s v="WM06"/>
    <s v="SECTOR_09"/>
    <s v="PLANTA_2"/>
    <s v="PRENSA"/>
    <s v="UNIDAD HIDRAULICA"/>
    <s v="TANQUE"/>
    <x v="9"/>
    <x v="0"/>
    <d v="2021-11-30T00:00:00"/>
    <x v="4"/>
    <x v="1"/>
    <n v="1"/>
    <n v="14"/>
    <s v="15.30"/>
    <n v="1"/>
    <n v="1"/>
    <n v="1"/>
    <x v="0"/>
  </r>
  <r>
    <x v="9"/>
    <n v="600003873997"/>
    <n v="1"/>
    <s v="E01"/>
    <s v="EQDENOM_01"/>
    <x v="0"/>
    <s v="WM01"/>
    <s v="SECTOR_01"/>
    <s v="PLANTA_1"/>
    <s v="REACTOR"/>
    <s v="ACCESORIOS"/>
    <s v="CAÑERIA"/>
    <x v="10"/>
    <x v="0"/>
    <d v="2021-09-16T00:00:00"/>
    <x v="2"/>
    <x v="1"/>
    <n v="2"/>
    <d v="1899-12-30T09:30:00"/>
    <n v="11"/>
    <n v="1"/>
    <n v="1"/>
    <n v="3"/>
    <x v="0"/>
  </r>
  <r>
    <x v="10"/>
    <n v="600003876124"/>
    <n v="1"/>
    <s v="E10"/>
    <s v="EQDENOM_10"/>
    <x v="9"/>
    <s v="WM06"/>
    <s v="SECTOR_10"/>
    <s v="PLANTA_2"/>
    <s v="HORNO"/>
    <s v="ACCESORIOS"/>
    <s v="CONEXIÓN"/>
    <x v="11"/>
    <x v="0"/>
    <d v="2021-09-21T00:00:00"/>
    <x v="4"/>
    <x v="2"/>
    <n v="3"/>
    <d v="1899-12-30T14:30:00"/>
    <d v="1899-12-30T15:30:00"/>
    <n v="1"/>
    <n v="1"/>
    <n v="3"/>
    <x v="0"/>
  </r>
  <r>
    <x v="11"/>
    <n v="600003880303"/>
    <n v="1"/>
    <s v="E05"/>
    <s v="EQDENOM_05"/>
    <x v="4"/>
    <s v="WM01"/>
    <s v="SECTOR_05"/>
    <s v="PLANTA_2"/>
    <s v="SECADOR"/>
    <s v="ATOMIZADOR"/>
    <s v="TRANSMISION"/>
    <x v="12"/>
    <x v="0"/>
    <d v="2021-09-29T00:00:00"/>
    <x v="2"/>
    <x v="1"/>
    <n v="2"/>
    <n v="7"/>
    <n v="16"/>
    <n v="9"/>
    <n v="0"/>
    <n v="18"/>
    <x v="2"/>
  </r>
  <r>
    <x v="11"/>
    <n v="600003880305"/>
    <n v="1"/>
    <s v="E11"/>
    <s v="EQDENOM_11"/>
    <x v="10"/>
    <s v="WM01"/>
    <s v="SECTOR_11"/>
    <s v="PLANTA_1"/>
    <s v="FILTRO"/>
    <s v="PERISFERICOS"/>
    <s v="TRANSMISION"/>
    <x v="13"/>
    <x v="0"/>
    <d v="2021-10-05T00:00:00"/>
    <x v="2"/>
    <x v="1"/>
    <n v="2"/>
    <n v="7"/>
    <n v="16"/>
    <n v="9"/>
    <n v="0"/>
    <n v="18"/>
    <x v="2"/>
  </r>
  <r>
    <x v="11"/>
    <n v="600003880181"/>
    <n v="1"/>
    <s v="E12"/>
    <s v="EQDENOM_12"/>
    <x v="11"/>
    <s v="WM06"/>
    <s v="SECTOR_12"/>
    <s v="PLANTA_2"/>
    <s v="PRENSA"/>
    <s v="UNIDAD HIDRAULICA"/>
    <s v="PISTON"/>
    <x v="14"/>
    <x v="0"/>
    <d v="2021-09-27T00:00:00"/>
    <x v="5"/>
    <x v="1"/>
    <n v="2"/>
    <n v="7"/>
    <n v="8"/>
    <n v="1"/>
    <n v="1"/>
    <n v="2"/>
    <x v="0"/>
  </r>
  <r>
    <x v="11"/>
    <n v="600003880281"/>
    <n v="1"/>
    <s v="E04"/>
    <s v="EQDENOM_04"/>
    <x v="3"/>
    <s v="WM03"/>
    <s v="SECTOR_04"/>
    <s v="PLANTA_1"/>
    <s v="AUTOELEVADOR"/>
    <s v="MOTOR"/>
    <s v="FILTRO"/>
    <x v="15"/>
    <x v="0"/>
    <d v="2022-02-14T00:00:00"/>
    <x v="1"/>
    <x v="1"/>
    <n v="1"/>
    <d v="1899-12-30T13:00:00"/>
    <d v="1899-12-30T16:00:00"/>
    <n v="3"/>
    <n v="3"/>
    <n v="3"/>
    <x v="3"/>
  </r>
  <r>
    <x v="11"/>
    <n v="600003880280"/>
    <n v="1"/>
    <s v="E04"/>
    <s v="EQDENOM_04"/>
    <x v="3"/>
    <s v="WM03"/>
    <s v="SECTOR_04"/>
    <s v="PLANTA_1"/>
    <s v="AUTOELEVADOR"/>
    <s v="CILINDRO"/>
    <s v="DIRECCION"/>
    <x v="16"/>
    <x v="0"/>
    <d v="2022-02-15T00:00:00"/>
    <x v="1"/>
    <x v="1"/>
    <n v="1"/>
    <d v="1899-12-30T07:00:00"/>
    <d v="1899-12-30T16:00:00"/>
    <n v="9"/>
    <n v="9"/>
    <n v="9"/>
    <x v="1"/>
  </r>
  <r>
    <x v="12"/>
    <n v="600003880994"/>
    <n v="1"/>
    <s v="E13"/>
    <s v="EQDENOM_13"/>
    <x v="12"/>
    <s v="WM06"/>
    <s v="SECTOR_13"/>
    <s v="PLANTA_2"/>
    <s v="PRENSA"/>
    <s v="ACCESORIOS"/>
    <s v="INTERCAMBIADOR"/>
    <x v="17"/>
    <x v="0"/>
    <d v="2021-09-28T00:00:00"/>
    <x v="5"/>
    <x v="1"/>
    <n v="3"/>
    <n v="9"/>
    <n v="11.3"/>
    <n v="2"/>
    <n v="2"/>
    <n v="6"/>
    <x v="0"/>
  </r>
  <r>
    <x v="13"/>
    <n v="600003885148"/>
    <n v="1"/>
    <s v="E14"/>
    <s v="EQDENOM_14"/>
    <x v="13"/>
    <s v="WM01"/>
    <s v="SECTOR_14"/>
    <s v="PLANTA_1"/>
    <s v="REACTOR"/>
    <s v="ACCESORIOS"/>
    <s v="CAÑERIA"/>
    <x v="11"/>
    <x v="0"/>
    <d v="2021-10-07T00:00:00"/>
    <x v="1"/>
    <x v="1"/>
    <n v="1"/>
    <n v="15"/>
    <n v="16"/>
    <n v="1"/>
    <n v="1"/>
    <n v="1"/>
    <x v="0"/>
  </r>
  <r>
    <x v="14"/>
    <n v="600003887875"/>
    <n v="1"/>
    <s v="E15"/>
    <s v="EQDENOM_15"/>
    <x v="14"/>
    <s v="WM06"/>
    <s v="SECTOR_15"/>
    <s v="PLANTA_2"/>
    <s v="PRENSA"/>
    <s v="UNIDAD ELECTRONICA"/>
    <s v="PANEL"/>
    <x v="18"/>
    <x v="0"/>
    <d v="2021-10-14T00:00:00"/>
    <x v="6"/>
    <x v="0"/>
    <n v="2"/>
    <n v="12"/>
    <d v="1899-12-30T13:30:00"/>
    <n v="1.5"/>
    <n v="1.5"/>
    <n v="3"/>
    <x v="0"/>
  </r>
  <r>
    <x v="15"/>
    <n v="600003888159"/>
    <n v="1"/>
    <s v="E16"/>
    <s v="EQDENOM_16"/>
    <x v="15"/>
    <s v="WM07"/>
    <s v="SECTOR_16"/>
    <s v="PLANTA_2"/>
    <s v="CORTADORA"/>
    <s v="SENSORES"/>
    <s v="PANEL"/>
    <x v="18"/>
    <x v="0"/>
    <d v="2021-10-15T00:00:00"/>
    <x v="3"/>
    <x v="0"/>
    <n v="2"/>
    <n v="7"/>
    <n v="8.3000000000000007"/>
    <n v="1.5"/>
    <n v="1"/>
    <n v="3"/>
    <x v="0"/>
  </r>
  <r>
    <x v="16"/>
    <n v="600003890154"/>
    <n v="1"/>
    <s v="E15"/>
    <s v="EQDENOM_15"/>
    <x v="14"/>
    <s v="WM06"/>
    <s v="SECTOR_15"/>
    <s v="PLANTA_2"/>
    <s v="PRENSA"/>
    <s v="ACCESORIOS"/>
    <s v="SUMINISTRO"/>
    <x v="19"/>
    <x v="0"/>
    <d v="2021-10-20T00:00:00"/>
    <x v="4"/>
    <x v="2"/>
    <n v="2"/>
    <n v="7"/>
    <n v="8.3000000000000007"/>
    <n v="1"/>
    <n v="1"/>
    <n v="3"/>
    <x v="0"/>
  </r>
  <r>
    <x v="16"/>
    <n v="600003890326"/>
    <n v="1"/>
    <s v="E17"/>
    <s v="EQDENOM_17"/>
    <x v="16"/>
    <s v="WM05"/>
    <s v="SECTOR_17"/>
    <s v="PLANTA_1"/>
    <s v="AUTOELEVADOR"/>
    <s v="TRANSMISION"/>
    <s v="RODADO"/>
    <x v="20"/>
    <x v="0"/>
    <d v="2021-12-01T00:00:00"/>
    <x v="1"/>
    <x v="1"/>
    <n v="1"/>
    <d v="1899-12-30T07:00:00"/>
    <d v="1899-12-30T16:00:00"/>
    <n v="9"/>
    <n v="9"/>
    <n v="9"/>
    <x v="1"/>
  </r>
  <r>
    <x v="17"/>
    <n v="600003893693"/>
    <n v="1"/>
    <s v="E18"/>
    <s v="EQDENOM_18"/>
    <x v="17"/>
    <s v="WM06"/>
    <s v="SECTOR_18"/>
    <s v="PLANTA_2"/>
    <s v="PRENSA"/>
    <s v="MOLDE"/>
    <s v="MOLDE"/>
    <x v="21"/>
    <x v="0"/>
    <d v="2021-10-25T00:00:00"/>
    <x v="7"/>
    <x v="2"/>
    <n v="2"/>
    <n v="6.5"/>
    <n v="7.5"/>
    <n v="1"/>
    <n v="1"/>
    <n v="2"/>
    <x v="0"/>
  </r>
  <r>
    <x v="18"/>
    <n v="600003894359"/>
    <n v="1"/>
    <s v="E19"/>
    <s v="EQDENOM_19"/>
    <x v="18"/>
    <s v="WM06"/>
    <s v="SECTOR_19"/>
    <s v="PLANTA_2"/>
    <s v="PRENSA"/>
    <s v="UNIDAD HIDRAULICA"/>
    <s v="MESA"/>
    <x v="11"/>
    <x v="0"/>
    <d v="2021-10-26T00:00:00"/>
    <x v="7"/>
    <x v="1"/>
    <n v="2"/>
    <n v="6.5"/>
    <n v="7.5"/>
    <n v="1"/>
    <n v="1"/>
    <n v="3"/>
    <x v="0"/>
  </r>
  <r>
    <x v="18"/>
    <n v="600003894513"/>
    <n v="1"/>
    <s v="E20"/>
    <s v="EQDENOM_20"/>
    <x v="19"/>
    <s v="WM01"/>
    <s v="SECTOR_20"/>
    <s v="PLANTA_1"/>
    <s v="REACTOR"/>
    <s v="PERISFERICOS"/>
    <s v="CAÑERIA"/>
    <x v="22"/>
    <x v="0"/>
    <d v="2021-10-30T00:00:00"/>
    <x v="2"/>
    <x v="1"/>
    <n v="2"/>
    <n v="6.3"/>
    <n v="12"/>
    <n v="6"/>
    <n v="0"/>
    <n v="12"/>
    <x v="2"/>
  </r>
  <r>
    <x v="19"/>
    <n v="600003895416"/>
    <n v="1"/>
    <s v="E21"/>
    <s v="EQDENOM_21"/>
    <x v="20"/>
    <s v="WM05"/>
    <s v="SECTOR_21"/>
    <s v="PLANTA_2"/>
    <s v="COMPRESOR"/>
    <s v="UNIDAD ELECTRONICA"/>
    <s v="PANEL"/>
    <x v="18"/>
    <x v="0"/>
    <d v="2021-10-28T00:00:00"/>
    <x v="6"/>
    <x v="0"/>
    <n v="1"/>
    <n v="8"/>
    <n v="9"/>
    <n v="1"/>
    <n v="1"/>
    <n v="1"/>
    <x v="0"/>
  </r>
  <r>
    <x v="20"/>
    <n v="600003895799"/>
    <n v="1"/>
    <s v="E05"/>
    <s v="EQDENOM_05"/>
    <x v="4"/>
    <s v="WM01"/>
    <s v="SECTOR_05"/>
    <s v="PLANTA_2"/>
    <s v="SECADOR"/>
    <s v="ATOMIZADOR"/>
    <s v="CAÑERIA"/>
    <x v="10"/>
    <x v="0"/>
    <d v="2021-10-29T00:00:00"/>
    <x v="2"/>
    <x v="1"/>
    <n v="2"/>
    <n v="10"/>
    <n v="12"/>
    <n v="2"/>
    <n v="2"/>
    <n v="4"/>
    <x v="0"/>
  </r>
  <r>
    <x v="21"/>
    <n v="600003896853"/>
    <n v="1"/>
    <s v="E20"/>
    <s v="EQDENOM_20"/>
    <x v="19"/>
    <s v="WM01"/>
    <s v="SECTOR_20"/>
    <s v="PLANTA_1"/>
    <s v="REACTOR"/>
    <s v="ACCESORIOS"/>
    <s v="VAPOR"/>
    <x v="14"/>
    <x v="0"/>
    <d v="2021-11-01T00:00:00"/>
    <x v="1"/>
    <x v="1"/>
    <n v="1"/>
    <n v="13"/>
    <n v="14.3"/>
    <n v="1"/>
    <n v="1"/>
    <n v="1.5"/>
    <x v="0"/>
  </r>
  <r>
    <x v="22"/>
    <n v="600003897344"/>
    <n v="1"/>
    <s v="E18"/>
    <s v="EQDENOM_18"/>
    <x v="17"/>
    <s v="WM06"/>
    <s v="SECTOR_18"/>
    <s v="PLANTA_2"/>
    <s v="PRENSA"/>
    <s v="UNIDAD ELECTRONICA"/>
    <s v="PISTON"/>
    <x v="16"/>
    <x v="0"/>
    <d v="2021-11-09T00:00:00"/>
    <x v="4"/>
    <x v="3"/>
    <n v="2"/>
    <n v="9"/>
    <n v="10.3"/>
    <n v="1.5"/>
    <n v="1"/>
    <n v="2"/>
    <x v="0"/>
  </r>
  <r>
    <x v="23"/>
    <n v="600003898670"/>
    <n v="1"/>
    <s v="E22"/>
    <s v="EQDENOM_22"/>
    <x v="21"/>
    <s v="WM08"/>
    <s v="SECTOR_22"/>
    <s v="PLANTA_1"/>
    <s v="MOLINO"/>
    <s v="MOTOR"/>
    <s v="TRANSMISION"/>
    <x v="12"/>
    <x v="0"/>
    <d v="2021-11-06T00:00:00"/>
    <x v="2"/>
    <x v="1"/>
    <n v="2"/>
    <n v="6"/>
    <n v="13"/>
    <n v="7"/>
    <n v="0"/>
    <n v="14"/>
    <x v="2"/>
  </r>
  <r>
    <x v="24"/>
    <n v="600003899451"/>
    <n v="1"/>
    <s v="E13"/>
    <s v="EQDENOM_13"/>
    <x v="12"/>
    <s v="WM06"/>
    <s v="SECTOR_13"/>
    <s v="PLANTA_2"/>
    <s v="PRENSA"/>
    <s v="UNIDAD ELECTRONICA"/>
    <s v="PANEL"/>
    <x v="18"/>
    <x v="0"/>
    <d v="2021-11-09T00:00:00"/>
    <x v="3"/>
    <x v="0"/>
    <n v="1"/>
    <d v="1899-12-30T13:30:00"/>
    <n v="15"/>
    <n v="1.5"/>
    <n v="1"/>
    <n v="1.5"/>
    <x v="0"/>
  </r>
  <r>
    <x v="25"/>
    <n v="600003900269"/>
    <n v="1"/>
    <s v="E10"/>
    <s v="EQDENOM_10"/>
    <x v="9"/>
    <s v="WM06"/>
    <s v="SECTOR_10"/>
    <s v="PLANTA_2"/>
    <s v="HORNO"/>
    <s v="ACCESORIOS"/>
    <s v="CAÑERIA"/>
    <x v="10"/>
    <x v="0"/>
    <d v="2021-11-09T00:00:00"/>
    <x v="5"/>
    <x v="2"/>
    <n v="3"/>
    <n v="14"/>
    <n v="15.3"/>
    <n v="1.5"/>
    <n v="1"/>
    <n v="4.5"/>
    <x v="0"/>
  </r>
  <r>
    <x v="25"/>
    <n v="600003900271"/>
    <n v="1"/>
    <s v="E15"/>
    <s v="EQDENOM_15"/>
    <x v="14"/>
    <s v="WM06"/>
    <s v="SECTOR_15"/>
    <s v="PLANTA_2"/>
    <s v="PRENSA"/>
    <s v="ACCESORIOS"/>
    <s v="MANGUERA"/>
    <x v="23"/>
    <x v="0"/>
    <d v="2021-11-10T00:00:00"/>
    <x v="5"/>
    <x v="1"/>
    <n v="2"/>
    <n v="7.1"/>
    <n v="7.4"/>
    <n v="0.5"/>
    <n v="0"/>
    <n v="1"/>
    <x v="0"/>
  </r>
  <r>
    <x v="26"/>
    <n v="600003900787"/>
    <n v="1"/>
    <s v="E16"/>
    <s v="EQDENOM_16"/>
    <x v="15"/>
    <s v="WM07"/>
    <s v="SECTOR_16"/>
    <s v="PLANTA_2"/>
    <s v="CORTADORA"/>
    <s v="INSTALACION ELECTRICA"/>
    <s v="TABLERO"/>
    <x v="24"/>
    <x v="0"/>
    <d v="2021-11-12T00:00:00"/>
    <x v="3"/>
    <x v="0"/>
    <n v="1"/>
    <d v="1899-12-30T10:00:00"/>
    <d v="1899-12-30T13:00:00"/>
    <n v="3"/>
    <n v="3"/>
    <n v="3"/>
    <x v="3"/>
  </r>
  <r>
    <x v="27"/>
    <n v="600003901147"/>
    <n v="1"/>
    <s v="E18"/>
    <s v="EQDENOM_18"/>
    <x v="17"/>
    <s v="WM06"/>
    <s v="SECTOR_18"/>
    <s v="PLANTA_2"/>
    <s v="PRENSA"/>
    <s v="UNIDAD HIDRAULICA"/>
    <s v="PISTON"/>
    <x v="16"/>
    <x v="0"/>
    <d v="2021-11-11T00:00:00"/>
    <x v="5"/>
    <x v="1"/>
    <n v="4"/>
    <n v="10"/>
    <n v="11.3"/>
    <n v="1"/>
    <n v="1"/>
    <n v="4"/>
    <x v="0"/>
  </r>
  <r>
    <x v="27"/>
    <n v="600003901092"/>
    <n v="1"/>
    <s v="E23"/>
    <s v="EQDENOM_23"/>
    <x v="22"/>
    <s v="WM06"/>
    <s v="SECTOR_23"/>
    <s v="PLANTA_2"/>
    <s v="PRENSA"/>
    <s v="UNIDAD HIDRAULICA"/>
    <s v="PISTON"/>
    <x v="11"/>
    <x v="0"/>
    <d v="2021-11-11T00:00:00"/>
    <x v="5"/>
    <x v="1"/>
    <n v="2"/>
    <n v="7.3"/>
    <n v="8"/>
    <n v="0.5"/>
    <n v="0"/>
    <n v="1"/>
    <x v="0"/>
  </r>
  <r>
    <x v="27"/>
    <n v="600003901145"/>
    <n v="1"/>
    <s v="E24"/>
    <s v="EQDENOM_24"/>
    <x v="23"/>
    <s v="WM06"/>
    <s v="SECTOR_24"/>
    <s v="PLANTA_2"/>
    <s v="PRENSA"/>
    <s v="UNIDAD HIDRAULICA"/>
    <s v="CAÑERIA"/>
    <x v="10"/>
    <x v="0"/>
    <d v="2021-11-11T00:00:00"/>
    <x v="5"/>
    <x v="1"/>
    <n v="2"/>
    <n v="8.3000000000000007"/>
    <n v="10"/>
    <n v="1.5"/>
    <n v="1"/>
    <n v="3"/>
    <x v="0"/>
  </r>
  <r>
    <x v="28"/>
    <n v="600003902487"/>
    <n v="1"/>
    <s v="E25"/>
    <s v="EQDENOM_25"/>
    <x v="24"/>
    <s v="WM06"/>
    <s v="SECTOR_25"/>
    <s v="PLANTA_2"/>
    <s v="PRENSA"/>
    <s v="ACCESORIOS"/>
    <s v="ESCALERA"/>
    <x v="10"/>
    <x v="0"/>
    <d v="2021-11-19T00:00:00"/>
    <x v="5"/>
    <x v="1"/>
    <n v="2"/>
    <n v="13"/>
    <n v="15.3"/>
    <n v="2"/>
    <n v="0"/>
    <n v="5"/>
    <x v="2"/>
  </r>
  <r>
    <x v="29"/>
    <n v="600003902914"/>
    <n v="1"/>
    <s v="E26"/>
    <s v="EQDENOM_26"/>
    <x v="25"/>
    <s v="WM06"/>
    <s v="SECTOR_26"/>
    <s v="PLANTA_2"/>
    <s v="PRENSA"/>
    <s v="UNIDAD HIDRAULICA"/>
    <s v="PISTON"/>
    <x v="14"/>
    <x v="0"/>
    <d v="2021-11-16T00:00:00"/>
    <x v="5"/>
    <x v="1"/>
    <n v="3"/>
    <n v="9"/>
    <n v="10.3"/>
    <n v="1"/>
    <n v="1"/>
    <n v="4.5"/>
    <x v="0"/>
  </r>
  <r>
    <x v="30"/>
    <n v="600003904084"/>
    <n v="1"/>
    <s v="E27"/>
    <s v="EQDENOM_27"/>
    <x v="26"/>
    <s v="WM08"/>
    <s v="SECTOR_27"/>
    <s v="PLANTA_1"/>
    <s v="AGITADOR"/>
    <s v="INSTALACION ELECTRICA"/>
    <s v="CONEXIÓN"/>
    <x v="25"/>
    <x v="0"/>
    <d v="2021-11-18T00:00:00"/>
    <x v="8"/>
    <x v="0"/>
    <n v="2"/>
    <n v="10"/>
    <n v="11"/>
    <n v="1"/>
    <n v="1"/>
    <n v="2"/>
    <x v="0"/>
  </r>
  <r>
    <x v="30"/>
    <n v="600003904076"/>
    <n v="1"/>
    <s v="E28"/>
    <s v="EQDENOM_28"/>
    <x v="27"/>
    <s v="WM05"/>
    <s v="SECTOR_28"/>
    <s v="PLANTA_2"/>
    <s v="AUTOELEVADOR"/>
    <s v="INSTALACION ELECTRICA"/>
    <s v="GENERADOR"/>
    <x v="26"/>
    <x v="0"/>
    <d v="2021-11-25T00:00:00"/>
    <x v="1"/>
    <x v="1"/>
    <n v="1"/>
    <n v="7"/>
    <n v="16"/>
    <n v="1"/>
    <n v="9"/>
    <n v="9"/>
    <x v="1"/>
  </r>
  <r>
    <x v="30"/>
    <n v="600003904238"/>
    <n v="1"/>
    <s v="E29"/>
    <s v="EQDENOM_29"/>
    <x v="28"/>
    <s v="WM02"/>
    <s v="SECTOR_29"/>
    <s v="PLANTA_1"/>
    <s v="BOMBA"/>
    <s v="TRANSMISION"/>
    <s v="BOMBA"/>
    <x v="27"/>
    <x v="1"/>
    <d v="2022-01-14T00:00:00"/>
    <x v="1"/>
    <x v="1"/>
    <n v="1"/>
    <d v="1899-12-30T15:00:00"/>
    <d v="1899-12-30T16:00:00"/>
    <n v="1"/>
    <n v="1"/>
    <n v="1"/>
    <x v="0"/>
  </r>
  <r>
    <x v="31"/>
    <n v="600003904664"/>
    <n v="1"/>
    <s v="E30"/>
    <s v="EQDENOM_30"/>
    <x v="29"/>
    <s v="WM06"/>
    <s v="SECTOR_30"/>
    <s v="PLANTA_2"/>
    <s v="PRENSA"/>
    <s v="UNIDAD HIDRAULICA"/>
    <s v="PISTON"/>
    <x v="16"/>
    <x v="0"/>
    <d v="2021-11-19T00:00:00"/>
    <x v="5"/>
    <x v="1"/>
    <n v="4"/>
    <n v="7"/>
    <n v="8.3000000000000007"/>
    <n v="1"/>
    <n v="1"/>
    <n v="6"/>
    <x v="0"/>
  </r>
  <r>
    <x v="31"/>
    <n v="600003904736"/>
    <n v="1"/>
    <s v="E24"/>
    <s v="EQDENOM_24"/>
    <x v="23"/>
    <s v="WM06"/>
    <s v="SECTOR_24"/>
    <s v="PLANTA_2"/>
    <s v="PRENSA"/>
    <s v="UNIDAD HIDRAULICA"/>
    <s v="PISTON"/>
    <x v="16"/>
    <x v="0"/>
    <d v="2021-11-19T00:00:00"/>
    <x v="5"/>
    <x v="1"/>
    <n v="2"/>
    <n v="9.3000000000000007"/>
    <n v="11"/>
    <n v="1"/>
    <n v="1"/>
    <n v="3"/>
    <x v="0"/>
  </r>
  <r>
    <x v="32"/>
    <n v="600003906409"/>
    <n v="1"/>
    <s v="E25"/>
    <s v="EQDENOM_25"/>
    <x v="24"/>
    <s v="WM06"/>
    <s v="SECTOR_25"/>
    <s v="PLANTA_2"/>
    <s v="PRENSA"/>
    <s v="ACCESORIOS"/>
    <s v="VAPOR"/>
    <x v="8"/>
    <x v="0"/>
    <d v="2021-11-23T00:00:00"/>
    <x v="7"/>
    <x v="1"/>
    <n v="3"/>
    <n v="7"/>
    <n v="10"/>
    <n v="3"/>
    <n v="3"/>
    <n v="9"/>
    <x v="0"/>
  </r>
  <r>
    <x v="32"/>
    <n v="600003906412"/>
    <n v="1"/>
    <s v="E31"/>
    <s v="EQDENOM_31"/>
    <x v="30"/>
    <s v="WM06"/>
    <s v="SECTOR_31"/>
    <s v="PLANTA_2"/>
    <s v="PULIDORA"/>
    <s v="UNIDAD NEUMATICA"/>
    <s v="PISTON"/>
    <x v="11"/>
    <x v="0"/>
    <d v="2021-11-22T00:00:00"/>
    <x v="4"/>
    <x v="1"/>
    <n v="2"/>
    <n v="7"/>
    <n v="8.3000000000000007"/>
    <n v="1"/>
    <n v="1"/>
    <n v="3"/>
    <x v="0"/>
  </r>
  <r>
    <x v="33"/>
    <n v="600003908645"/>
    <n v="1"/>
    <s v="E23"/>
    <s v="EQDENOM_23"/>
    <x v="22"/>
    <s v="WM06"/>
    <s v="SECTOR_23"/>
    <s v="PLANTA_2"/>
    <s v="PRENSA"/>
    <s v="ACCESORIOS"/>
    <s v="VAPOR"/>
    <x v="8"/>
    <x v="0"/>
    <d v="2021-11-25T00:00:00"/>
    <x v="4"/>
    <x v="1"/>
    <n v="2"/>
    <n v="13"/>
    <n v="14"/>
    <n v="1"/>
    <n v="1"/>
    <n v="2"/>
    <x v="0"/>
  </r>
  <r>
    <x v="34"/>
    <n v="600003910991"/>
    <n v="1"/>
    <s v="E32"/>
    <s v="EQDENOM_32"/>
    <x v="31"/>
    <s v="WM09"/>
    <s v="SECTOR_32"/>
    <s v="PLANTA_2"/>
    <s v="BASCULA CAMIONERA"/>
    <s v="SEGURIDAD "/>
    <s v="BARANDA"/>
    <x v="28"/>
    <x v="0"/>
    <d v="2022-01-05T00:00:00"/>
    <x v="8"/>
    <x v="1"/>
    <n v="2"/>
    <d v="1899-12-30T08:00:00"/>
    <d v="1899-12-30T14:00:00"/>
    <n v="6"/>
    <n v="0"/>
    <n v="12"/>
    <x v="2"/>
  </r>
  <r>
    <x v="35"/>
    <n v="600003912434"/>
    <n v="1"/>
    <s v="E33"/>
    <s v="EQDENOM_33"/>
    <x v="32"/>
    <s v="WM02"/>
    <s v="SECTOR_33"/>
    <s v="PLANTA_1"/>
    <s v="ENVASADORA"/>
    <s v="INSTALACION ELECTRICA"/>
    <s v="TABLERO"/>
    <x v="1"/>
    <x v="0"/>
    <d v="2021-12-02T00:00:00"/>
    <x v="2"/>
    <x v="0"/>
    <n v="2"/>
    <d v="1899-12-30T07:00:00"/>
    <d v="1899-12-30T08:30:00"/>
    <n v="1.5"/>
    <n v="1.5"/>
    <n v="3"/>
    <x v="0"/>
  </r>
  <r>
    <x v="35"/>
    <n v="600003912489"/>
    <n v="1"/>
    <s v="E12"/>
    <s v="EQDENOM_12"/>
    <x v="11"/>
    <s v="WM06"/>
    <s v="SECTOR_12"/>
    <s v="PLANTA_2"/>
    <s v="PRENSA"/>
    <s v="CILINDRO"/>
    <s v="PLATO"/>
    <x v="16"/>
    <x v="0"/>
    <d v="2021-12-02T00:00:00"/>
    <x v="7"/>
    <x v="1"/>
    <n v="3"/>
    <d v="1899-12-30T10:00:00"/>
    <d v="1899-12-30T11:00:00"/>
    <n v="1"/>
    <n v="1"/>
    <n v="3"/>
    <x v="0"/>
  </r>
  <r>
    <x v="35"/>
    <n v="600003912511"/>
    <n v="1"/>
    <s v="E30"/>
    <s v="EQDENOM_30"/>
    <x v="29"/>
    <s v="WM06"/>
    <s v="SECTOR_30"/>
    <s v="PLANTA_2"/>
    <s v="PRENSA"/>
    <s v="ACCESORIOS"/>
    <s v="PLATAFORMA"/>
    <x v="29"/>
    <x v="0"/>
    <d v="2021-12-02T00:00:00"/>
    <x v="4"/>
    <x v="1"/>
    <n v="1"/>
    <d v="1899-12-30T14:00:00"/>
    <d v="1899-12-30T15:00:00"/>
    <n v="1"/>
    <n v="1"/>
    <n v="1"/>
    <x v="0"/>
  </r>
  <r>
    <x v="36"/>
    <n v="600003914030"/>
    <n v="1"/>
    <s v="E07"/>
    <s v="EQDENOM_07"/>
    <x v="6"/>
    <s v="WM05"/>
    <s v="SECTOR_07"/>
    <s v="PLANTA_1"/>
    <s v="AUTOELEVADOR"/>
    <s v="INSTALACION ELECTRICA"/>
    <s v="CONEXIÓN"/>
    <x v="30"/>
    <x v="0"/>
    <d v="2021-12-06T00:00:00"/>
    <x v="1"/>
    <x v="0"/>
    <n v="1"/>
    <d v="1899-12-30T14:00:00"/>
    <d v="1899-12-30T15:00:00"/>
    <n v="1"/>
    <n v="1"/>
    <n v="1"/>
    <x v="0"/>
  </r>
  <r>
    <x v="37"/>
    <n v="600003914713"/>
    <n v="1"/>
    <s v="E34"/>
    <s v="EQDENOM_34"/>
    <x v="33"/>
    <s v="WM06"/>
    <s v="SECTOR_34"/>
    <s v="PLANTA_2"/>
    <s v="TRANSPORT. PINTURA"/>
    <s v="INSTALACION ELECTRICA"/>
    <s v="CONEXIÓN"/>
    <x v="31"/>
    <x v="0"/>
    <d v="2021-12-07T00:00:00"/>
    <x v="6"/>
    <x v="0"/>
    <n v="2"/>
    <d v="1899-12-30T14:00:00"/>
    <d v="1899-12-30T15:00:00"/>
    <n v="1"/>
    <n v="1"/>
    <n v="2"/>
    <x v="0"/>
  </r>
  <r>
    <x v="37"/>
    <n v="600003914584"/>
    <n v="1"/>
    <s v="E35"/>
    <s v="EQDENOM_35"/>
    <x v="34"/>
    <s v="WM04"/>
    <s v="SECTOR_35"/>
    <s v="PLANTA_2"/>
    <s v="CALDERA"/>
    <s v="SEGURIDAD "/>
    <s v="CALEFACCION"/>
    <x v="11"/>
    <x v="1"/>
    <d v="2021-12-07T00:00:00"/>
    <x v="7"/>
    <x v="1"/>
    <n v="2"/>
    <d v="1899-12-30T14:30:00"/>
    <d v="1899-12-30T15:30:00"/>
    <n v="1"/>
    <n v="1"/>
    <n v="2"/>
    <x v="0"/>
  </r>
  <r>
    <x v="37"/>
    <n v="600003914561"/>
    <n v="1"/>
    <s v="E32"/>
    <s v="EQDENOM_32"/>
    <x v="31"/>
    <s v="WM09"/>
    <s v="SECTOR_32"/>
    <s v="PLANTA_2"/>
    <s v="BASCULA CAMIONERA"/>
    <s v="PUERTA "/>
    <s v="BRAZO HIDRAULICO"/>
    <x v="32"/>
    <x v="0"/>
    <d v="2021-12-07T00:00:00"/>
    <x v="1"/>
    <x v="1"/>
    <n v="2"/>
    <d v="1899-12-30T11:00:00"/>
    <d v="1899-12-30T16:00:00"/>
    <n v="5"/>
    <n v="5"/>
    <n v="10"/>
    <x v="3"/>
  </r>
  <r>
    <x v="38"/>
    <n v="600003915660"/>
    <n v="1"/>
    <s v="E19"/>
    <s v="EQDENOM_19"/>
    <x v="18"/>
    <s v="WM06"/>
    <s v="SECTOR_19"/>
    <s v="PLANTA_2"/>
    <s v="PRENSA"/>
    <s v="UNIDAD HIDRAULICA"/>
    <s v="PLATO"/>
    <x v="16"/>
    <x v="0"/>
    <d v="2021-12-09T00:00:00"/>
    <x v="5"/>
    <x v="1"/>
    <n v="2"/>
    <d v="1899-12-30T07:30:00"/>
    <d v="1899-12-30T09:00:00"/>
    <n v="1.5"/>
    <n v="1.5"/>
    <n v="3"/>
    <x v="0"/>
  </r>
  <r>
    <x v="38"/>
    <n v="600003915661"/>
    <n v="1"/>
    <s v="E36"/>
    <s v="EQDENOM_36"/>
    <x v="35"/>
    <s v="WM06"/>
    <s v="SECTOR_36"/>
    <s v="PLANTA_2"/>
    <s v="PRENSA"/>
    <s v="UNIDAD HIDRAULICA"/>
    <s v="PLATO"/>
    <x v="33"/>
    <x v="0"/>
    <d v="2021-12-09T00:00:00"/>
    <x v="5"/>
    <x v="1"/>
    <n v="2"/>
    <d v="1899-12-30T10:00:00"/>
    <d v="1899-12-30T11:30:00"/>
    <n v="1.5"/>
    <n v="1.5"/>
    <n v="3"/>
    <x v="0"/>
  </r>
  <r>
    <x v="39"/>
    <n v="600003916003"/>
    <n v="1"/>
    <s v="E37"/>
    <s v="EQDENOM_37"/>
    <x v="36"/>
    <s v="WM06"/>
    <s v="SECTOR_37"/>
    <s v="PLANTA_2"/>
    <s v="HORNO"/>
    <s v="ACCESORIOS"/>
    <s v="PUERTA"/>
    <x v="34"/>
    <x v="0"/>
    <d v="2021-12-10T00:00:00"/>
    <x v="5"/>
    <x v="1"/>
    <n v="1"/>
    <d v="1899-12-30T14:30:00"/>
    <d v="1899-12-30T15:00:00"/>
    <n v="0.5"/>
    <n v="0.5"/>
    <n v="0.5"/>
    <x v="0"/>
  </r>
  <r>
    <x v="39"/>
    <n v="600003916153"/>
    <n v="1"/>
    <s v="E11"/>
    <s v="EQDENOM_11"/>
    <x v="10"/>
    <s v="WM01"/>
    <s v="SECTOR_11"/>
    <s v="PLANTA_1"/>
    <s v="FILTRO"/>
    <s v="CICLON"/>
    <s v="FILTRO"/>
    <x v="35"/>
    <x v="0"/>
    <d v="2021-12-11T00:00:00"/>
    <x v="2"/>
    <x v="1"/>
    <n v="2"/>
    <d v="1899-12-30T06:00:00"/>
    <d v="1899-12-30T07:30:00"/>
    <n v="1.5"/>
    <n v="1.5"/>
    <n v="3"/>
    <x v="0"/>
  </r>
  <r>
    <x v="39"/>
    <n v="600003916087"/>
    <n v="1"/>
    <s v="E38"/>
    <s v="EQDENOM_38"/>
    <x v="37"/>
    <s v="WM08"/>
    <s v="SECTOR_38"/>
    <s v="PLANTA_1"/>
    <s v="MOLINO"/>
    <s v="MOLINO"/>
    <s v="DESCARGA"/>
    <x v="36"/>
    <x v="0"/>
    <d v="2021-12-11T00:00:00"/>
    <x v="2"/>
    <x v="1"/>
    <n v="2"/>
    <d v="1899-12-30T07:00:00"/>
    <d v="1899-12-30T11:00:00"/>
    <n v="4"/>
    <n v="4"/>
    <n v="8"/>
    <x v="3"/>
  </r>
  <r>
    <x v="40"/>
    <n v="600003917036"/>
    <n v="1"/>
    <s v="E12"/>
    <s v="EQDENOM_12"/>
    <x v="11"/>
    <s v="WM06"/>
    <s v="SECTOR_12"/>
    <s v="PLANTA_2"/>
    <s v="PRENSA"/>
    <s v="CILINDRO"/>
    <s v="MESA"/>
    <x v="16"/>
    <x v="0"/>
    <d v="2021-12-14T00:00:00"/>
    <x v="5"/>
    <x v="1"/>
    <n v="2"/>
    <d v="1899-12-30T09:00:00"/>
    <d v="1899-12-30T10:30:00"/>
    <n v="1.5"/>
    <n v="1.5"/>
    <n v="3"/>
    <x v="0"/>
  </r>
  <r>
    <x v="40"/>
    <n v="600003916923"/>
    <n v="1"/>
    <s v="E05"/>
    <s v="EQDENOM_05"/>
    <x v="4"/>
    <s v="WM01"/>
    <s v="SECTOR_05"/>
    <s v="PLANTA_2"/>
    <s v="SECADOR"/>
    <s v="VENTILADOR"/>
    <s v="EJE"/>
    <x v="13"/>
    <x v="0"/>
    <d v="2021-12-18T00:00:00"/>
    <x v="2"/>
    <x v="1"/>
    <n v="3"/>
    <d v="1899-12-30T05:00:00"/>
    <d v="1899-12-30T13:00:00"/>
    <n v="8"/>
    <n v="8"/>
    <n v="24"/>
    <x v="3"/>
  </r>
  <r>
    <x v="40"/>
    <n v="600003916920"/>
    <n v="1"/>
    <s v="E20"/>
    <s v="EQDENOM_20"/>
    <x v="19"/>
    <s v="WM01"/>
    <s v="SECTOR_20"/>
    <s v="PLANTA_1"/>
    <s v="REACTOR"/>
    <s v="TRANSMISION"/>
    <s v="MOTOR"/>
    <x v="37"/>
    <x v="0"/>
    <d v="2021-12-15T00:00:00"/>
    <x v="2"/>
    <x v="1"/>
    <n v="3"/>
    <d v="1899-12-30T13:00:00"/>
    <d v="1899-12-30T16:00:00"/>
    <n v="3"/>
    <n v="3"/>
    <n v="9"/>
    <x v="3"/>
  </r>
  <r>
    <x v="41"/>
    <n v="600003888241"/>
    <n v="1"/>
    <s v="E39"/>
    <s v="EQDENOM_39"/>
    <x v="38"/>
    <s v="WM05"/>
    <s v="SECTOR_39"/>
    <s v="PLANTA_1"/>
    <s v="AUTOELEVADOR"/>
    <s v="TRANSMISION"/>
    <s v="RODADO"/>
    <x v="2"/>
    <x v="0"/>
    <d v="2021-11-11T00:00:00"/>
    <x v="1"/>
    <x v="1"/>
    <n v="1"/>
    <n v="7"/>
    <n v="16"/>
    <n v="9"/>
    <n v="9"/>
    <n v="9"/>
    <x v="1"/>
  </r>
  <r>
    <x v="41"/>
    <n v="600003917938"/>
    <n v="1"/>
    <s v="E40"/>
    <s v="EQDENOM_40"/>
    <x v="39"/>
    <s v="WM10"/>
    <s v="SECTOR_40"/>
    <s v="PLANTA_1"/>
    <s v="DISPERSORA"/>
    <s v="INSTALACION ELECTRICA"/>
    <s v="TABLERO"/>
    <x v="38"/>
    <x v="0"/>
    <d v="2021-12-15T00:00:00"/>
    <x v="2"/>
    <x v="0"/>
    <n v="1"/>
    <d v="1899-12-30T14:00:00"/>
    <d v="1899-12-30T15:30:00"/>
    <n v="1.5"/>
    <n v="1.5"/>
    <n v="1.5"/>
    <x v="0"/>
  </r>
  <r>
    <x v="42"/>
    <n v="600003918382"/>
    <n v="1"/>
    <s v="E26"/>
    <s v="EQDENOM_26"/>
    <x v="25"/>
    <s v="WM06"/>
    <s v="SECTOR_26"/>
    <s v="PLANTA_2"/>
    <s v="PRENSA"/>
    <s v="ACCESORIOS"/>
    <s v="GUIA"/>
    <x v="39"/>
    <x v="0"/>
    <d v="2021-12-17T00:00:00"/>
    <x v="4"/>
    <x v="1"/>
    <n v="2"/>
    <d v="1899-12-30T09:00:00"/>
    <d v="1899-12-30T10:00:00"/>
    <n v="1"/>
    <n v="1"/>
    <n v="2"/>
    <x v="0"/>
  </r>
  <r>
    <x v="42"/>
    <n v="600003918276"/>
    <n v="1"/>
    <s v="E23"/>
    <s v="EQDENOM_23"/>
    <x v="22"/>
    <s v="WM06"/>
    <s v="SECTOR_23"/>
    <s v="PLANTA_2"/>
    <s v="PRENSA"/>
    <s v="UNIDAD NEUMATICA"/>
    <s v="MESA"/>
    <x v="14"/>
    <x v="0"/>
    <d v="2021-12-16T00:00:00"/>
    <x v="5"/>
    <x v="1"/>
    <n v="1"/>
    <d v="1899-12-30T06:30:00"/>
    <d v="1899-12-30T07:30:00"/>
    <n v="1"/>
    <n v="1"/>
    <n v="1"/>
    <x v="0"/>
  </r>
  <r>
    <x v="42"/>
    <n v="600003918378"/>
    <n v="1"/>
    <s v="E41"/>
    <s v="EQDENOM_41"/>
    <x v="40"/>
    <s v="WM07"/>
    <s v="SECTOR_41"/>
    <s v="PLANTA_2"/>
    <s v="TREN ENFRIAMIENTO"/>
    <s v="CIRCUITO DE ENFRIAMIENTO"/>
    <s v="TRANSMISION"/>
    <x v="40"/>
    <x v="0"/>
    <d v="2021-12-16T00:00:00"/>
    <x v="4"/>
    <x v="1"/>
    <n v="2"/>
    <d v="1899-12-30T15:00:00"/>
    <d v="1899-12-30T16:00:00"/>
    <n v="1"/>
    <n v="1"/>
    <n v="2"/>
    <x v="0"/>
  </r>
  <r>
    <x v="43"/>
    <n v="600003918749"/>
    <n v="1"/>
    <s v="E34"/>
    <s v="EQDENOM_34"/>
    <x v="33"/>
    <s v="WM06"/>
    <s v="SECTOR_34"/>
    <s v="PLANTA_2"/>
    <s v="TRANSPORT. PINTURA"/>
    <s v="ACCESORIOS"/>
    <s v="NORIA"/>
    <x v="41"/>
    <x v="0"/>
    <d v="2021-12-17T00:00:00"/>
    <x v="5"/>
    <x v="1"/>
    <n v="3"/>
    <d v="1899-12-30T14:00:00"/>
    <d v="1899-12-30T15:00:00"/>
    <n v="1"/>
    <n v="1"/>
    <n v="3"/>
    <x v="0"/>
  </r>
  <r>
    <x v="43"/>
    <n v="600003918691"/>
    <n v="1"/>
    <s v="E34"/>
    <s v="EQDENOM_34"/>
    <x v="33"/>
    <s v="WM06"/>
    <s v="SECTOR_34"/>
    <s v="PLANTA_2"/>
    <s v="TRANSPORT. PINTURA"/>
    <s v="NORIA"/>
    <s v="PEDAL"/>
    <x v="42"/>
    <x v="0"/>
    <d v="2021-12-17T00:00:00"/>
    <x v="3"/>
    <x v="0"/>
    <n v="1"/>
    <d v="1899-12-30T10:00:00"/>
    <d v="1899-12-30T14:00:00"/>
    <n v="2"/>
    <n v="2"/>
    <n v="2"/>
    <x v="0"/>
  </r>
  <r>
    <x v="44"/>
    <n v="600003919922"/>
    <n v="1"/>
    <s v="E05"/>
    <s v="EQDENOM_05"/>
    <x v="4"/>
    <s v="WM01"/>
    <s v="SECTOR_05"/>
    <s v="PLANTA_1"/>
    <s v="SECADOR"/>
    <s v="INSTALACION ELECTRICA"/>
    <s v="CONEXIÓN"/>
    <x v="43"/>
    <x v="0"/>
    <d v="2021-12-20T00:00:00"/>
    <x v="3"/>
    <x v="0"/>
    <n v="1"/>
    <d v="1899-12-30T12:00:00"/>
    <d v="1899-12-30T13:30:00"/>
    <n v="1.5"/>
    <n v="1.5"/>
    <n v="1.5"/>
    <x v="0"/>
  </r>
  <r>
    <x v="45"/>
    <n v="600003920193"/>
    <n v="1"/>
    <s v="E34"/>
    <s v="EQDENOM_34"/>
    <x v="33"/>
    <s v="WM06"/>
    <s v="SECTOR_34"/>
    <s v="PLANTA_2"/>
    <s v="TRANSPORT. PINTURA"/>
    <s v="ACCESORIOS"/>
    <s v="GRIP"/>
    <x v="31"/>
    <x v="0"/>
    <d v="2022-12-21T00:00:00"/>
    <x v="3"/>
    <x v="0"/>
    <n v="1"/>
    <d v="1899-12-30T08:00:00"/>
    <d v="1899-12-30T10:00:00"/>
    <n v="2"/>
    <n v="2"/>
    <n v="2"/>
    <x v="0"/>
  </r>
  <r>
    <x v="46"/>
    <n v="600003920947"/>
    <n v="1"/>
    <s v="E42"/>
    <s v="EQDENOM_42"/>
    <x v="41"/>
    <s v="WM05"/>
    <s v="SECTOR_42"/>
    <s v="PLANTA_1"/>
    <s v="CARRO"/>
    <s v="INSTALACION ELECTRICA"/>
    <s v="BATERIA"/>
    <x v="44"/>
    <x v="0"/>
    <d v="2022-01-22T00:00:00"/>
    <x v="2"/>
    <x v="0"/>
    <n v="1"/>
    <d v="1899-12-30T08:00:00"/>
    <d v="1899-12-30T10:00:00"/>
    <n v="2"/>
    <n v="2"/>
    <n v="2"/>
    <x v="0"/>
  </r>
  <r>
    <x v="46"/>
    <n v="600003920948"/>
    <n v="1"/>
    <s v="E19"/>
    <s v="EQDENOM_19"/>
    <x v="18"/>
    <s v="WM06"/>
    <s v="SECTOR_19"/>
    <s v="PLANTA_2"/>
    <s v="PRENSA"/>
    <s v="CILINDRO"/>
    <s v="PLATO"/>
    <x v="16"/>
    <x v="0"/>
    <d v="2021-12-22T00:00:00"/>
    <x v="7"/>
    <x v="1"/>
    <n v="2"/>
    <d v="1899-12-30T15:00:00"/>
    <d v="1899-12-30T16:00:00"/>
    <n v="1"/>
    <n v="1"/>
    <n v="2"/>
    <x v="0"/>
  </r>
  <r>
    <x v="46"/>
    <n v="600003920860"/>
    <n v="1"/>
    <s v="E05"/>
    <s v="EQDENOM_05"/>
    <x v="4"/>
    <s v="WM01"/>
    <s v="SECTOR_05"/>
    <s v="PLANTA_2"/>
    <s v="SECADOR"/>
    <s v="AIRE ACONDICIONADO"/>
    <s v="GAS"/>
    <x v="10"/>
    <x v="0"/>
    <d v="2021-12-22T00:00:00"/>
    <x v="2"/>
    <x v="2"/>
    <n v="2"/>
    <d v="1899-12-30T15:00:00"/>
    <d v="1899-12-30T18:00:00"/>
    <n v="3"/>
    <n v="3"/>
    <n v="6"/>
    <x v="3"/>
  </r>
  <r>
    <x v="46"/>
    <n v="600003920857"/>
    <n v="1"/>
    <s v="E05"/>
    <s v="EQDENOM_05"/>
    <x v="4"/>
    <s v="WM01"/>
    <s v="SECTOR_05"/>
    <s v="PLANTA_1"/>
    <s v="SECADOR"/>
    <s v="VENTILADOR"/>
    <s v="EJE"/>
    <x v="13"/>
    <x v="0"/>
    <d v="2021-12-22T00:00:00"/>
    <x v="2"/>
    <x v="1"/>
    <n v="2"/>
    <d v="1899-12-30T06:00:00"/>
    <d v="1899-12-30T10:00:00"/>
    <n v="4"/>
    <n v="4"/>
    <n v="8"/>
    <x v="3"/>
  </r>
  <r>
    <x v="47"/>
    <n v="600003924445"/>
    <n v="1"/>
    <s v="E34"/>
    <s v="EQDENOM_34"/>
    <x v="33"/>
    <s v="WM06"/>
    <s v="SECTOR_34"/>
    <s v="PLANTA_2"/>
    <s v="TRANSPORT. PINTURA"/>
    <s v="ACCESORIOS"/>
    <s v="CARRO"/>
    <x v="45"/>
    <x v="0"/>
    <d v="2021-12-27T00:00:00"/>
    <x v="3"/>
    <x v="1"/>
    <n v="1"/>
    <d v="1899-12-30T07:00:00"/>
    <d v="1899-12-30T09:30:00"/>
    <n v="2.5"/>
    <n v="2.5"/>
    <n v="2.5"/>
    <x v="3"/>
  </r>
  <r>
    <x v="47"/>
    <n v="600003924449"/>
    <n v="1"/>
    <s v="E43"/>
    <s v="EQDENOM_43"/>
    <x v="42"/>
    <s v="WM06"/>
    <s v="SECTOR_43"/>
    <s v="PLANTA_2"/>
    <s v="COMPRESOR"/>
    <s v="INSTALACION ELECTRICA"/>
    <s v="CONEXIÓN"/>
    <x v="46"/>
    <x v="0"/>
    <d v="2021-12-27T00:00:00"/>
    <x v="3"/>
    <x v="0"/>
    <n v="2"/>
    <d v="1899-12-30T07:00:00"/>
    <d v="1899-12-30T08:30:00"/>
    <n v="1.5"/>
    <n v="1.5"/>
    <n v="3"/>
    <x v="0"/>
  </r>
  <r>
    <x v="47"/>
    <n v="600003924447"/>
    <n v="1"/>
    <s v="E24"/>
    <s v="EQDENOM_24"/>
    <x v="23"/>
    <s v="WM06"/>
    <s v="SECTOR_24"/>
    <s v="PLANTA_2"/>
    <s v="PRENSA"/>
    <s v="INSTALACION ELECTRICA"/>
    <s v="CONEXIÓN"/>
    <x v="47"/>
    <x v="0"/>
    <d v="2021-12-27T00:00:00"/>
    <x v="3"/>
    <x v="0"/>
    <n v="1"/>
    <d v="1899-12-30T10:00:00"/>
    <d v="1899-12-30T11:00:00"/>
    <n v="1"/>
    <n v="1"/>
    <n v="1"/>
    <x v="0"/>
  </r>
  <r>
    <x v="48"/>
    <n v="600003924821"/>
    <n v="1"/>
    <s v="E44"/>
    <s v="EQDENOM_44"/>
    <x v="43"/>
    <s v="WM06"/>
    <s v="SECTOR_44"/>
    <s v="PLANTA_2"/>
    <s v="CABINA DE PINTADO"/>
    <s v="ACCESORIOS"/>
    <s v="CABINA"/>
    <x v="48"/>
    <x v="0"/>
    <d v="2021-12-28T00:00:00"/>
    <x v="7"/>
    <x v="1"/>
    <n v="2"/>
    <d v="1899-12-30T10:20:00"/>
    <d v="1899-12-30T11:20:00"/>
    <n v="1"/>
    <n v="1"/>
    <n v="2"/>
    <x v="0"/>
  </r>
  <r>
    <x v="48"/>
    <n v="600003924776"/>
    <n v="1"/>
    <s v="E34"/>
    <s v="EQDENOM_34"/>
    <x v="33"/>
    <s v="WM06"/>
    <s v="SECTOR_34"/>
    <s v="PLANTA_2"/>
    <s v="TRANSPORT. PINTURA"/>
    <s v="INSTALACION ELECTRICA"/>
    <s v="CONEXIÓN"/>
    <x v="49"/>
    <x v="0"/>
    <d v="2021-12-28T00:00:00"/>
    <x v="3"/>
    <x v="0"/>
    <n v="1"/>
    <d v="1899-12-30T07:00:00"/>
    <d v="1899-12-30T08:00:00"/>
    <n v="1"/>
    <n v="1"/>
    <n v="1"/>
    <x v="0"/>
  </r>
  <r>
    <x v="48"/>
    <n v="600003924913"/>
    <n v="1"/>
    <s v="E23"/>
    <s v="EQDENOM_23"/>
    <x v="22"/>
    <s v="WM06"/>
    <s v="SECTOR_23"/>
    <s v="PLANTA_2"/>
    <s v="PRENSA"/>
    <s v="INSTALACION ELECTRICA"/>
    <s v="CONEXIÓN"/>
    <x v="46"/>
    <x v="0"/>
    <d v="2021-12-28T00:00:00"/>
    <x v="3"/>
    <x v="0"/>
    <n v="1"/>
    <d v="1899-12-30T07:00:00"/>
    <d v="1899-12-30T09:00:00"/>
    <n v="2"/>
    <n v="2"/>
    <n v="2"/>
    <x v="0"/>
  </r>
  <r>
    <x v="49"/>
    <n v="600003925271"/>
    <n v="1"/>
    <s v="E45"/>
    <s v="EQDENOM_45"/>
    <x v="44"/>
    <s v="WM10"/>
    <s v="SECTOR_45"/>
    <s v="PLANTA_1"/>
    <s v="HORNO"/>
    <s v="INSTALACION ELECTRICA"/>
    <s v="CONEXIÓN"/>
    <x v="31"/>
    <x v="0"/>
    <d v="2021-12-29T00:00:00"/>
    <x v="6"/>
    <x v="0"/>
    <n v="1"/>
    <d v="1899-12-30T13:00:00"/>
    <d v="1899-12-30T14:00:00"/>
    <n v="1"/>
    <n v="1"/>
    <n v="1"/>
    <x v="0"/>
  </r>
  <r>
    <x v="49"/>
    <n v="600003925233"/>
    <n v="1"/>
    <s v="E34"/>
    <s v="EQDENOM_34"/>
    <x v="33"/>
    <s v="WM06"/>
    <s v="SECTOR_34"/>
    <s v="PLANTA_2"/>
    <s v="TRANSPORT. PINTURA"/>
    <s v="AUTOFORM"/>
    <s v="NUCLEO"/>
    <x v="50"/>
    <x v="0"/>
    <d v="2021-01-04T00:00:00"/>
    <x v="7"/>
    <x v="1"/>
    <n v="1"/>
    <d v="1899-12-30T15:00:00"/>
    <d v="1899-12-30T16:00:00"/>
    <n v="1"/>
    <n v="1"/>
    <n v="1"/>
    <x v="0"/>
  </r>
  <r>
    <x v="50"/>
    <n v="600003925622"/>
    <n v="1"/>
    <s v="E12"/>
    <s v="EQDENOM_12"/>
    <x v="11"/>
    <s v="WM06"/>
    <s v="SECTOR_12"/>
    <s v="PLANTA_2"/>
    <s v="PRENSA"/>
    <s v="CILINDRO"/>
    <s v="PISTON"/>
    <x v="16"/>
    <x v="0"/>
    <d v="2021-12-30T00:00:00"/>
    <x v="7"/>
    <x v="1"/>
    <n v="2"/>
    <d v="1899-12-30T09:30:00"/>
    <d v="1899-12-30T11:30:00"/>
    <n v="2"/>
    <n v="2"/>
    <n v="4"/>
    <x v="0"/>
  </r>
  <r>
    <x v="51"/>
    <n v="600003931225"/>
    <n v="1"/>
    <s v="E46"/>
    <s v="EQDENOM_46"/>
    <x v="45"/>
    <s v="WM06"/>
    <s v="SECTOR_46"/>
    <s v="PLANTA_2"/>
    <s v="PRENSA"/>
    <s v="NUCLEO"/>
    <s v="MOLDE"/>
    <x v="51"/>
    <x v="0"/>
    <d v="2022-01-03T00:00:00"/>
    <x v="7"/>
    <x v="1"/>
    <n v="2"/>
    <d v="1899-12-30T06:30:00"/>
    <d v="1899-12-30T07:30:00"/>
    <n v="1"/>
    <n v="1"/>
    <n v="2"/>
    <x v="0"/>
  </r>
  <r>
    <x v="51"/>
    <n v="600003931224"/>
    <n v="1"/>
    <s v="E47"/>
    <s v="EQDENOM_47"/>
    <x v="46"/>
    <s v="WM06"/>
    <s v="SECTOR_47"/>
    <s v="PLANTA_2"/>
    <s v="CALDERA"/>
    <s v="INSTALACION ELECTRICA"/>
    <s v="BOMBA"/>
    <x v="31"/>
    <x v="0"/>
    <d v="2022-01-03T00:00:00"/>
    <x v="6"/>
    <x v="0"/>
    <n v="1"/>
    <d v="1899-12-30T12:00:00"/>
    <d v="1899-12-30T14:00:00"/>
    <n v="2"/>
    <n v="2"/>
    <n v="2"/>
    <x v="0"/>
  </r>
  <r>
    <x v="52"/>
    <n v="600003931959"/>
    <n v="1"/>
    <s v="E48"/>
    <s v="EQDENOM_48"/>
    <x v="47"/>
    <s v="WM06"/>
    <s v="SECTOR_48"/>
    <s v="PLANTA_1"/>
    <s v="PRENSA"/>
    <s v="ACCESORIOS"/>
    <s v="COMPONENTES NEUMATICOS"/>
    <x v="52"/>
    <x v="0"/>
    <d v="2022-01-04T00:00:00"/>
    <x v="7"/>
    <x v="1"/>
    <n v="1"/>
    <d v="1899-12-30T06:30:00"/>
    <d v="1899-12-30T07:30:00"/>
    <n v="1"/>
    <n v="1"/>
    <n v="1"/>
    <x v="0"/>
  </r>
  <r>
    <x v="52"/>
    <n v="600003932070"/>
    <n v="1"/>
    <s v="E44"/>
    <s v="EQDENOM_44"/>
    <x v="43"/>
    <s v="WM06"/>
    <s v="SECTOR_44"/>
    <s v="PLANTA_2"/>
    <s v="CABINA DE PINTADO"/>
    <s v="ACCESORIOS"/>
    <s v="TRANSMISION"/>
    <x v="41"/>
    <x v="0"/>
    <d v="2022-01-04T00:00:00"/>
    <x v="6"/>
    <x v="0"/>
    <n v="1"/>
    <d v="1899-12-30T09:00:00"/>
    <d v="1899-12-30T12:00:00"/>
    <n v="3"/>
    <n v="3"/>
    <n v="3"/>
    <x v="3"/>
  </r>
  <r>
    <x v="53"/>
    <n v="600003933115"/>
    <n v="1"/>
    <s v="E20"/>
    <s v="EQDENOM_20"/>
    <x v="19"/>
    <s v="WM01"/>
    <s v="SECTOR_20"/>
    <s v="PLANTA_1"/>
    <s v="REACTOR"/>
    <s v="UNIDAD NEUMATICA"/>
    <s v="CAÑERIA"/>
    <x v="22"/>
    <x v="0"/>
    <d v="2022-01-05T00:00:00"/>
    <x v="8"/>
    <x v="1"/>
    <n v="1"/>
    <d v="1899-12-30T09:30:00"/>
    <d v="1899-12-30T14:00:00"/>
    <n v="2.5"/>
    <n v="2.5"/>
    <n v="2.5"/>
    <x v="3"/>
  </r>
  <r>
    <x v="53"/>
    <n v="600003932819"/>
    <n v="1"/>
    <s v="E49"/>
    <s v="EQDENOM_49"/>
    <x v="48"/>
    <s v="WM06"/>
    <s v="SECTOR_49"/>
    <s v="PLANTA_2"/>
    <s v="RECORTADORA"/>
    <s v="INSTALACION ELECTRICA"/>
    <s v="TABLERO"/>
    <x v="53"/>
    <x v="0"/>
    <d v="2022-02-05T00:00:00"/>
    <x v="6"/>
    <x v="0"/>
    <n v="1"/>
    <d v="1899-12-30T07:00:00"/>
    <d v="1899-12-30T08:00:00"/>
    <n v="1"/>
    <n v="1"/>
    <n v="1"/>
    <x v="0"/>
  </r>
  <r>
    <x v="53"/>
    <n v="600003932866"/>
    <n v="1"/>
    <s v="E50"/>
    <s v="EQDENOM_50"/>
    <x v="49"/>
    <s v="WM06"/>
    <s v="SECTOR_50"/>
    <s v="PLANTA_2"/>
    <s v="PRENSA"/>
    <s v="ACCESORIOS"/>
    <s v="CILINDRO"/>
    <x v="54"/>
    <x v="0"/>
    <d v="2022-01-05T00:00:00"/>
    <x v="4"/>
    <x v="1"/>
    <n v="1"/>
    <d v="1899-12-30T09:00:00"/>
    <d v="1899-12-30T10:00:00"/>
    <n v="1"/>
    <n v="1"/>
    <n v="1"/>
    <x v="0"/>
  </r>
  <r>
    <x v="53"/>
    <n v="600003932870"/>
    <n v="1"/>
    <s v="E51"/>
    <s v="EQDENOM_51"/>
    <x v="50"/>
    <s v="WM06"/>
    <s v="SECTOR_51"/>
    <s v="PLANTA_2"/>
    <s v="PRENSA"/>
    <s v="ACCESORIOS"/>
    <s v="CILINDRO"/>
    <x v="54"/>
    <x v="0"/>
    <d v="2022-01-05T00:00:00"/>
    <x v="4"/>
    <x v="1"/>
    <n v="1"/>
    <d v="1899-12-30T10:00:00"/>
    <d v="1899-12-30T11:00:00"/>
    <n v="1"/>
    <n v="1"/>
    <n v="1"/>
    <x v="0"/>
  </r>
  <r>
    <x v="53"/>
    <n v="600003932820"/>
    <n v="1"/>
    <s v="E23"/>
    <s v="EQDENOM_23"/>
    <x v="22"/>
    <s v="WM06"/>
    <s v="SECTOR_23"/>
    <s v="PLANTA_2"/>
    <s v="PRENSA"/>
    <s v="CILINDRO"/>
    <s v="MESA"/>
    <x v="55"/>
    <x v="0"/>
    <d v="2022-01-05T00:00:00"/>
    <x v="1"/>
    <x v="0"/>
    <n v="2"/>
    <d v="1899-12-30T09:00:00"/>
    <d v="1899-12-30T15:00:00"/>
    <n v="6"/>
    <n v="6"/>
    <n v="12"/>
    <x v="3"/>
  </r>
  <r>
    <x v="54"/>
    <n v="600003933807"/>
    <n v="1"/>
    <s v="E26"/>
    <s v="EQDENOM_26"/>
    <x v="25"/>
    <s v="WM06"/>
    <s v="SECTOR_26"/>
    <s v="PLANTA_2"/>
    <s v="PRENSA"/>
    <s v="ACCESORIOS"/>
    <s v="NUCLEO"/>
    <x v="11"/>
    <x v="0"/>
    <d v="2022-02-01T00:00:00"/>
    <x v="4"/>
    <x v="1"/>
    <n v="1"/>
    <d v="1899-12-30T07:00:00"/>
    <d v="1899-12-30T08:00:00"/>
    <n v="1"/>
    <n v="1"/>
    <n v="1"/>
    <x v="0"/>
  </r>
  <r>
    <x v="54"/>
    <n v="600003933697"/>
    <n v="1"/>
    <s v="E52"/>
    <s v="EQDENOM_52"/>
    <x v="51"/>
    <s v="WM09"/>
    <s v="SECTOR_52"/>
    <s v="PLANTA_2"/>
    <s v="COMPRESOR"/>
    <s v="TRANSMISION"/>
    <s v="MOTOR "/>
    <x v="56"/>
    <x v="0"/>
    <d v="2022-02-15T00:00:00"/>
    <x v="5"/>
    <x v="1"/>
    <n v="3"/>
    <d v="1899-12-30T07:00:00"/>
    <d v="1899-12-30T16:00:00"/>
    <n v="9"/>
    <n v="9"/>
    <n v="27"/>
    <x v="1"/>
  </r>
  <r>
    <x v="54"/>
    <n v="600003933809"/>
    <n v="1"/>
    <s v="E42"/>
    <s v="EQDENOM_42"/>
    <x v="41"/>
    <s v="WM05"/>
    <s v="SECTOR_42"/>
    <s v="PLANTA_1"/>
    <s v="CARRO"/>
    <s v="ACCESORIOS"/>
    <s v="TABLERO"/>
    <x v="53"/>
    <x v="0"/>
    <d v="2022-01-06T00:00:00"/>
    <x v="1"/>
    <x v="0"/>
    <n v="1"/>
    <d v="1899-12-30T07:00:00"/>
    <d v="1899-12-30T11:00:00"/>
    <n v="4"/>
    <n v="4"/>
    <n v="4"/>
    <x v="3"/>
  </r>
  <r>
    <x v="55"/>
    <n v="600003934195"/>
    <n v="1"/>
    <s v="E46"/>
    <s v="EQDENOM_46"/>
    <x v="45"/>
    <s v="WM06"/>
    <s v="SECTOR_46"/>
    <s v="PLANTA_2"/>
    <s v="PRENSA"/>
    <s v="CILINDRO"/>
    <s v="PISTON"/>
    <x v="16"/>
    <x v="0"/>
    <d v="2022-01-07T00:00:00"/>
    <x v="6"/>
    <x v="1"/>
    <n v="1"/>
    <d v="1899-12-30T09:30:00"/>
    <d v="1899-12-30T15:00:00"/>
    <n v="5.5"/>
    <n v="5.5"/>
    <n v="5.5"/>
    <x v="3"/>
  </r>
  <r>
    <x v="55"/>
    <n v="600003934197"/>
    <n v="1"/>
    <s v="E24"/>
    <s v="EQDENOM_24"/>
    <x v="23"/>
    <s v="WM06"/>
    <s v="SECTOR_24"/>
    <s v="PLANTA_2"/>
    <s v="PRENSA"/>
    <s v="ACCESORIOS"/>
    <s v="PLATO"/>
    <x v="57"/>
    <x v="0"/>
    <d v="2022-01-07T00:00:00"/>
    <x v="4"/>
    <x v="1"/>
    <n v="2"/>
    <d v="1899-12-30T07:00:00"/>
    <d v="1899-12-30T08:30:00"/>
    <n v="1.5"/>
    <n v="1.5"/>
    <n v="3"/>
    <x v="0"/>
  </r>
  <r>
    <x v="56"/>
    <n v="600003935368"/>
    <n v="1"/>
    <s v="E53"/>
    <s v="EQDENOM_53"/>
    <x v="52"/>
    <s v="WM05"/>
    <s v="SECTOR_53"/>
    <s v="PLANTA_1"/>
    <s v="AUTOELEVADOR"/>
    <s v="INSTALACION ELECTRICA"/>
    <s v="CONEXIÓN"/>
    <x v="30"/>
    <x v="0"/>
    <d v="2022-01-10T00:00:00"/>
    <x v="1"/>
    <x v="0"/>
    <n v="1"/>
    <d v="1899-12-30T10:00:00"/>
    <d v="1899-12-30T11:00:00"/>
    <n v="1"/>
    <n v="1"/>
    <n v="1"/>
    <x v="0"/>
  </r>
  <r>
    <x v="56"/>
    <n v="600003935373"/>
    <n v="1"/>
    <s v="E54"/>
    <s v="EQDENOM_54"/>
    <x v="53"/>
    <s v="WM07"/>
    <s v="SECTOR_54"/>
    <s v="PLANTA_2"/>
    <s v="CORTADORA"/>
    <s v="ACCESORIOS"/>
    <s v="MORDAZA"/>
    <x v="55"/>
    <x v="0"/>
    <d v="2022-01-10T00:00:00"/>
    <x v="4"/>
    <x v="1"/>
    <n v="2"/>
    <d v="1899-12-30T10:30:00"/>
    <d v="1899-12-30T11:30:00"/>
    <n v="1"/>
    <n v="1"/>
    <n v="2"/>
    <x v="0"/>
  </r>
  <r>
    <x v="56"/>
    <n v="600003935434"/>
    <n v="1"/>
    <s v="E55"/>
    <s v="EQDENOM_55"/>
    <x v="54"/>
    <s v="WM05"/>
    <s v="SECTOR_55"/>
    <s v="PLANTA_1"/>
    <s v="AUTOELEVADOR"/>
    <s v="ACCESORIOS"/>
    <s v="TRANSMISION"/>
    <x v="58"/>
    <x v="0"/>
    <d v="2022-04-21T00:00:00"/>
    <x v="1"/>
    <x v="1"/>
    <n v="1"/>
    <d v="1899-12-30T09:00:00"/>
    <d v="1899-12-30T13:00:00"/>
    <n v="4"/>
    <n v="4"/>
    <n v="4"/>
    <x v="3"/>
  </r>
  <r>
    <x v="57"/>
    <n v="600003935905"/>
    <n v="1"/>
    <s v="E13"/>
    <s v="EQDENOM_13"/>
    <x v="12"/>
    <s v="WM06"/>
    <s v="SECTOR_13"/>
    <s v="PLANTA_2"/>
    <s v="PRENSA"/>
    <s v="UNIDAD NEUMATICA"/>
    <s v="MANGUERA"/>
    <x v="52"/>
    <x v="0"/>
    <d v="2022-01-12T00:00:00"/>
    <x v="4"/>
    <x v="1"/>
    <n v="1"/>
    <d v="1899-12-30T15:00:00"/>
    <d v="1899-12-30T16:00:00"/>
    <n v="1"/>
    <n v="1"/>
    <n v="1"/>
    <x v="0"/>
  </r>
  <r>
    <x v="57"/>
    <n v="600003935897"/>
    <n v="1"/>
    <s v="E12"/>
    <s v="EQDENOM_12"/>
    <x v="11"/>
    <s v="WM06"/>
    <s v="SECTOR_12"/>
    <s v="PLANTA_2"/>
    <s v="PRENSA"/>
    <s v="UNIDAD NEUMATICA"/>
    <s v="MESA"/>
    <x v="59"/>
    <x v="0"/>
    <d v="2022-01-11T00:00:00"/>
    <x v="4"/>
    <x v="1"/>
    <n v="2"/>
    <d v="1899-12-30T09:00:00"/>
    <d v="1899-12-30T10:30:00"/>
    <n v="1.5"/>
    <n v="1.5"/>
    <n v="3"/>
    <x v="0"/>
  </r>
  <r>
    <x v="57"/>
    <n v="600003935909"/>
    <n v="1"/>
    <s v="E15"/>
    <s v="EQDENOM_15"/>
    <x v="14"/>
    <s v="WM06"/>
    <s v="SECTOR_15"/>
    <s v="PLANTA_2"/>
    <s v="PRENSA"/>
    <s v="ACCESORIOS"/>
    <s v="VAPOR"/>
    <x v="60"/>
    <x v="0"/>
    <d v="2022-01-11T00:00:00"/>
    <x v="4"/>
    <x v="1"/>
    <n v="2"/>
    <d v="1899-12-30T13:00:00"/>
    <d v="1899-12-30T14:30:00"/>
    <n v="1.5"/>
    <n v="1.5"/>
    <n v="3"/>
    <x v="0"/>
  </r>
  <r>
    <x v="57"/>
    <n v="600003935890"/>
    <n v="1"/>
    <s v="E31"/>
    <s v="EQDENOM_31"/>
    <x v="30"/>
    <s v="WM06"/>
    <s v="SECTOR_31"/>
    <s v="PLANTA_2"/>
    <s v="PULIDORA"/>
    <s v="UNIDAD NEUMATICA"/>
    <s v="CILINDRO"/>
    <x v="14"/>
    <x v="0"/>
    <d v="2022-01-11T00:00:00"/>
    <x v="4"/>
    <x v="1"/>
    <n v="2"/>
    <d v="1899-12-30T07:00:00"/>
    <d v="1899-12-30T08:00:00"/>
    <n v="1"/>
    <n v="1"/>
    <n v="2"/>
    <x v="0"/>
  </r>
  <r>
    <x v="58"/>
    <n v="600003936769"/>
    <n v="1"/>
    <s v="E56"/>
    <s v="EQDENOM_47"/>
    <x v="55"/>
    <s v="WM06"/>
    <s v="SECTOR_56"/>
    <s v="PLANTA_2"/>
    <s v="CALDERA"/>
    <s v="VAPOR"/>
    <s v="CABEZAL DE CONTROLADOR"/>
    <x v="27"/>
    <x v="0"/>
    <d v="2022-01-13T00:00:00"/>
    <x v="4"/>
    <x v="1"/>
    <n v="2"/>
    <d v="1899-12-30T09:00:00"/>
    <d v="1899-12-30T10:30:00"/>
    <n v="1.5"/>
    <n v="1.5"/>
    <n v="3"/>
    <x v="0"/>
  </r>
  <r>
    <x v="58"/>
    <n v="600003936733"/>
    <n v="1"/>
    <s v="E08"/>
    <s v="EQDENOM_08"/>
    <x v="7"/>
    <s v="WM06"/>
    <s v="SECTOR_08"/>
    <s v="PLANTA_2"/>
    <s v="PRENSA"/>
    <s v="UNIDAD HIDRAULICA"/>
    <s v="PLATO"/>
    <x v="14"/>
    <x v="0"/>
    <d v="2022-01-12T00:00:00"/>
    <x v="4"/>
    <x v="1"/>
    <n v="2"/>
    <d v="1899-12-30T07:00:00"/>
    <d v="1899-12-30T08:00:00"/>
    <n v="1"/>
    <n v="1"/>
    <n v="2"/>
    <x v="0"/>
  </r>
  <r>
    <x v="59"/>
    <n v="600003937218"/>
    <n v="1"/>
    <s v="E57"/>
    <s v="EQDENOM_56"/>
    <x v="56"/>
    <s v="WM06"/>
    <s v="SECTOR_57"/>
    <s v="PLANTA_2"/>
    <s v="PRENSA"/>
    <s v="INSTALACION ELECTRICA"/>
    <s v="CONEXIÓN"/>
    <x v="31"/>
    <x v="0"/>
    <d v="2022-01-14T00:00:00"/>
    <x v="7"/>
    <x v="0"/>
    <n v="2"/>
    <d v="1899-12-30T06:30:00"/>
    <d v="1899-12-30T07:30:00"/>
    <n v="1"/>
    <n v="1"/>
    <n v="2"/>
    <x v="0"/>
  </r>
  <r>
    <x v="59"/>
    <n v="600003937211"/>
    <n v="1"/>
    <s v="E31"/>
    <s v="EQDENOM_31"/>
    <x v="30"/>
    <s v="WM06"/>
    <s v="SECTOR_31"/>
    <s v="PLANTA_2"/>
    <s v="PULIDORA"/>
    <s v="ACCESORIOS"/>
    <s v="TRANSMISION"/>
    <x v="61"/>
    <x v="0"/>
    <d v="2022-01-13T00:00:00"/>
    <x v="7"/>
    <x v="1"/>
    <n v="2"/>
    <d v="1899-12-30T06:30:00"/>
    <d v="1899-12-30T09:00:00"/>
    <n v="2.5"/>
    <n v="2.5"/>
    <n v="5"/>
    <x v="3"/>
  </r>
  <r>
    <x v="59"/>
    <n v="600003937221"/>
    <n v="1"/>
    <s v="E24"/>
    <s v="EQDENOM_24"/>
    <x v="23"/>
    <s v="WM06"/>
    <s v="SECTOR_24"/>
    <s v="PLANTA_2"/>
    <s v="PRENSA"/>
    <s v="UNIDAD HIDRAULICA"/>
    <s v="PLATO"/>
    <x v="16"/>
    <x v="0"/>
    <d v="2022-01-13T00:00:00"/>
    <x v="4"/>
    <x v="1"/>
    <n v="3"/>
    <d v="1899-12-30T10:30:00"/>
    <d v="1899-12-30T11:30:00"/>
    <n v="1"/>
    <n v="1"/>
    <n v="3"/>
    <x v="0"/>
  </r>
  <r>
    <x v="60"/>
    <n v="600003939009"/>
    <n v="1"/>
    <s v="E46"/>
    <s v="EQDENOM_46"/>
    <x v="45"/>
    <s v="WM06"/>
    <s v="SECTOR_46"/>
    <s v="PLANTA_2"/>
    <s v="PRENSA"/>
    <s v="INSTALACION ELECTRICA"/>
    <s v="PUERTA"/>
    <x v="55"/>
    <x v="0"/>
    <d v="2022-01-21T00:00:00"/>
    <x v="6"/>
    <x v="0"/>
    <n v="1"/>
    <d v="1899-12-30T14:00:00"/>
    <d v="1899-12-30T15:00:00"/>
    <n v="1"/>
    <n v="0"/>
    <n v="1"/>
    <x v="2"/>
  </r>
  <r>
    <x v="60"/>
    <n v="600003939215"/>
    <n v="1"/>
    <s v="E05"/>
    <s v="EQDENOM_05"/>
    <x v="4"/>
    <s v="WM01"/>
    <s v="SECTOR_05"/>
    <s v="PLANTA_1"/>
    <s v="SECADOR"/>
    <s v="INSTALACION ELECTRICA"/>
    <s v="CONEXIÓN"/>
    <x v="62"/>
    <x v="0"/>
    <d v="2022-01-17T00:00:00"/>
    <x v="6"/>
    <x v="0"/>
    <n v="2"/>
    <d v="1899-12-30T07:00:00"/>
    <d v="1899-12-30T09:00:00"/>
    <n v="2"/>
    <n v="2"/>
    <n v="4"/>
    <x v="0"/>
  </r>
  <r>
    <x v="60"/>
    <n v="600003939000"/>
    <n v="1"/>
    <s v="E15"/>
    <s v="EQDENOM_15"/>
    <x v="14"/>
    <s v="WM06"/>
    <s v="SECTOR_15"/>
    <s v="PLANTA_2"/>
    <s v="PRENSA"/>
    <s v="PLATINA"/>
    <s v="REGLA"/>
    <x v="55"/>
    <x v="0"/>
    <d v="2022-01-17T00:00:00"/>
    <x v="5"/>
    <x v="1"/>
    <n v="1"/>
    <d v="1899-12-30T07:00:00"/>
    <d v="1899-12-30T09:00:00"/>
    <n v="2"/>
    <n v="2"/>
    <n v="2"/>
    <x v="0"/>
  </r>
  <r>
    <x v="60"/>
    <n v="600003939006"/>
    <n v="1"/>
    <s v="E56"/>
    <s v="EQDENOM_47"/>
    <x v="55"/>
    <s v="WM06"/>
    <s v="SECTOR_56"/>
    <s v="PLANTA_2"/>
    <s v="CALDERA"/>
    <s v="ACCESORIOS"/>
    <s v="VAPOR"/>
    <x v="63"/>
    <x v="0"/>
    <d v="2022-01-17T00:00:00"/>
    <x v="5"/>
    <x v="1"/>
    <n v="1"/>
    <d v="1899-12-30T07:00:00"/>
    <d v="1899-12-30T08:00:00"/>
    <n v="1"/>
    <n v="1"/>
    <n v="1"/>
    <x v="0"/>
  </r>
  <r>
    <x v="61"/>
    <n v="600003940522"/>
    <n v="1"/>
    <s v="E58"/>
    <s v="EQDENOM_57"/>
    <x v="57"/>
    <s v="WM02"/>
    <s v="SECTOR_58"/>
    <s v="PLANTA_1"/>
    <s v="VUELCA TAMBOR"/>
    <s v="INSTALACION ELECTRICA"/>
    <s v="CONEXIÓN"/>
    <x v="62"/>
    <x v="0"/>
    <d v="2022-01-19T00:00:00"/>
    <x v="2"/>
    <x v="0"/>
    <n v="1"/>
    <d v="1899-12-30T12:30:00"/>
    <d v="1899-12-30T15:00:00"/>
    <n v="2.5"/>
    <n v="2.5"/>
    <n v="2.5"/>
    <x v="3"/>
  </r>
  <r>
    <x v="61"/>
    <n v="600003940523"/>
    <n v="1"/>
    <s v="E59"/>
    <s v="EQDENOM_58"/>
    <x v="58"/>
    <s v="WM08"/>
    <s v="SECTOR_59"/>
    <s v="PLANTA_1"/>
    <s v="VUELCA TAMBOR"/>
    <s v="INSTALACION ELECTRICA"/>
    <s v="CONEXIÓN"/>
    <x v="62"/>
    <x v="0"/>
    <d v="2022-01-19T00:00:00"/>
    <x v="2"/>
    <x v="0"/>
    <n v="1"/>
    <d v="1899-12-30T07:00:00"/>
    <d v="1899-12-30T10:30:00"/>
    <n v="3.5"/>
    <n v="3.5"/>
    <n v="3.5"/>
    <x v="3"/>
  </r>
  <r>
    <x v="61"/>
    <n v="600003940763"/>
    <n v="1"/>
    <s v="E19"/>
    <s v="EQDENOM_19"/>
    <x v="18"/>
    <s v="WM06"/>
    <s v="SECTOR_19"/>
    <s v="PLANTA_2"/>
    <s v="PRENSA"/>
    <s v="NUCLEO"/>
    <s v="MESA"/>
    <x v="64"/>
    <x v="0"/>
    <d v="2022-01-19T00:00:00"/>
    <x v="5"/>
    <x v="1"/>
    <n v="2"/>
    <d v="1899-12-30T15:30:00"/>
    <d v="1899-12-30T16:00:00"/>
    <n v="0.5"/>
    <n v="0.5"/>
    <n v="1"/>
    <x v="0"/>
  </r>
  <r>
    <x v="61"/>
    <n v="600003940399"/>
    <n v="1"/>
    <s v="E16"/>
    <s v="EQDENOM_16"/>
    <x v="15"/>
    <s v="WM07"/>
    <s v="SECTOR_16"/>
    <s v="PLANTA_2"/>
    <s v="CORTADORA"/>
    <s v="ACCESORIOS"/>
    <s v="CORTADORA"/>
    <x v="65"/>
    <x v="0"/>
    <d v="2022-01-19T00:00:00"/>
    <x v="7"/>
    <x v="1"/>
    <n v="3"/>
    <d v="1899-12-30T07:00:00"/>
    <d v="1899-12-30T09:30:00"/>
    <n v="2.5"/>
    <n v="2.5"/>
    <n v="7.5"/>
    <x v="3"/>
  </r>
  <r>
    <x v="61"/>
    <n v="600003940398"/>
    <n v="1"/>
    <s v="E24"/>
    <s v="EQDENOM_24"/>
    <x v="23"/>
    <s v="WM06"/>
    <s v="SECTOR_24"/>
    <s v="PLANTA_2"/>
    <s v="PRENSA"/>
    <s v="PLATO"/>
    <s v="PISTON"/>
    <x v="66"/>
    <x v="0"/>
    <d v="2022-01-19T00:00:00"/>
    <x v="5"/>
    <x v="1"/>
    <n v="3"/>
    <d v="1899-12-30T10:30:00"/>
    <d v="1899-12-30T14:30:00"/>
    <n v="4"/>
    <n v="4"/>
    <n v="12"/>
    <x v="3"/>
  </r>
  <r>
    <x v="62"/>
    <n v="600003941289"/>
    <n v="1"/>
    <s v="E19"/>
    <s v="EQDENOM_19"/>
    <x v="18"/>
    <s v="WM06"/>
    <s v="SECTOR_19"/>
    <s v="PLANTA_2"/>
    <s v="PRENSA"/>
    <s v="ACCESORIOS"/>
    <s v="VAPOR"/>
    <x v="8"/>
    <x v="0"/>
    <d v="2022-01-21T00:00:00"/>
    <x v="7"/>
    <x v="1"/>
    <n v="2"/>
    <d v="1899-12-30T09:30:00"/>
    <d v="1899-12-30T10:30:00"/>
    <n v="1"/>
    <n v="1"/>
    <n v="2"/>
    <x v="0"/>
  </r>
  <r>
    <x v="62"/>
    <n v="600003941290"/>
    <n v="1"/>
    <s v="E36"/>
    <s v="EQDENOM_36"/>
    <x v="35"/>
    <s v="WM06"/>
    <s v="SECTOR_36"/>
    <s v="PLANTA_2"/>
    <s v="PRENSA"/>
    <s v="ACCESORIOS"/>
    <s v="VAPOR"/>
    <x v="67"/>
    <x v="0"/>
    <d v="2022-02-21T00:00:00"/>
    <x v="7"/>
    <x v="1"/>
    <n v="2"/>
    <d v="1899-12-30T07:00:00"/>
    <d v="1899-12-30T08:00:00"/>
    <n v="1"/>
    <n v="1"/>
    <n v="2"/>
    <x v="0"/>
  </r>
  <r>
    <x v="63"/>
    <n v="600003941931"/>
    <n v="1"/>
    <s v="E05"/>
    <s v="EQDENOM_05"/>
    <x v="4"/>
    <s v="WM01"/>
    <s v="SECTOR_05"/>
    <s v="PLANTA_2"/>
    <s v="SECADOR"/>
    <s v="ATOMIZADOR"/>
    <s v="TANQUE"/>
    <x v="68"/>
    <x v="0"/>
    <d v="2022-01-21T00:00:00"/>
    <x v="8"/>
    <x v="1"/>
    <n v="1"/>
    <d v="1899-12-30T09:30:00"/>
    <d v="1899-12-30T11:00:00"/>
    <n v="1.5"/>
    <n v="1.5"/>
    <n v="1.5"/>
    <x v="0"/>
  </r>
  <r>
    <x v="63"/>
    <n v="600003942070"/>
    <n v="1"/>
    <s v="E42"/>
    <s v="EQDENOM_42"/>
    <x v="41"/>
    <s v="WM05"/>
    <s v="SECTOR_42"/>
    <s v="PLANTA_1"/>
    <s v="CARRO"/>
    <s v="INSTALACION ELECTRICA"/>
    <s v="CONEXIÓN"/>
    <x v="30"/>
    <x v="0"/>
    <d v="2022-01-21T00:00:00"/>
    <x v="2"/>
    <x v="0"/>
    <n v="1"/>
    <d v="1899-12-30T09:30:00"/>
    <d v="1899-12-30T12:30:00"/>
    <n v="3"/>
    <n v="3"/>
    <n v="3"/>
    <x v="3"/>
  </r>
  <r>
    <x v="63"/>
    <n v="600003941878"/>
    <n v="1"/>
    <s v="E08"/>
    <s v="EQDENOM_08"/>
    <x v="7"/>
    <s v="WM06"/>
    <s v="SECTOR_08"/>
    <s v="PLANTA_2"/>
    <s v="PRENSA"/>
    <s v="PLATO"/>
    <s v="PISTON"/>
    <x v="16"/>
    <x v="0"/>
    <d v="2022-01-21T00:00:00"/>
    <x v="5"/>
    <x v="1"/>
    <n v="3"/>
    <d v="1899-12-30T07:00:00"/>
    <d v="1899-12-30T08:30:00"/>
    <n v="1.5"/>
    <n v="1.5"/>
    <n v="4.5"/>
    <x v="0"/>
  </r>
  <r>
    <x v="64"/>
    <n v="600003945522"/>
    <n v="1"/>
    <s v="E05"/>
    <s v="EQDENOM_05"/>
    <x v="4"/>
    <s v="WM01"/>
    <s v="SECTOR_05"/>
    <s v="PLANTA_2"/>
    <s v="SECADOR"/>
    <s v="ATOMIZADOR"/>
    <s v="CAÑERIA"/>
    <x v="10"/>
    <x v="0"/>
    <d v="2022-01-25T00:00:00"/>
    <x v="8"/>
    <x v="1"/>
    <n v="2"/>
    <d v="1899-12-30T08:00:00"/>
    <d v="1899-12-30T10:00:00"/>
    <n v="2"/>
    <n v="2"/>
    <n v="4"/>
    <x v="0"/>
  </r>
  <r>
    <x v="65"/>
    <n v="600003946841"/>
    <n v="1"/>
    <s v="E23"/>
    <s v="EQDENOM_23"/>
    <x v="22"/>
    <s v="WM06"/>
    <s v="SECTOR_23"/>
    <s v="PLANTA_2"/>
    <s v="PRENSA"/>
    <s v="INSTALACION ELECTRICA"/>
    <s v="CONEXIÓN"/>
    <x v="69"/>
    <x v="0"/>
    <d v="2022-01-17T00:00:00"/>
    <x v="6"/>
    <x v="0"/>
    <n v="1"/>
    <d v="1899-12-30T09:00:00"/>
    <d v="1899-12-30T11:00:00"/>
    <n v="2"/>
    <n v="2"/>
    <n v="2"/>
    <x v="0"/>
  </r>
  <r>
    <x v="65"/>
    <n v="600003946705"/>
    <n v="1"/>
    <s v="E23"/>
    <s v="EQDENOM_23"/>
    <x v="22"/>
    <s v="WM06"/>
    <s v="SECTOR_23"/>
    <s v="PLANTA_2"/>
    <s v="PRENSA"/>
    <s v="INSTALACION ELECTRICA"/>
    <s v="CONEXIÓN"/>
    <x v="69"/>
    <x v="0"/>
    <d v="2022-01-27T00:00:00"/>
    <x v="6"/>
    <x v="0"/>
    <n v="1"/>
    <d v="1899-12-30T12:00:00"/>
    <d v="1899-12-30T14:00:00"/>
    <n v="2"/>
    <n v="2"/>
    <n v="2"/>
    <x v="0"/>
  </r>
  <r>
    <x v="65"/>
    <n v="600003946706"/>
    <n v="1"/>
    <s v="E26"/>
    <s v="EQDENOM_26"/>
    <x v="25"/>
    <s v="WM06"/>
    <s v="SECTOR_26"/>
    <s v="PLANTA_2"/>
    <s v="PRENSA"/>
    <s v="UNIDAD HIDRAULICA"/>
    <s v="MANIFOLD"/>
    <x v="70"/>
    <x v="0"/>
    <d v="2022-01-27T00:00:00"/>
    <x v="5"/>
    <x v="1"/>
    <n v="2"/>
    <d v="1899-12-30T07:00:00"/>
    <d v="1899-12-30T08:00:00"/>
    <n v="1"/>
    <n v="1"/>
    <n v="2"/>
    <x v="0"/>
  </r>
  <r>
    <x v="66"/>
    <n v="600003947310"/>
    <n v="1"/>
    <s v="E23"/>
    <s v="EQDENOM_23"/>
    <x v="22"/>
    <s v="WM06"/>
    <s v="SECTOR_23"/>
    <s v="PLANTA_2"/>
    <s v="PRENSA"/>
    <s v="CILINDRO"/>
    <s v="PLATO"/>
    <x v="50"/>
    <x v="0"/>
    <d v="2022-01-28T00:00:00"/>
    <x v="7"/>
    <x v="1"/>
    <n v="2"/>
    <d v="1899-12-30T14:00:00"/>
    <d v="1899-12-30T15:00:00"/>
    <n v="1"/>
    <n v="1"/>
    <n v="2"/>
    <x v="0"/>
  </r>
  <r>
    <x v="66"/>
    <n v="600003947407"/>
    <n v="1"/>
    <s v="E14"/>
    <s v="EQDENOM_14"/>
    <x v="13"/>
    <s v="WM01"/>
    <s v="SECTOR_14"/>
    <s v="PLANTA_1"/>
    <s v="REACTOR"/>
    <s v="SEGURIDAD "/>
    <s v="ESCALERA"/>
    <x v="71"/>
    <x v="0"/>
    <d v="2022-01-28T00:00:00"/>
    <x v="2"/>
    <x v="1"/>
    <n v="1"/>
    <d v="1899-12-30T09:30:00"/>
    <d v="1899-12-30T12:00:00"/>
    <n v="2.5"/>
    <n v="0"/>
    <n v="2.5"/>
    <x v="2"/>
  </r>
  <r>
    <x v="66"/>
    <n v="600003947568"/>
    <n v="1"/>
    <s v="E14"/>
    <s v="EQDENOM_14"/>
    <x v="13"/>
    <s v="WM01"/>
    <s v="SECTOR_14"/>
    <s v="PLANTA_1"/>
    <s v="REACTOR"/>
    <s v="INSTALACION ELECTRICA"/>
    <s v="TRANSMISION"/>
    <x v="37"/>
    <x v="0"/>
    <d v="2022-02-01T00:00:00"/>
    <x v="2"/>
    <x v="1"/>
    <n v="2"/>
    <d v="1899-12-30T06:00:00"/>
    <d v="1899-12-30T08:30:00"/>
    <n v="2.5"/>
    <n v="2.5"/>
    <n v="5"/>
    <x v="3"/>
  </r>
  <r>
    <x v="67"/>
    <n v="600003950406"/>
    <n v="1"/>
    <s v="E60"/>
    <s v="EQDENOM_59"/>
    <x v="59"/>
    <s v="WM08"/>
    <s v="SECTOR_60"/>
    <s v="PLANTA_1"/>
    <s v="FILTRO"/>
    <s v="FILTRO"/>
    <s v="CAÑERIA"/>
    <x v="35"/>
    <x v="0"/>
    <d v="2022-02-05T00:00:00"/>
    <x v="2"/>
    <x v="1"/>
    <n v="2"/>
    <d v="1899-12-30T10:00:00"/>
    <d v="1899-12-30T12:00:00"/>
    <n v="2"/>
    <n v="2"/>
    <n v="4"/>
    <x v="0"/>
  </r>
  <r>
    <x v="68"/>
    <n v="600003950997"/>
    <n v="1"/>
    <s v="E46"/>
    <s v="EQDENOM_46"/>
    <x v="45"/>
    <s v="WM06"/>
    <s v="SECTOR_46"/>
    <s v="PLANTA_2"/>
    <s v="PRENSA"/>
    <s v="CILINDRO"/>
    <s v="PISTON"/>
    <x v="16"/>
    <x v="0"/>
    <d v="2022-02-04T00:00:00"/>
    <x v="5"/>
    <x v="1"/>
    <n v="1"/>
    <d v="1899-12-30T07:00:00"/>
    <d v="1899-12-30T16:00:00"/>
    <n v="9"/>
    <n v="0"/>
    <n v="9"/>
    <x v="2"/>
  </r>
  <r>
    <x v="68"/>
    <n v="600003951014"/>
    <n v="1"/>
    <s v="E61"/>
    <s v="EQDENOM_60"/>
    <x v="60"/>
    <s v="WM07"/>
    <s v="SECTOR_61"/>
    <s v="PLANTA_2"/>
    <s v="TRANSFORMADOR"/>
    <s v="TRANFORMADOR"/>
    <s v="CONEXIÓN"/>
    <x v="72"/>
    <x v="0"/>
    <d v="2022-02-05T00:00:00"/>
    <x v="6"/>
    <x v="0"/>
    <n v="1"/>
    <d v="1899-12-30T07:00:00"/>
    <d v="1899-12-30T10:00:00"/>
    <n v="3"/>
    <n v="0"/>
    <n v="3"/>
    <x v="2"/>
  </r>
  <r>
    <x v="68"/>
    <n v="600003951195"/>
    <n v="1"/>
    <s v="E20"/>
    <s v="EQDENOM_20"/>
    <x v="19"/>
    <s v="WM01"/>
    <s v="SECTOR_20"/>
    <s v="PLANTA_1"/>
    <s v="REACTOR"/>
    <s v="TRANSMISION"/>
    <s v="EJE"/>
    <x v="73"/>
    <x v="0"/>
    <d v="2022-02-05T00:00:00"/>
    <x v="1"/>
    <x v="1"/>
    <n v="2"/>
    <d v="1899-12-30T06:00:00"/>
    <d v="1899-12-30T10:00:00"/>
    <n v="4"/>
    <n v="4"/>
    <n v="8"/>
    <x v="3"/>
  </r>
  <r>
    <x v="69"/>
    <n v="600003952023"/>
    <n v="1"/>
    <s v="E27"/>
    <s v="EQDENOM_27"/>
    <x v="26"/>
    <s v="WM08"/>
    <s v="SECTOR_27"/>
    <s v="PLANTA_1"/>
    <s v="AGITADOR"/>
    <s v="INSTALACION ELECTRICA"/>
    <s v="CONEXIÓN"/>
    <x v="72"/>
    <x v="0"/>
    <d v="2022-03-08T00:00:00"/>
    <x v="6"/>
    <x v="0"/>
    <n v="1"/>
    <d v="1899-12-30T09:30:00"/>
    <d v="1899-12-30T11:30:00"/>
    <n v="2"/>
    <n v="2"/>
    <n v="2"/>
    <x v="0"/>
  </r>
  <r>
    <x v="70"/>
    <n v="600003954095"/>
    <n v="1"/>
    <s v="E62"/>
    <s v="EQDENOM_61"/>
    <x v="61"/>
    <s v="WM01"/>
    <s v="SECTOR_62"/>
    <s v="PLANTA_1"/>
    <s v="EXTRACTOR"/>
    <s v="VAPOR"/>
    <s v="CABINA"/>
    <x v="14"/>
    <x v="0"/>
    <d v="2022-02-14T00:00:00"/>
    <x v="5"/>
    <x v="1"/>
    <n v="2"/>
    <d v="1899-12-30T09:30:00"/>
    <d v="1899-12-30T12:00:00"/>
    <n v="2.5"/>
    <n v="2.5"/>
    <n v="5"/>
    <x v="3"/>
  </r>
  <r>
    <x v="70"/>
    <n v="600003954097"/>
    <n v="1"/>
    <s v="E29"/>
    <s v="EQDENOM_29"/>
    <x v="28"/>
    <s v="WM02"/>
    <s v="SECTOR_29"/>
    <s v="PLANTA_1"/>
    <s v="BOMBA"/>
    <s v="SEGURIDAD "/>
    <s v="UNION DOBLE "/>
    <x v="74"/>
    <x v="1"/>
    <d v="2022-05-02T00:00:00"/>
    <x v="9"/>
    <x v="1"/>
    <n v="1"/>
    <d v="1899-12-30T07:00:00"/>
    <d v="1899-12-30T09:00:00"/>
    <n v="2"/>
    <n v="2"/>
    <n v="2"/>
    <x v="0"/>
  </r>
  <r>
    <x v="71"/>
    <n v="600003955239"/>
    <n v="1"/>
    <s v="E15"/>
    <s v="EQDENOM_15"/>
    <x v="14"/>
    <s v="WM06"/>
    <s v="SECTOR_15"/>
    <s v="PLANTA_2"/>
    <s v="PRENSA"/>
    <s v="UNIDAD HIDRAULICA"/>
    <s v="MESA"/>
    <x v="14"/>
    <x v="0"/>
    <d v="2022-02-14T00:00:00"/>
    <x v="7"/>
    <x v="1"/>
    <n v="2"/>
    <d v="1899-12-30T07:00:00"/>
    <d v="1899-12-30T09:00:00"/>
    <n v="2"/>
    <n v="2"/>
    <n v="4"/>
    <x v="0"/>
  </r>
  <r>
    <x v="71"/>
    <n v="600003955238"/>
    <n v="1"/>
    <s v="E25"/>
    <s v="EQDENOM_25"/>
    <x v="24"/>
    <s v="WM06"/>
    <s v="SECTOR_25"/>
    <s v="PLANTA_2"/>
    <s v="PRENSA"/>
    <s v="INSTALACION ELECTRICA"/>
    <s v="CONEXIÓN"/>
    <x v="31"/>
    <x v="0"/>
    <d v="2022-02-14T00:00:00"/>
    <x v="3"/>
    <x v="0"/>
    <n v="2"/>
    <d v="1899-12-30T07:00:00"/>
    <d v="1899-12-30T09:00:00"/>
    <n v="2"/>
    <n v="2"/>
    <n v="4"/>
    <x v="0"/>
  </r>
  <r>
    <x v="72"/>
    <n v="600003955794"/>
    <n v="1"/>
    <s v="E63"/>
    <s v="EQDENOM_62"/>
    <x v="62"/>
    <s v="WM06"/>
    <s v="SECTOR_63"/>
    <s v="PLANTA_2"/>
    <s v="HORNO"/>
    <s v="ACCESORIOS"/>
    <s v="PUERTA"/>
    <x v="34"/>
    <x v="0"/>
    <d v="2022-02-15T00:00:00"/>
    <x v="9"/>
    <x v="1"/>
    <n v="1"/>
    <d v="1899-12-30T09:30:00"/>
    <d v="1899-12-30T12:00:00"/>
    <n v="2.5"/>
    <n v="0"/>
    <n v="2.5"/>
    <x v="2"/>
  </r>
  <r>
    <x v="72"/>
    <n v="600003955799"/>
    <n v="1"/>
    <s v="E60"/>
    <s v="EQDENOM_59"/>
    <x v="59"/>
    <s v="WM08"/>
    <s v="SECTOR_60"/>
    <s v="PLANTA_1"/>
    <s v="FILTRO"/>
    <s v="DESCARGA"/>
    <s v="MANGA"/>
    <x v="75"/>
    <x v="0"/>
    <d v="2022-02-16T00:00:00"/>
    <x v="5"/>
    <x v="1"/>
    <n v="2"/>
    <d v="1899-12-30T07:00:00"/>
    <d v="1899-12-30T10:00:00"/>
    <n v="3"/>
    <n v="3"/>
    <n v="6"/>
    <x v="3"/>
  </r>
  <r>
    <x v="73"/>
    <n v="600003956199"/>
    <n v="1"/>
    <s v="E31"/>
    <s v="EQDENOM_31"/>
    <x v="30"/>
    <s v="WM06"/>
    <s v="SECTOR_31"/>
    <s v="PLANTA_2"/>
    <s v="PULIDORA"/>
    <s v="INSTALACION ELECTRICA"/>
    <s v="CONEXIÓN"/>
    <x v="72"/>
    <x v="0"/>
    <d v="2022-02-16T00:00:00"/>
    <x v="3"/>
    <x v="0"/>
    <n v="1"/>
    <d v="1899-12-30T08:00:00"/>
    <d v="1899-12-30T11:00:00"/>
    <n v="3"/>
    <n v="3"/>
    <n v="3"/>
    <x v="3"/>
  </r>
  <r>
    <x v="73"/>
    <n v="600003956193"/>
    <n v="1"/>
    <s v="E44"/>
    <s v="EQDENOM_44"/>
    <x v="43"/>
    <s v="WM06"/>
    <s v="SECTOR_44"/>
    <s v="PLANTA_2"/>
    <s v="CABINA DE PINTADO"/>
    <s v="ACCESORIOS"/>
    <s v="CABINA"/>
    <x v="76"/>
    <x v="0"/>
    <d v="2022-02-16T00:00:00"/>
    <x v="7"/>
    <x v="1"/>
    <n v="1"/>
    <d v="1899-12-30T07:00:00"/>
    <d v="1899-12-30T08:00:00"/>
    <n v="1"/>
    <n v="0"/>
    <n v="1"/>
    <x v="2"/>
  </r>
  <r>
    <x v="74"/>
    <n v="600003956972"/>
    <n v="1"/>
    <s v="E34"/>
    <s v="EQDENOM_34"/>
    <x v="33"/>
    <s v="WM06"/>
    <s v="SECTOR_34"/>
    <s v="PLANTA_2"/>
    <s v="TRANSPORT. PINTURA"/>
    <s v="ACCESORIOS"/>
    <s v="TRANSMISION"/>
    <x v="77"/>
    <x v="0"/>
    <d v="2022-02-18T00:00:00"/>
    <x v="3"/>
    <x v="1"/>
    <n v="2"/>
    <d v="1899-12-30T09:00:00"/>
    <d v="1899-12-30T10:30:00"/>
    <n v="1.5"/>
    <n v="1.5"/>
    <n v="3"/>
    <x v="0"/>
  </r>
  <r>
    <x v="75"/>
    <n v="600003957326"/>
    <n v="1"/>
    <s v="E31"/>
    <s v="EQDENOM_31"/>
    <x v="30"/>
    <s v="WM06"/>
    <s v="SECTOR_31"/>
    <s v="PLANTA_2"/>
    <s v="PULIDORA"/>
    <s v="ACCESORIOS"/>
    <s v="PLATO"/>
    <x v="72"/>
    <x v="0"/>
    <d v="2022-02-18T00:00:00"/>
    <x v="3"/>
    <x v="0"/>
    <n v="1"/>
    <d v="1899-12-30T12:00:00"/>
    <d v="1899-12-30T15:00:00"/>
    <n v="3"/>
    <n v="3"/>
    <n v="3"/>
    <x v="3"/>
  </r>
  <r>
    <x v="75"/>
    <n v="600003957325"/>
    <n v="1"/>
    <s v="E34"/>
    <s v="EQDENOM_34"/>
    <x v="33"/>
    <s v="WM06"/>
    <s v="SECTOR_34"/>
    <s v="PLANTA_2"/>
    <s v="TRANSPORT. PINTURA"/>
    <s v="ACCESORIOS"/>
    <s v="CORONA"/>
    <x v="55"/>
    <x v="0"/>
    <d v="2022-02-18T00:00:00"/>
    <x v="7"/>
    <x v="1"/>
    <n v="1"/>
    <d v="1899-12-30T06:30:00"/>
    <d v="1899-12-30T07:30:00"/>
    <n v="1"/>
    <n v="1"/>
    <n v="1"/>
    <x v="0"/>
  </r>
  <r>
    <x v="75"/>
    <n v="600003957479"/>
    <n v="1"/>
    <s v="E51"/>
    <s v="EQDENOM_51"/>
    <x v="50"/>
    <s v="WM06"/>
    <s v="SECTOR_51"/>
    <s v="PLANTA_2"/>
    <s v="PRENSA"/>
    <s v="CILINDRO"/>
    <s v="PISTON"/>
    <x v="50"/>
    <x v="0"/>
    <d v="2022-02-18T00:00:00"/>
    <x v="7"/>
    <x v="1"/>
    <n v="1"/>
    <d v="1899-12-30T09:30:00"/>
    <d v="1899-12-30T10:30:00"/>
    <n v="1"/>
    <n v="1"/>
    <n v="1"/>
    <x v="0"/>
  </r>
  <r>
    <x v="76"/>
    <n v="600003958801"/>
    <n v="1"/>
    <s v="E23"/>
    <s v="EQDENOM_23"/>
    <x v="22"/>
    <s v="WM06"/>
    <s v="SECTOR_23"/>
    <s v="PLANTA_2"/>
    <s v="PRENSA"/>
    <s v="INSTALACION ELECTRICA"/>
    <s v="CONEXIÓN"/>
    <x v="72"/>
    <x v="0"/>
    <d v="2022-02-21T00:00:00"/>
    <x v="3"/>
    <x v="0"/>
    <n v="2"/>
    <d v="1899-12-30T13:00:00"/>
    <d v="1899-12-30T14:00:00"/>
    <n v="1"/>
    <n v="1"/>
    <n v="2"/>
    <x v="0"/>
  </r>
  <r>
    <x v="76"/>
    <n v="600003958572"/>
    <n v="1"/>
    <s v="E64"/>
    <s v="EQDENOM_63"/>
    <x v="63"/>
    <s v="WM06"/>
    <s v="SECTOR_64"/>
    <s v="PLANTA_2"/>
    <s v="PRENSA"/>
    <s v="ACCESORIOS"/>
    <s v="VAPOR"/>
    <x v="8"/>
    <x v="0"/>
    <d v="2022-02-21T00:00:00"/>
    <x v="7"/>
    <x v="1"/>
    <n v="2"/>
    <d v="1899-12-30T08:00:00"/>
    <d v="1899-12-30T12:00:00"/>
    <n v="4"/>
    <n v="4"/>
    <n v="8"/>
    <x v="3"/>
  </r>
  <r>
    <x v="77"/>
    <n v="600003960819"/>
    <n v="1"/>
    <s v="E25"/>
    <s v="EQDENOM_25"/>
    <x v="24"/>
    <s v="WM06"/>
    <s v="SECTOR_25"/>
    <s v="PLANTA_2"/>
    <s v="PRENSA"/>
    <s v="COLUMNA DE NUCLEO"/>
    <s v="VAPOR"/>
    <x v="52"/>
    <x v="0"/>
    <d v="2022-02-22T00:00:00"/>
    <x v="7"/>
    <x v="1"/>
    <n v="1"/>
    <d v="1899-12-30T06:30:00"/>
    <d v="1899-12-30T07:30:00"/>
    <n v="1"/>
    <n v="1"/>
    <n v="1"/>
    <x v="0"/>
  </r>
  <r>
    <x v="77"/>
    <n v="600003960816"/>
    <n v="1"/>
    <s v="E48"/>
    <s v="EQDENOM_48"/>
    <x v="47"/>
    <s v="WM06"/>
    <s v="SECTOR_48"/>
    <s v="PLANTA_2"/>
    <s v="PRENSA"/>
    <s v="ACCESORIOS"/>
    <s v="VAPOR"/>
    <x v="63"/>
    <x v="0"/>
    <d v="2022-02-22T00:00:00"/>
    <x v="7"/>
    <x v="2"/>
    <n v="2"/>
    <d v="1899-12-30T10:00:00"/>
    <d v="1899-12-30T11:30:00"/>
    <n v="1.5"/>
    <n v="1.5"/>
    <n v="3"/>
    <x v="0"/>
  </r>
  <r>
    <x v="77"/>
    <n v="600003960825"/>
    <n v="1"/>
    <s v="E23"/>
    <s v="EQDENOM_23"/>
    <x v="22"/>
    <s v="WM06"/>
    <s v="SECTOR_23"/>
    <s v="PLANTA_2"/>
    <s v="PRENSA"/>
    <s v="INSTALACION ELECTRICA"/>
    <s v="TABLERO"/>
    <x v="78"/>
    <x v="0"/>
    <d v="2022-02-22T00:00:00"/>
    <x v="3"/>
    <x v="0"/>
    <n v="1"/>
    <d v="1899-12-30T13:00:00"/>
    <d v="1899-12-30T15:00:00"/>
    <n v="2"/>
    <n v="2"/>
    <n v="2"/>
    <x v="0"/>
  </r>
  <r>
    <x v="77"/>
    <n v="600003960995"/>
    <n v="1"/>
    <s v="E25"/>
    <s v="EQDENOM_25"/>
    <x v="24"/>
    <s v="WM06"/>
    <s v="SECTOR_25"/>
    <s v="PLANTA_2"/>
    <s v="PRENSA"/>
    <s v="SEGURIDAD "/>
    <s v="BASTIDOR"/>
    <x v="45"/>
    <x v="0"/>
    <d v="2022-02-22T00:00:00"/>
    <x v="3"/>
    <x v="1"/>
    <n v="3"/>
    <d v="1899-12-30T08:00:00"/>
    <d v="1899-12-30T11:30:00"/>
    <n v="3.5"/>
    <n v="3.5"/>
    <n v="10.5"/>
    <x v="3"/>
  </r>
  <r>
    <x v="77"/>
    <n v="600003960821"/>
    <n v="1"/>
    <s v="E13"/>
    <s v="EQDENOM_13"/>
    <x v="12"/>
    <s v="WM06"/>
    <s v="SECTOR_13"/>
    <s v="PLANTA_2"/>
    <s v="PRENSA"/>
    <s v="ACCESORIOS"/>
    <s v="PUERTA"/>
    <x v="34"/>
    <x v="0"/>
    <d v="2022-02-22T00:00:00"/>
    <x v="5"/>
    <x v="1"/>
    <n v="1"/>
    <d v="1899-12-30T13:00:00"/>
    <d v="1899-12-30T14:30:00"/>
    <n v="1.5"/>
    <n v="0"/>
    <n v="1.5"/>
    <x v="2"/>
  </r>
  <r>
    <x v="77"/>
    <n v="600003961002"/>
    <n v="1"/>
    <s v="E59"/>
    <s v="EQDENOM_58"/>
    <x v="58"/>
    <s v="WM08"/>
    <s v="SECTOR_59"/>
    <s v="PLANTA_1"/>
    <s v="VUELCA TAMBOR"/>
    <s v="INSTALACION ELECTRICA"/>
    <s v="CONEXIÓN"/>
    <x v="30"/>
    <x v="0"/>
    <d v="2022-02-22T00:00:00"/>
    <x v="1"/>
    <x v="0"/>
    <n v="1"/>
    <d v="1899-12-30T10:00:00"/>
    <d v="1899-12-30T16:00:00"/>
    <n v="6"/>
    <n v="6"/>
    <n v="6"/>
    <x v="3"/>
  </r>
  <r>
    <x v="78"/>
    <n v="600003961470"/>
    <n v="1"/>
    <s v="E11"/>
    <s v="EQDENOM_11"/>
    <x v="10"/>
    <s v="WM01"/>
    <s v="SECTOR_11"/>
    <s v="PLANTA_1"/>
    <s v="FILTRO"/>
    <s v="PERISFERICOS"/>
    <s v="TRANSMISION"/>
    <x v="13"/>
    <x v="0"/>
    <d v="2022-02-23T00:00:00"/>
    <x v="8"/>
    <x v="1"/>
    <n v="2"/>
    <d v="1899-12-30T08:00:00"/>
    <d v="1899-12-30T10:00:00"/>
    <n v="2"/>
    <n v="2"/>
    <n v="4"/>
    <x v="0"/>
  </r>
  <r>
    <x v="79"/>
    <n v="600003962124"/>
    <n v="1"/>
    <s v="E25"/>
    <s v="EQDENOM_25"/>
    <x v="24"/>
    <s v="WM06"/>
    <s v="SECTOR_25"/>
    <s v="PLANTA_2"/>
    <s v="PRENSA"/>
    <s v="INSTALACION ELECTRICA"/>
    <s v="CONEXIÓN"/>
    <x v="31"/>
    <x v="0"/>
    <d v="2022-02-25T00:00:00"/>
    <x v="3"/>
    <x v="0"/>
    <n v="2"/>
    <d v="1899-12-30T10:00:00"/>
    <d v="1899-12-30T11:00:00"/>
    <n v="1"/>
    <n v="1"/>
    <n v="2"/>
    <x v="0"/>
  </r>
  <r>
    <x v="79"/>
    <n v="600003962009"/>
    <n v="1"/>
    <s v="E30"/>
    <s v="EQDENOM_30"/>
    <x v="29"/>
    <s v="WM06"/>
    <s v="SECTOR_30"/>
    <s v="PLANTA_2"/>
    <s v="PRENSA"/>
    <s v="ACCESORIOS"/>
    <s v="MOLDE"/>
    <x v="8"/>
    <x v="0"/>
    <d v="2022-02-24T00:00:00"/>
    <x v="7"/>
    <x v="1"/>
    <n v="1"/>
    <d v="1899-12-30T15:30:00"/>
    <d v="1899-12-30T16:30:00"/>
    <n v="1"/>
    <n v="1"/>
    <n v="1"/>
    <x v="0"/>
  </r>
  <r>
    <x v="80"/>
    <n v="600003962601"/>
    <n v="1"/>
    <s v="E65"/>
    <s v="EQDENOM_64"/>
    <x v="64"/>
    <s v="WM02"/>
    <s v="SECTOR_65"/>
    <s v="PLANTA_1"/>
    <s v="DISPERSORA"/>
    <s v="INSTALACION ELECTRICA"/>
    <s v="TABLERO"/>
    <x v="69"/>
    <x v="0"/>
    <d v="2022-02-25T00:00:00"/>
    <x v="8"/>
    <x v="0"/>
    <n v="2"/>
    <d v="1899-12-30T09:00:00"/>
    <d v="1899-12-30T10:00:00"/>
    <n v="1"/>
    <n v="1"/>
    <n v="2"/>
    <x v="0"/>
  </r>
  <r>
    <x v="80"/>
    <n v="600003962453"/>
    <n v="1"/>
    <s v="E30"/>
    <s v="EQDENOM_30"/>
    <x v="29"/>
    <s v="WM06"/>
    <s v="SECTOR_30"/>
    <s v="PLANTA_2"/>
    <s v="PRENSA"/>
    <s v="ACCESORIOS"/>
    <s v="MOLDE"/>
    <x v="79"/>
    <x v="0"/>
    <d v="2022-02-25T00:00:00"/>
    <x v="7"/>
    <x v="1"/>
    <n v="2"/>
    <d v="1899-12-30T07:00:00"/>
    <d v="1899-12-30T08:00:00"/>
    <n v="1"/>
    <n v="1"/>
    <n v="2"/>
    <x v="0"/>
  </r>
  <r>
    <x v="80"/>
    <n v="600003962567"/>
    <n v="1"/>
    <s v="E31"/>
    <s v="EQDENOM_31"/>
    <x v="30"/>
    <s v="WM06"/>
    <s v="SECTOR_31"/>
    <s v="PLANTA_2"/>
    <s v="PULIDORA"/>
    <s v="ACCESORIOS"/>
    <s v="EJE"/>
    <x v="55"/>
    <x v="0"/>
    <d v="2022-02-25T00:00:00"/>
    <x v="3"/>
    <x v="1"/>
    <n v="1"/>
    <d v="1899-12-30T09:30:00"/>
    <d v="1899-12-30T11:00:00"/>
    <n v="1.5"/>
    <n v="1.5"/>
    <n v="1.5"/>
    <x v="0"/>
  </r>
  <r>
    <x v="80"/>
    <n v="600003962456"/>
    <n v="1"/>
    <s v="E24"/>
    <s v="EQDENOM_24"/>
    <x v="23"/>
    <s v="WM06"/>
    <s v="SECTOR_24"/>
    <s v="PLANTA_2"/>
    <s v="PRENSA"/>
    <s v="ACCESORIOS"/>
    <s v="MOLDE"/>
    <x v="79"/>
    <x v="0"/>
    <d v="2022-02-25T00:00:00"/>
    <x v="7"/>
    <x v="1"/>
    <n v="1"/>
    <d v="1899-12-30T07:00:00"/>
    <d v="1899-12-30T09:30:00"/>
    <n v="2.5"/>
    <n v="2.5"/>
    <n v="2.5"/>
    <x v="3"/>
  </r>
  <r>
    <x v="80"/>
    <n v="600003962451"/>
    <n v="1"/>
    <s v="E05"/>
    <s v="EQDENOM_05"/>
    <x v="4"/>
    <s v="WM01"/>
    <s v="SECTOR_05"/>
    <s v="PLANTA_1"/>
    <s v="SECADOR"/>
    <s v="CICLON"/>
    <s v="FILTRO"/>
    <x v="35"/>
    <x v="0"/>
    <d v="2022-02-24T00:00:00"/>
    <x v="8"/>
    <x v="1"/>
    <n v="2"/>
    <d v="1899-12-30T06:00:00"/>
    <d v="1899-12-30T11:00:00"/>
    <n v="5"/>
    <n v="0"/>
    <n v="10"/>
    <x v="2"/>
  </r>
  <r>
    <x v="81"/>
    <n v="600003964859"/>
    <n v="1"/>
    <s v="E20"/>
    <s v="EQDENOM_20"/>
    <x v="19"/>
    <s v="WM01"/>
    <s v="SECTOR_20"/>
    <s v="PLANTA_1"/>
    <s v="REACTOR"/>
    <s v="PERISFERICOS"/>
    <s v="CAÑERIA"/>
    <x v="22"/>
    <x v="0"/>
    <d v="2022-03-12T00:00:00"/>
    <x v="1"/>
    <x v="1"/>
    <n v="2"/>
    <d v="1899-12-30T06:00:00"/>
    <d v="1899-12-30T09:00:00"/>
    <n v="3"/>
    <n v="3"/>
    <n v="6"/>
    <x v="3"/>
  </r>
  <r>
    <x v="81"/>
    <n v="600003964963"/>
    <n v="1"/>
    <s v="E66"/>
    <s v="EQDENOM_65"/>
    <x v="65"/>
    <s v="WM06"/>
    <s v="SECTOR_66"/>
    <s v="PLANTA_2"/>
    <s v="HORNO"/>
    <s v="ACCESORIOS"/>
    <s v="PUERTA"/>
    <x v="34"/>
    <x v="0"/>
    <d v="2022-03-10T00:00:00"/>
    <x v="7"/>
    <x v="1"/>
    <n v="2"/>
    <d v="1899-12-30T07:00:00"/>
    <d v="1899-12-30T08:00:00"/>
    <n v="1"/>
    <n v="0"/>
    <n v="2"/>
    <x v="2"/>
  </r>
  <r>
    <x v="81"/>
    <n v="600003964962"/>
    <n v="1"/>
    <s v="E67"/>
    <s v="EQDENOM_66"/>
    <x v="66"/>
    <s v="WM06"/>
    <s v="SECTOR_67"/>
    <s v="PLANTA_2"/>
    <s v="PRENSA"/>
    <s v="INSTALACION ELECTRICA"/>
    <s v="CONEXIÓN"/>
    <x v="80"/>
    <x v="0"/>
    <d v="2022-03-02T00:00:00"/>
    <x v="3"/>
    <x v="0"/>
    <n v="1"/>
    <d v="1899-12-30T13:00:00"/>
    <d v="1899-12-30T14:30:00"/>
    <n v="1.5"/>
    <n v="0"/>
    <n v="1.5"/>
    <x v="2"/>
  </r>
  <r>
    <x v="81"/>
    <n v="600003964759"/>
    <n v="1"/>
    <s v="E67"/>
    <s v="EQDENOM_66"/>
    <x v="66"/>
    <s v="WM06"/>
    <s v="SECTOR_67"/>
    <s v="PLANTA_2"/>
    <s v="PRENSA"/>
    <s v="INSTALACION ELECTRICA"/>
    <s v="CONEXIÓN"/>
    <x v="80"/>
    <x v="0"/>
    <d v="2022-03-03T00:00:00"/>
    <x v="3"/>
    <x v="0"/>
    <n v="1"/>
    <d v="1899-12-30T12:00:00"/>
    <d v="1899-12-30T13:30:00"/>
    <n v="1.5"/>
    <n v="0"/>
    <n v="1.5"/>
    <x v="2"/>
  </r>
  <r>
    <x v="82"/>
    <n v="600003965460"/>
    <n v="1"/>
    <s v="E32"/>
    <s v="EQDENOM_32"/>
    <x v="31"/>
    <s v="WM09"/>
    <s v="SECTOR_32"/>
    <s v="PLANTA_2"/>
    <s v="BASCULA CAMIONERA"/>
    <s v="ACCESORIOS"/>
    <s v="PUERTA"/>
    <x v="81"/>
    <x v="0"/>
    <d v="2022-04-07T00:00:00"/>
    <x v="1"/>
    <x v="1"/>
    <n v="2"/>
    <d v="1899-12-30T13:00:00"/>
    <d v="1899-12-30T16:00:00"/>
    <n v="2"/>
    <n v="2"/>
    <n v="4"/>
    <x v="0"/>
  </r>
  <r>
    <x v="82"/>
    <n v="600003965221"/>
    <n v="1"/>
    <s v="E68"/>
    <s v="EQDENOM_42"/>
    <x v="67"/>
    <s v="WM05"/>
    <s v="SECTOR_68"/>
    <s v="PLANTA_1"/>
    <s v="CARRO"/>
    <s v="SEGURIDAD "/>
    <s v="CARRO"/>
    <x v="82"/>
    <x v="1"/>
    <d v="2022-03-03T00:00:00"/>
    <x v="2"/>
    <x v="1"/>
    <n v="2"/>
    <d v="1899-12-30T09:00:00"/>
    <d v="1899-12-30T11:00:00"/>
    <n v="2"/>
    <n v="2"/>
    <n v="4"/>
    <x v="0"/>
  </r>
  <r>
    <x v="83"/>
    <n v="600003967049"/>
    <n v="1"/>
    <s v="E46"/>
    <s v="EQDENOM_46"/>
    <x v="45"/>
    <s v="WM06"/>
    <s v="SECTOR_46"/>
    <s v="PLANTA_2"/>
    <s v="PRENSA"/>
    <s v="ACCESORIOS"/>
    <s v="VAPOR"/>
    <x v="10"/>
    <x v="0"/>
    <d v="2022-03-07T00:00:00"/>
    <x v="7"/>
    <x v="2"/>
    <n v="2"/>
    <d v="1899-12-30T14:30:00"/>
    <d v="1899-12-30T15:30:00"/>
    <n v="1"/>
    <n v="1"/>
    <n v="2"/>
    <x v="0"/>
  </r>
  <r>
    <x v="83"/>
    <n v="600003966752"/>
    <n v="1"/>
    <s v="E12"/>
    <s v="EQDENOM_12"/>
    <x v="11"/>
    <s v="WM06"/>
    <s v="SECTOR_12"/>
    <s v="PLANTA_2"/>
    <s v="PRENSA"/>
    <s v="ACCESORIOS"/>
    <s v="VAPOR"/>
    <x v="63"/>
    <x v="0"/>
    <d v="2022-03-07T00:00:00"/>
    <x v="5"/>
    <x v="1"/>
    <n v="2"/>
    <d v="1899-12-30T07:30:00"/>
    <d v="1899-12-30T09:00:00"/>
    <n v="1.5"/>
    <n v="1.5"/>
    <n v="3"/>
    <x v="0"/>
  </r>
  <r>
    <x v="83"/>
    <n v="600003966789"/>
    <n v="1"/>
    <s v="E31"/>
    <s v="EQDENOM_31"/>
    <x v="30"/>
    <s v="WM06"/>
    <s v="SECTOR_31"/>
    <s v="PLANTA_2"/>
    <s v="PULIDORA"/>
    <s v="UNIDAD NEUMATICA"/>
    <s v="PISTON"/>
    <x v="11"/>
    <x v="0"/>
    <d v="2022-03-07T00:00:00"/>
    <x v="7"/>
    <x v="1"/>
    <n v="1"/>
    <d v="1899-12-30T08:50:00"/>
    <d v="1899-12-30T09:50:00"/>
    <n v="1"/>
    <n v="1"/>
    <n v="1"/>
    <x v="0"/>
  </r>
  <r>
    <x v="83"/>
    <n v="600003966797"/>
    <n v="1"/>
    <s v="E31"/>
    <s v="EQDENOM_31"/>
    <x v="30"/>
    <s v="WM06"/>
    <s v="SECTOR_31"/>
    <s v="PLANTA_2"/>
    <s v="PULIDORA"/>
    <s v="ACCESORIOS"/>
    <s v="TRANSMISION"/>
    <x v="61"/>
    <x v="0"/>
    <d v="2022-03-07T00:00:00"/>
    <x v="7"/>
    <x v="1"/>
    <n v="2"/>
    <d v="1899-12-30T06:30:00"/>
    <d v="1899-12-30T07:30:00"/>
    <n v="1"/>
    <n v="1"/>
    <n v="2"/>
    <x v="0"/>
  </r>
  <r>
    <x v="83"/>
    <n v="600003966765"/>
    <n v="1"/>
    <s v="E19"/>
    <s v="EQDENOM_19"/>
    <x v="18"/>
    <s v="WM06"/>
    <s v="SECTOR_19"/>
    <s v="PLANTA_2"/>
    <s v="PRENSA"/>
    <s v="ACCESORIOS"/>
    <s v="MOLDE"/>
    <x v="79"/>
    <x v="0"/>
    <d v="2022-03-07T00:00:00"/>
    <x v="7"/>
    <x v="1"/>
    <n v="2"/>
    <d v="1899-12-30T07:40:00"/>
    <d v="1899-12-30T08:40:00"/>
    <n v="1"/>
    <n v="1"/>
    <n v="2"/>
    <x v="0"/>
  </r>
  <r>
    <x v="83"/>
    <n v="600003966758"/>
    <n v="1"/>
    <s v="E24"/>
    <s v="EQDENOM_24"/>
    <x v="23"/>
    <s v="WM06"/>
    <s v="SECTOR_24"/>
    <s v="PLANTA_2"/>
    <s v="PRENSA"/>
    <s v="INSTALACION ELECTRICA"/>
    <s v="TABLERO"/>
    <x v="83"/>
    <x v="0"/>
    <d v="2022-03-07T00:00:00"/>
    <x v="3"/>
    <x v="0"/>
    <n v="1"/>
    <d v="1899-12-30T09:00:00"/>
    <d v="1899-12-30T10:30:00"/>
    <n v="1.5"/>
    <n v="1.5"/>
    <n v="1.5"/>
    <x v="0"/>
  </r>
  <r>
    <x v="84"/>
    <n v="600003967545"/>
    <n v="1"/>
    <s v="E25"/>
    <s v="EQDENOM_25"/>
    <x v="24"/>
    <s v="WM06"/>
    <s v="SECTOR_25"/>
    <s v="PLANTA_2"/>
    <s v="PRENSA"/>
    <s v="ACCESORIOS"/>
    <s v="VAPOR"/>
    <x v="11"/>
    <x v="0"/>
    <d v="2022-03-08T00:00:00"/>
    <x v="7"/>
    <x v="1"/>
    <n v="2"/>
    <d v="1899-12-30T14:30:00"/>
    <d v="1899-12-30T15:30:00"/>
    <n v="1"/>
    <n v="1"/>
    <n v="2"/>
    <x v="0"/>
  </r>
  <r>
    <x v="84"/>
    <n v="600003967500"/>
    <n v="1"/>
    <s v="E36"/>
    <s v="EQDENOM_36"/>
    <x v="35"/>
    <s v="WM06"/>
    <s v="SECTOR_36"/>
    <s v="PLANTA_2"/>
    <s v="PRENSA"/>
    <s v="ACCESORIOS"/>
    <s v="VAPOR"/>
    <x v="8"/>
    <x v="0"/>
    <d v="2022-03-09T00:00:00"/>
    <x v="4"/>
    <x v="1"/>
    <n v="2"/>
    <d v="1899-12-30T10:00:00"/>
    <d v="1899-12-30T12:00:00"/>
    <n v="2"/>
    <n v="2"/>
    <n v="4"/>
    <x v="0"/>
  </r>
  <r>
    <x v="84"/>
    <n v="600003967386"/>
    <n v="1"/>
    <s v="E23"/>
    <s v="EQDENOM_23"/>
    <x v="22"/>
    <s v="WM06"/>
    <s v="SECTOR_23"/>
    <s v="PLANTA_2"/>
    <s v="PRENSA"/>
    <s v="ACCESORIOS"/>
    <s v="ESCALERA"/>
    <x v="48"/>
    <x v="0"/>
    <d v="2022-03-08T00:00:00"/>
    <x v="7"/>
    <x v="1"/>
    <n v="1"/>
    <d v="1899-12-30T09:30:00"/>
    <d v="1899-12-30T14:00:00"/>
    <n v="4.5"/>
    <n v="0"/>
    <n v="4.5"/>
    <x v="2"/>
  </r>
  <r>
    <x v="84"/>
    <n v="600003967473"/>
    <n v="1"/>
    <s v="E13"/>
    <s v="EQDENOM_13"/>
    <x v="12"/>
    <s v="WM06"/>
    <s v="SECTOR_13"/>
    <s v="PLANTA_2"/>
    <s v="PRENSA"/>
    <s v="ACCESORIOS"/>
    <s v="VAPOR"/>
    <x v="10"/>
    <x v="0"/>
    <d v="2022-03-08T00:00:00"/>
    <x v="5"/>
    <x v="2"/>
    <n v="2"/>
    <d v="1899-12-30T10:00:00"/>
    <d v="1899-12-30T12:30:00"/>
    <n v="2.5"/>
    <n v="2.5"/>
    <n v="5"/>
    <x v="3"/>
  </r>
  <r>
    <x v="85"/>
    <n v="600003967834"/>
    <n v="1"/>
    <s v="E25"/>
    <s v="EQDENOM_25"/>
    <x v="24"/>
    <s v="WM06"/>
    <s v="SECTOR_25"/>
    <s v="PLANTA_2"/>
    <s v="PRENSA"/>
    <s v="CILINDRO"/>
    <s v="PISTON"/>
    <x v="16"/>
    <x v="0"/>
    <d v="2022-03-09T00:00:00"/>
    <x v="5"/>
    <x v="1"/>
    <n v="2"/>
    <d v="1899-12-30T07:30:00"/>
    <d v="1899-12-30T11:00:00"/>
    <n v="3.5"/>
    <n v="3.5"/>
    <n v="7"/>
    <x v="3"/>
  </r>
  <r>
    <x v="85"/>
    <n v="600003968062"/>
    <n v="1"/>
    <s v="E15"/>
    <s v="EQDENOM_15"/>
    <x v="14"/>
    <s v="WM06"/>
    <s v="SECTOR_15"/>
    <s v="PLANTA_2"/>
    <s v="PRENSA"/>
    <s v="CILINDRO"/>
    <s v="PISTON"/>
    <x v="84"/>
    <x v="0"/>
    <d v="2022-03-09T00:00:00"/>
    <x v="5"/>
    <x v="1"/>
    <n v="3"/>
    <d v="1899-12-30T14:50:00"/>
    <d v="1899-12-30T15:50:00"/>
    <n v="1"/>
    <n v="1"/>
    <n v="3"/>
    <x v="0"/>
  </r>
  <r>
    <x v="85"/>
    <n v="600003968016"/>
    <n v="1"/>
    <s v="E69"/>
    <s v="EQDENOM_67"/>
    <x v="68"/>
    <s v="WM08"/>
    <s v="SECTOR_69"/>
    <s v="PLANTA_1"/>
    <s v="DISPERSORA"/>
    <s v="INSTALACION ELECTRICA"/>
    <s v="CONEXIÓN"/>
    <x v="31"/>
    <x v="0"/>
    <d v="2022-03-09T00:00:00"/>
    <x v="1"/>
    <x v="0"/>
    <n v="1"/>
    <d v="1899-12-30T13:00:00"/>
    <d v="1899-12-30T15:00:00"/>
    <n v="2"/>
    <n v="2"/>
    <n v="2"/>
    <x v="0"/>
  </r>
  <r>
    <x v="86"/>
    <n v="600003968400"/>
    <n v="1"/>
    <s v="E24"/>
    <s v="EQDENOM_24"/>
    <x v="23"/>
    <s v="WM06"/>
    <s v="SECTOR_24"/>
    <s v="PLANTA_2"/>
    <s v="PRENSA"/>
    <s v="INSTALACION ELECTRICA"/>
    <s v="MESA"/>
    <x v="31"/>
    <x v="0"/>
    <d v="2022-03-10T00:00:00"/>
    <x v="6"/>
    <x v="0"/>
    <n v="2"/>
    <d v="1899-12-30T09:00:00"/>
    <d v="1899-12-30T10:00:00"/>
    <n v="1"/>
    <n v="1"/>
    <n v="2"/>
    <x v="0"/>
  </r>
  <r>
    <x v="86"/>
    <n v="600003968462"/>
    <n v="1"/>
    <s v="E23"/>
    <s v="EQDENOM_23"/>
    <x v="22"/>
    <s v="WM06"/>
    <s v="SECTOR_23"/>
    <s v="PLANTA_2"/>
    <s v="PRENSA"/>
    <s v="ACCESORIOS"/>
    <s v="CAÑERIA"/>
    <x v="11"/>
    <x v="0"/>
    <d v="2022-03-10T00:00:00"/>
    <x v="7"/>
    <x v="2"/>
    <n v="5"/>
    <d v="1899-12-30T14:00:00"/>
    <d v="1899-12-30T15:00:00"/>
    <n v="1"/>
    <n v="1"/>
    <n v="2"/>
    <x v="0"/>
  </r>
  <r>
    <x v="86"/>
    <n v="600003968406"/>
    <n v="1"/>
    <s v="E27"/>
    <s v="EQDENOM_27"/>
    <x v="26"/>
    <s v="WM08"/>
    <s v="SECTOR_27"/>
    <s v="PLANTA_1"/>
    <s v="AGITADOR"/>
    <s v="INSTALACION ELECTRICA"/>
    <s v="CONEXIÓN"/>
    <x v="31"/>
    <x v="0"/>
    <d v="2022-03-10T00:00:00"/>
    <x v="6"/>
    <x v="0"/>
    <n v="1"/>
    <d v="1899-12-30T09:30:00"/>
    <d v="1899-12-30T10:30:00"/>
    <n v="1"/>
    <n v="1"/>
    <n v="1"/>
    <x v="0"/>
  </r>
  <r>
    <x v="86"/>
    <n v="600003968520"/>
    <n v="1"/>
    <s v="E46"/>
    <s v="EQDENOM_46"/>
    <x v="45"/>
    <s v="WM06"/>
    <s v="SECTOR_46"/>
    <s v="PLANTA_2"/>
    <s v="PRENSA"/>
    <s v="UNIDAD HIDRAULICA"/>
    <s v="MESA"/>
    <x v="85"/>
    <x v="0"/>
    <d v="2022-03-10T00:00:00"/>
    <x v="4"/>
    <x v="1"/>
    <n v="2"/>
    <d v="1899-12-30T14:30:00"/>
    <d v="1899-12-30T15:00:00"/>
    <n v="0.5"/>
    <n v="0.5"/>
    <n v="1"/>
    <x v="0"/>
  </r>
  <r>
    <x v="87"/>
    <n v="600003968775"/>
    <n v="1"/>
    <s v="E15"/>
    <s v="EQDENOM_15"/>
    <x v="14"/>
    <s v="WM06"/>
    <s v="SECTOR_15"/>
    <s v="PLANTA_2"/>
    <s v="PRENSA"/>
    <s v="INSTALACION ELECTRICA"/>
    <s v="MESA"/>
    <x v="31"/>
    <x v="0"/>
    <d v="2022-03-11T00:00:00"/>
    <x v="6"/>
    <x v="0"/>
    <n v="1"/>
    <d v="1899-12-30T09:30:00"/>
    <d v="1899-12-30T11:30:00"/>
    <n v="1"/>
    <n v="1"/>
    <n v="1"/>
    <x v="0"/>
  </r>
  <r>
    <x v="87"/>
    <n v="600003968944"/>
    <n v="1"/>
    <s v="E28"/>
    <s v="EQDENOM_28"/>
    <x v="27"/>
    <s v="WM05"/>
    <s v="SECTOR_28"/>
    <s v="PLANTA_2"/>
    <s v="AUTOELEVADOR"/>
    <s v="INSTALACION ELECTRICA"/>
    <s v="MOTOR"/>
    <x v="86"/>
    <x v="0"/>
    <d v="2022-03-11T00:00:00"/>
    <x v="1"/>
    <x v="0"/>
    <n v="1"/>
    <d v="1899-12-30T09:00:00"/>
    <d v="1899-12-30T11:00:00"/>
    <n v="2"/>
    <n v="2"/>
    <n v="2"/>
    <x v="0"/>
  </r>
  <r>
    <x v="87"/>
    <n v="600003968771"/>
    <n v="1"/>
    <s v="E23"/>
    <s v="EQDENOM_23"/>
    <x v="22"/>
    <s v="WM06"/>
    <s v="SECTOR_23"/>
    <s v="PLANTA_2"/>
    <s v="PRENSA"/>
    <s v="CILINDRO"/>
    <s v="PISTON"/>
    <x v="57"/>
    <x v="0"/>
    <d v="2022-03-11T00:00:00"/>
    <x v="7"/>
    <x v="1"/>
    <n v="2"/>
    <d v="1899-12-30T06:00:00"/>
    <d v="1899-12-30T07:00:00"/>
    <n v="1"/>
    <n v="1"/>
    <n v="2"/>
    <x v="0"/>
  </r>
  <r>
    <x v="87"/>
    <n v="600003968773"/>
    <n v="1"/>
    <s v="E15"/>
    <s v="EQDENOM_15"/>
    <x v="14"/>
    <s v="WM06"/>
    <s v="SECTOR_15"/>
    <s v="PLANTA_2"/>
    <s v="PRENSA"/>
    <s v="UNIDAD HIDRAULICA"/>
    <s v="MANOMETRO"/>
    <x v="52"/>
    <x v="0"/>
    <d v="2022-03-11T00:00:00"/>
    <x v="4"/>
    <x v="1"/>
    <n v="2"/>
    <d v="1899-12-30T09:00:00"/>
    <d v="1899-12-30T10:00:00"/>
    <n v="1"/>
    <n v="0"/>
    <n v="2"/>
    <x v="2"/>
  </r>
  <r>
    <x v="87"/>
    <n v="600003968840"/>
    <n v="1"/>
    <s v="E20"/>
    <s v="EQDENOM_20"/>
    <x v="19"/>
    <s v="WM01"/>
    <s v="SECTOR_20"/>
    <s v="PLANTA_1"/>
    <s v="REACTOR"/>
    <s v="ACCESORIOS"/>
    <s v="VAPOR"/>
    <x v="14"/>
    <x v="0"/>
    <d v="2022-03-11T00:00:00"/>
    <x v="1"/>
    <x v="1"/>
    <n v="1"/>
    <d v="1899-12-30T07:00:00"/>
    <d v="1899-12-30T09:00:00"/>
    <n v="2"/>
    <n v="2"/>
    <n v="2"/>
    <x v="0"/>
  </r>
  <r>
    <x v="88"/>
    <n v="600003969717"/>
    <n v="1"/>
    <s v="E12"/>
    <s v="EQDENOM_12"/>
    <x v="11"/>
    <s v="WM06"/>
    <s v="SECTOR_12"/>
    <s v="PLANTA_2"/>
    <s v="PRENSA"/>
    <s v="ACCESORIOS"/>
    <s v="VAPOR"/>
    <x v="8"/>
    <x v="0"/>
    <d v="2022-03-14T00:00:00"/>
    <x v="4"/>
    <x v="1"/>
    <n v="1"/>
    <d v="1899-12-30T14:30:00"/>
    <d v="1899-12-30T15:30:00"/>
    <n v="1"/>
    <n v="0"/>
    <n v="1"/>
    <x v="2"/>
  </r>
  <r>
    <x v="88"/>
    <n v="600003969778"/>
    <n v="1"/>
    <s v="E13"/>
    <s v="EQDENOM_13"/>
    <x v="12"/>
    <s v="WM06"/>
    <s v="SECTOR_13"/>
    <s v="PLANTA_2"/>
    <s v="PRENSA"/>
    <s v="INSTALACION ELECTRICA"/>
    <s v="MESA"/>
    <x v="31"/>
    <x v="0"/>
    <d v="2022-03-14T00:00:00"/>
    <x v="3"/>
    <x v="0"/>
    <n v="1"/>
    <d v="1899-12-30T13:00:00"/>
    <d v="1899-12-30T14:00:00"/>
    <n v="1"/>
    <n v="1"/>
    <n v="1"/>
    <x v="0"/>
  </r>
  <r>
    <x v="88"/>
    <n v="600003969603"/>
    <n v="1"/>
    <s v="E70"/>
    <s v="EQDENOM_68"/>
    <x v="69"/>
    <s v="WM05"/>
    <s v="SECTOR_70"/>
    <s v="PLANTA_1"/>
    <s v="AUTOELEVADOR"/>
    <s v="INSTALACION ELECTRICA"/>
    <s v="ALARMA"/>
    <x v="5"/>
    <x v="0"/>
    <d v="2022-03-14T00:00:00"/>
    <x v="1"/>
    <x v="0"/>
    <n v="1"/>
    <d v="1899-12-30T10:00:00"/>
    <d v="1899-12-30T12:00:00"/>
    <n v="2"/>
    <n v="2"/>
    <n v="2"/>
    <x v="0"/>
  </r>
  <r>
    <x v="88"/>
    <n v="600003969607"/>
    <n v="1"/>
    <s v="E12"/>
    <s v="EQDENOM_12"/>
    <x v="11"/>
    <s v="WM06"/>
    <s v="SECTOR_12"/>
    <s v="PLANTA_2"/>
    <s v="PRENSA"/>
    <s v="CILINDRO"/>
    <s v="PISTON"/>
    <x v="16"/>
    <x v="0"/>
    <d v="2022-03-14T00:00:00"/>
    <x v="4"/>
    <x v="1"/>
    <n v="3"/>
    <d v="1899-12-30T07:20:00"/>
    <d v="1899-12-30T08:30:00"/>
    <n v="1.1000000000000001"/>
    <n v="1.1000000000000001"/>
    <n v="3.3"/>
    <x v="0"/>
  </r>
  <r>
    <x v="88"/>
    <n v="600003969612"/>
    <n v="1"/>
    <s v="E34"/>
    <s v="EQDENOM_34"/>
    <x v="33"/>
    <s v="WM06"/>
    <s v="SECTOR_34"/>
    <s v="PLANTA_2"/>
    <s v="TRANSPORT. PINTURA"/>
    <s v="ACCESORIOS"/>
    <s v="CARRO"/>
    <x v="32"/>
    <x v="0"/>
    <d v="2022-03-14T00:00:00"/>
    <x v="5"/>
    <x v="1"/>
    <n v="2"/>
    <d v="1899-12-30T07:00:00"/>
    <d v="1899-12-30T09:00:00"/>
    <n v="2"/>
    <n v="2"/>
    <n v="4"/>
    <x v="0"/>
  </r>
  <r>
    <x v="88"/>
    <n v="600003969611"/>
    <n v="1"/>
    <s v="E13"/>
    <s v="EQDENOM_13"/>
    <x v="12"/>
    <s v="WM06"/>
    <s v="SECTOR_13"/>
    <s v="PLANTA_2"/>
    <s v="PRENSA"/>
    <s v="ACCESORIOS"/>
    <s v="VAPOR"/>
    <x v="11"/>
    <x v="0"/>
    <d v="2022-03-14T00:00:00"/>
    <x v="5"/>
    <x v="1"/>
    <n v="2"/>
    <d v="1899-12-30T10:00:00"/>
    <d v="1899-12-30T13:00:00"/>
    <n v="3"/>
    <n v="3"/>
    <n v="6"/>
    <x v="3"/>
  </r>
  <r>
    <x v="88"/>
    <n v="600003969609"/>
    <n v="1"/>
    <s v="E26"/>
    <s v="EQDENOM_26"/>
    <x v="25"/>
    <s v="WM06"/>
    <s v="SECTOR_26"/>
    <s v="PLANTA_2"/>
    <s v="PRENSA"/>
    <s v="MOLDE"/>
    <s v="MOLDE"/>
    <x v="21"/>
    <x v="0"/>
    <d v="2022-03-14T00:00:00"/>
    <x v="7"/>
    <x v="1"/>
    <n v="2"/>
    <d v="1899-12-30T07:00:00"/>
    <d v="1899-12-30T08:00:00"/>
    <n v="1"/>
    <n v="1"/>
    <n v="2"/>
    <x v="0"/>
  </r>
  <r>
    <x v="88"/>
    <n v="600003969715"/>
    <n v="1"/>
    <s v="E02"/>
    <s v="EQDENOM_02"/>
    <x v="1"/>
    <s v="WM02"/>
    <s v="SECTOR_02"/>
    <s v="PLANTA_1"/>
    <s v="MEZCLADORA"/>
    <s v="ACCESORIOS"/>
    <s v="CAÑERIA"/>
    <x v="11"/>
    <x v="0"/>
    <d v="2022-03-14T00:00:00"/>
    <x v="8"/>
    <x v="1"/>
    <n v="1"/>
    <d v="1899-12-30T10:30:00"/>
    <d v="1899-12-30T12:00:00"/>
    <n v="1.5"/>
    <n v="1.5"/>
    <n v="1.5"/>
    <x v="0"/>
  </r>
  <r>
    <x v="88"/>
    <n v="600003969664"/>
    <n v="1"/>
    <s v="E20"/>
    <s v="EQDENOM_20"/>
    <x v="19"/>
    <s v="WM01"/>
    <s v="SECTOR_20"/>
    <s v="PLANTA_1"/>
    <s v="REACTOR"/>
    <s v="TRANSMISION"/>
    <s v="MOTOR"/>
    <x v="56"/>
    <x v="0"/>
    <d v="2022-03-15T00:00:00"/>
    <x v="8"/>
    <x v="1"/>
    <n v="2"/>
    <d v="1899-12-30T07:00:00"/>
    <d v="1899-12-30T11:00:00"/>
    <n v="4"/>
    <n v="4"/>
    <n v="8"/>
    <x v="3"/>
  </r>
  <r>
    <x v="89"/>
    <n v="600003970115"/>
    <n v="1"/>
    <s v="E48"/>
    <s v="EQDENOM_48"/>
    <x v="47"/>
    <s v="WM06"/>
    <s v="SECTOR_48"/>
    <s v="PLANTA_1"/>
    <s v="PRENSA"/>
    <s v="INSTALACION ELECTRICA"/>
    <s v="MOLDE"/>
    <x v="87"/>
    <x v="0"/>
    <d v="2022-03-15T00:00:00"/>
    <x v="6"/>
    <x v="0"/>
    <n v="1"/>
    <d v="1899-12-30T07:30:00"/>
    <d v="1899-12-30T08:30:00"/>
    <n v="1"/>
    <n v="1"/>
    <n v="1"/>
    <x v="0"/>
  </r>
  <r>
    <x v="89"/>
    <n v="600003970111"/>
    <n v="1"/>
    <s v="E12"/>
    <s v="EQDENOM_12"/>
    <x v="11"/>
    <s v="WM06"/>
    <s v="SECTOR_12"/>
    <s v="PLANTA_2"/>
    <s v="PRENSA"/>
    <s v="UNIDAD HIDRAULICA"/>
    <s v="BOMBA"/>
    <x v="16"/>
    <x v="0"/>
    <d v="2022-03-15T00:00:00"/>
    <x v="7"/>
    <x v="1"/>
    <n v="3"/>
    <d v="1899-12-30T07:00:00"/>
    <d v="1899-12-30T09:30:00"/>
    <n v="2.5"/>
    <n v="2.5"/>
    <n v="7.5"/>
    <x v="3"/>
  </r>
  <r>
    <x v="89"/>
    <n v="600003970140"/>
    <n v="1"/>
    <s v="E65"/>
    <s v="EQDENOM_64"/>
    <x v="64"/>
    <s v="WM02"/>
    <s v="SECTOR_65"/>
    <s v="PLANTA_1"/>
    <s v="DISPERSORA"/>
    <s v="UNIDAD NEUMATICA"/>
    <s v="TANQUE"/>
    <x v="11"/>
    <x v="0"/>
    <d v="2022-03-17T00:00:00"/>
    <x v="1"/>
    <x v="1"/>
    <n v="1"/>
    <d v="1899-12-30T08:00:00"/>
    <d v="1899-12-30T14:00:00"/>
    <n v="6"/>
    <n v="6"/>
    <n v="6"/>
    <x v="3"/>
  </r>
  <r>
    <x v="90"/>
    <n v="600003970830"/>
    <n v="1"/>
    <s v="E13"/>
    <s v="EQDENOM_13"/>
    <x v="12"/>
    <s v="WM06"/>
    <s v="SECTOR_13"/>
    <s v="PLANTA_2"/>
    <s v="PRENSA"/>
    <s v="UNIDAD HIDRAULICA"/>
    <s v="PISTON"/>
    <x v="16"/>
    <x v="0"/>
    <d v="2022-03-16T00:00:00"/>
    <x v="7"/>
    <x v="1"/>
    <n v="2"/>
    <d v="1899-12-30T12:30:00"/>
    <d v="1899-12-30T13:30:00"/>
    <n v="1"/>
    <n v="1"/>
    <n v="2"/>
    <x v="0"/>
  </r>
  <r>
    <x v="91"/>
    <n v="600003971268"/>
    <n v="1"/>
    <s v="E16"/>
    <s v="EQDENOM_16"/>
    <x v="15"/>
    <s v="WM07"/>
    <s v="SECTOR_16"/>
    <s v="PLANTA_2"/>
    <s v="CORTADORA"/>
    <s v="ACCESORIOS"/>
    <s v="CONEXIÓN"/>
    <x v="23"/>
    <x v="0"/>
    <d v="2022-03-17T00:00:00"/>
    <x v="3"/>
    <x v="0"/>
    <n v="2"/>
    <d v="1899-12-30T07:30:00"/>
    <d v="1899-12-30T15:30:00"/>
    <n v="8"/>
    <n v="0"/>
    <n v="16"/>
    <x v="2"/>
  </r>
  <r>
    <x v="91"/>
    <n v="600003971157"/>
    <n v="1"/>
    <s v="E67"/>
    <s v="EQDENOM_66"/>
    <x v="66"/>
    <s v="WM06"/>
    <s v="SECTOR_67"/>
    <s v="PLANTA_2"/>
    <s v="PRENSA"/>
    <s v="UNIDAD HIDRAULICA"/>
    <s v="MOTOR"/>
    <x v="37"/>
    <x v="0"/>
    <d v="2022-03-17T00:00:00"/>
    <x v="7"/>
    <x v="1"/>
    <n v="3"/>
    <d v="1899-12-30T09:00:00"/>
    <d v="1899-12-30T11:00:00"/>
    <n v="2"/>
    <n v="2"/>
    <n v="6"/>
    <x v="0"/>
  </r>
  <r>
    <x v="92"/>
    <n v="600003971792"/>
    <n v="1"/>
    <s v="E16"/>
    <s v="EQDENOM_16"/>
    <x v="15"/>
    <s v="WM07"/>
    <s v="SECTOR_16"/>
    <s v="PLANTA_2"/>
    <s v="CORTADORA"/>
    <s v="ACCESORIOS"/>
    <s v="CARRO"/>
    <x v="77"/>
    <x v="0"/>
    <d v="2022-03-17T00:00:00"/>
    <x v="7"/>
    <x v="1"/>
    <n v="2"/>
    <d v="1899-12-30T14:00:00"/>
    <d v="1899-12-30T15:00:00"/>
    <n v="1"/>
    <n v="1"/>
    <n v="2"/>
    <x v="0"/>
  </r>
  <r>
    <x v="92"/>
    <n v="600003971622"/>
    <n v="1"/>
    <s v="E25"/>
    <s v="EQDENOM_25"/>
    <x v="24"/>
    <s v="WM06"/>
    <s v="SECTOR_25"/>
    <s v="PLANTA_2"/>
    <s v="PRENSA"/>
    <s v="UNIDAD HIDRAULICA"/>
    <s v="CILINDRO"/>
    <x v="64"/>
    <x v="0"/>
    <d v="2022-03-18T00:00:00"/>
    <x v="5"/>
    <x v="1"/>
    <n v="3"/>
    <d v="1899-12-30T07:00:00"/>
    <d v="1899-12-30T08:00:00"/>
    <n v="1"/>
    <n v="1"/>
    <n v="3"/>
    <x v="0"/>
  </r>
  <r>
    <x v="92"/>
    <n v="600003971733"/>
    <n v="1"/>
    <s v="E05"/>
    <s v="EQDENOM_05"/>
    <x v="4"/>
    <s v="WM01"/>
    <s v="SECTOR_05"/>
    <s v="PLANTA_1"/>
    <s v="SECADOR"/>
    <s v="ATOMIZADOR"/>
    <s v="TRANSMISION"/>
    <x v="56"/>
    <x v="0"/>
    <d v="2022-03-18T00:00:00"/>
    <x v="1"/>
    <x v="1"/>
    <n v="1"/>
    <d v="1899-12-30T07:00:00"/>
    <d v="1899-12-30T09:00:00"/>
    <n v="2"/>
    <n v="2"/>
    <n v="2"/>
    <x v="0"/>
  </r>
  <r>
    <x v="92"/>
    <n v="600003971794"/>
    <n v="1"/>
    <s v="E71"/>
    <s v="EQDENOM_69"/>
    <x v="70"/>
    <s v="WM08"/>
    <s v="SECTOR_71"/>
    <s v="PLANTA_1"/>
    <s v="ENVASADORA"/>
    <s v="ACCESORIOS"/>
    <s v="BALANZA"/>
    <x v="88"/>
    <x v="0"/>
    <d v="2022-04-20T00:00:00"/>
    <x v="0"/>
    <x v="1"/>
    <n v="1"/>
    <d v="1899-12-30T09:00:00"/>
    <d v="1899-12-30T12:30:00"/>
    <n v="3.5"/>
    <n v="3.5"/>
    <n v="3.5"/>
    <x v="3"/>
  </r>
  <r>
    <x v="93"/>
    <n v="600003972969"/>
    <n v="1"/>
    <s v="E25"/>
    <s v="EQDENOM_25"/>
    <x v="24"/>
    <s v="WM06"/>
    <s v="SECTOR_25"/>
    <s v="PLANTA_2"/>
    <s v="PRENSA"/>
    <s v="ACCESORIOS"/>
    <s v="CONEXIÓN"/>
    <x v="89"/>
    <x v="0"/>
    <d v="2022-03-22T00:00:00"/>
    <x v="6"/>
    <x v="0"/>
    <n v="2"/>
    <d v="1899-12-30T08:30:00"/>
    <d v="1899-12-30T10:00:00"/>
    <n v="1.5"/>
    <n v="1.5"/>
    <n v="3"/>
    <x v="0"/>
  </r>
  <r>
    <x v="93"/>
    <n v="600003972967"/>
    <n v="1"/>
    <s v="E48"/>
    <s v="EQDENOM_48"/>
    <x v="47"/>
    <s v="WM06"/>
    <s v="SECTOR_48"/>
    <s v="PLANTA_2"/>
    <s v="PRENSA"/>
    <s v="UNIDAD HIDRAULICA"/>
    <s v="NUCLEO"/>
    <x v="14"/>
    <x v="0"/>
    <d v="2022-03-21T00:00:00"/>
    <x v="7"/>
    <x v="1"/>
    <n v="2"/>
    <d v="1899-12-30T15:00:00"/>
    <d v="1899-12-30T16:00:00"/>
    <n v="1"/>
    <n v="1"/>
    <n v="2"/>
    <x v="0"/>
  </r>
  <r>
    <x v="93"/>
    <n v="600003972971"/>
    <n v="1"/>
    <s v="E05"/>
    <s v="EQDENOM_05"/>
    <x v="4"/>
    <s v="WM01"/>
    <s v="SECTOR_05"/>
    <s v="PLANTA_2"/>
    <s v="SECADOR"/>
    <s v="ATOMIZADOR"/>
    <s v="MARTILLOS"/>
    <x v="90"/>
    <x v="0"/>
    <d v="2022-03-22T00:00:00"/>
    <x v="5"/>
    <x v="1"/>
    <n v="2"/>
    <d v="1899-12-30T13:00:00"/>
    <d v="1899-12-30T16:00:00"/>
    <n v="3"/>
    <n v="3"/>
    <n v="6"/>
    <x v="3"/>
  </r>
  <r>
    <x v="94"/>
    <n v="600003973433"/>
    <n v="1"/>
    <s v="E34"/>
    <s v="EQDENOM_34"/>
    <x v="33"/>
    <s v="WM06"/>
    <s v="SECTOR_34"/>
    <s v="PLANTA_2"/>
    <s v="TRANSPORT. PINTURA"/>
    <s v="ACCESORIOS"/>
    <s v="GRIP"/>
    <x v="91"/>
    <x v="0"/>
    <d v="2022-03-22T00:00:00"/>
    <x v="5"/>
    <x v="1"/>
    <n v="3"/>
    <d v="1899-12-30T09:00:00"/>
    <d v="1899-12-30T10:30:00"/>
    <n v="1.5"/>
    <n v="1.5"/>
    <n v="4.5"/>
    <x v="0"/>
  </r>
  <r>
    <x v="94"/>
    <n v="600003973494"/>
    <n v="1"/>
    <s v="E20"/>
    <s v="EQDENOM_20"/>
    <x v="19"/>
    <s v="WM01"/>
    <s v="SECTOR_20"/>
    <s v="PLANTA_1"/>
    <s v="REACTOR"/>
    <s v="TRANSMISION"/>
    <s v="BOMBA"/>
    <x v="92"/>
    <x v="0"/>
    <d v="2022-03-22T00:00:00"/>
    <x v="8"/>
    <x v="1"/>
    <n v="2"/>
    <d v="1899-12-30T09:00:00"/>
    <d v="1899-12-30T11:00:00"/>
    <n v="2"/>
    <n v="2"/>
    <n v="4"/>
    <x v="0"/>
  </r>
  <r>
    <x v="95"/>
    <n v="600003976622"/>
    <n v="1"/>
    <s v="E30"/>
    <s v="EQDENOM_30"/>
    <x v="29"/>
    <s v="WM06"/>
    <s v="SECTOR_30"/>
    <s v="PLANTA_2"/>
    <s v="PRENSA"/>
    <s v="ACCESORIOS"/>
    <s v="VAPOR"/>
    <x v="93"/>
    <x v="0"/>
    <d v="2022-03-25T00:00:00"/>
    <x v="4"/>
    <x v="1"/>
    <n v="2"/>
    <d v="1899-12-30T10:30:00"/>
    <d v="1899-12-30T12:00:00"/>
    <n v="1.5"/>
    <n v="1.5"/>
    <n v="3"/>
    <x v="0"/>
  </r>
  <r>
    <x v="95"/>
    <n v="600003976626"/>
    <n v="1"/>
    <s v="E19"/>
    <s v="EQDENOM_19"/>
    <x v="18"/>
    <s v="WM06"/>
    <s v="SECTOR_19"/>
    <s v="PLANTA_2"/>
    <s v="PRENSA"/>
    <s v="MOLDE"/>
    <s v="PLATINA"/>
    <x v="39"/>
    <x v="0"/>
    <d v="2022-03-25T00:00:00"/>
    <x v="5"/>
    <x v="1"/>
    <n v="2"/>
    <d v="1899-12-30T09:30:00"/>
    <d v="1899-12-30T11:30:00"/>
    <n v="2"/>
    <n v="2"/>
    <n v="4"/>
    <x v="0"/>
  </r>
  <r>
    <x v="95"/>
    <n v="600003976624"/>
    <n v="1"/>
    <s v="E30"/>
    <s v="EQDENOM_30"/>
    <x v="29"/>
    <s v="WM06"/>
    <s v="SECTOR_30"/>
    <s v="PLANTA_2"/>
    <s v="PRENSA"/>
    <s v="CILINDRO"/>
    <s v="PLATO "/>
    <x v="94"/>
    <x v="0"/>
    <d v="2022-03-25T00:00:00"/>
    <x v="7"/>
    <x v="1"/>
    <n v="2"/>
    <d v="1899-12-30T06:00:00"/>
    <d v="1899-12-30T07:30:00"/>
    <n v="1.5"/>
    <n v="1.5"/>
    <n v="3"/>
    <x v="0"/>
  </r>
  <r>
    <x v="95"/>
    <n v="600003976621"/>
    <n v="1"/>
    <s v="E12"/>
    <s v="EQDENOM_12"/>
    <x v="11"/>
    <s v="WM06"/>
    <s v="SECTOR_12"/>
    <s v="PLANTA_2"/>
    <s v="PRENSA"/>
    <s v="MANIFOLD"/>
    <s v="PLATINA"/>
    <x v="11"/>
    <x v="0"/>
    <d v="2022-03-25T00:00:00"/>
    <x v="7"/>
    <x v="1"/>
    <n v="1"/>
    <d v="1899-12-30T07:00:00"/>
    <d v="1899-12-30T08:00:00"/>
    <n v="1"/>
    <n v="1"/>
    <n v="1"/>
    <x v="0"/>
  </r>
  <r>
    <x v="95"/>
    <n v="600003976629"/>
    <n v="1"/>
    <s v="E34"/>
    <s v="EQDENOM_34"/>
    <x v="33"/>
    <s v="WM06"/>
    <s v="SECTOR_34"/>
    <s v="PLANTA_2"/>
    <s v="TRANSPORT. PINTURA"/>
    <s v="NORIA"/>
    <s v="GRIP"/>
    <x v="95"/>
    <x v="0"/>
    <d v="2022-03-25T00:00:00"/>
    <x v="3"/>
    <x v="0"/>
    <n v="1"/>
    <d v="1899-12-30T12:00:00"/>
    <d v="1899-12-30T14:00:00"/>
    <n v="2"/>
    <n v="2"/>
    <n v="2"/>
    <x v="0"/>
  </r>
  <r>
    <x v="96"/>
    <n v="600003977943"/>
    <n v="1"/>
    <s v="E13"/>
    <s v="EQDENOM_13"/>
    <x v="12"/>
    <s v="WM06"/>
    <s v="SECTOR_13"/>
    <s v="PLANTA_2"/>
    <s v="PRENSA"/>
    <s v="TEMPERATURA"/>
    <s v="VAPOR"/>
    <x v="96"/>
    <x v="0"/>
    <d v="2022-03-28T00:00:00"/>
    <x v="7"/>
    <x v="1"/>
    <n v="1"/>
    <d v="1899-12-30T11:00:00"/>
    <d v="1899-12-30T11:30:00"/>
    <n v="1"/>
    <n v="1"/>
    <n v="1"/>
    <x v="0"/>
  </r>
  <r>
    <x v="96"/>
    <n v="600003977860"/>
    <n v="1"/>
    <s v="E12"/>
    <s v="EQDENOM_12"/>
    <x v="11"/>
    <s v="WM06"/>
    <s v="SECTOR_12"/>
    <s v="PLANTA_2"/>
    <s v="PRENSA"/>
    <s v="ACCESORIOS"/>
    <s v="VAPOR"/>
    <x v="11"/>
    <x v="0"/>
    <d v="2022-03-28T00:00:00"/>
    <x v="5"/>
    <x v="1"/>
    <n v="1"/>
    <d v="1899-12-30T13:00:00"/>
    <d v="1899-12-30T13:30:00"/>
    <n v="0.5"/>
    <n v="0.5"/>
    <n v="0.5"/>
    <x v="0"/>
  </r>
  <r>
    <x v="96"/>
    <n v="600003977936"/>
    <n v="1"/>
    <s v="E25"/>
    <s v="EQDENOM_25"/>
    <x v="24"/>
    <s v="WM06"/>
    <s v="SECTOR_25"/>
    <s v="PLANTA_2"/>
    <s v="PRENSA"/>
    <s v="SEGURIDAD "/>
    <s v="PLATAFORMA"/>
    <x v="48"/>
    <x v="0"/>
    <d v="2022-03-29T00:00:00"/>
    <x v="4"/>
    <x v="1"/>
    <n v="1"/>
    <d v="1899-12-30T13:00:00"/>
    <d v="1899-12-30T14:00:00"/>
    <n v="1"/>
    <n v="1"/>
    <n v="1"/>
    <x v="0"/>
  </r>
  <r>
    <x v="97"/>
    <n v="600003978348"/>
    <n v="1"/>
    <s v="E30"/>
    <s v="EQDENOM_30"/>
    <x v="29"/>
    <s v="WM06"/>
    <s v="SECTOR_30"/>
    <s v="PLANTA_2"/>
    <s v="PRENSA"/>
    <s v="CILINDRO"/>
    <s v="PLATO"/>
    <x v="14"/>
    <x v="0"/>
    <d v="2022-03-29T00:00:00"/>
    <x v="5"/>
    <x v="1"/>
    <n v="3"/>
    <d v="1899-12-30T09:00:00"/>
    <d v="1899-12-30T10:30:00"/>
    <n v="1.5"/>
    <n v="1.5"/>
    <n v="4.5"/>
    <x v="0"/>
  </r>
  <r>
    <x v="97"/>
    <n v="600003978347"/>
    <n v="1"/>
    <s v="E31"/>
    <s v="EQDENOM_31"/>
    <x v="30"/>
    <s v="WM06"/>
    <s v="SECTOR_31"/>
    <s v="PLANTA_2"/>
    <s v="PULIDORA"/>
    <s v="INSTALACION ELECTRICA"/>
    <s v="PLATOS "/>
    <x v="97"/>
    <x v="0"/>
    <d v="2022-03-29T00:00:00"/>
    <x v="6"/>
    <x v="0"/>
    <n v="1"/>
    <d v="1899-12-30T08:00:00"/>
    <d v="1899-12-30T09:00:00"/>
    <n v="1"/>
    <n v="1"/>
    <n v="1"/>
    <x v="0"/>
  </r>
  <r>
    <x v="98"/>
    <n v="600003991140"/>
    <n v="1"/>
    <s v="E34"/>
    <s v="EQDENOM_34"/>
    <x v="33"/>
    <s v="WM06"/>
    <s v="SECTOR_34"/>
    <s v="PLANTA_2"/>
    <s v="TRANSPORT. PINTURA"/>
    <s v="ACCESORIOS"/>
    <s v="NORIA"/>
    <x v="41"/>
    <x v="0"/>
    <d v="2022-03-30T00:00:00"/>
    <x v="5"/>
    <x v="1"/>
    <n v="3"/>
    <d v="1899-12-30T07:00:00"/>
    <d v="1899-12-30T08:00:00"/>
    <n v="1"/>
    <n v="1"/>
    <n v="3"/>
    <x v="0"/>
  </r>
  <r>
    <x v="98"/>
    <n v="600003991364"/>
    <n v="1"/>
    <s v="E32"/>
    <s v="EQDENOM_32"/>
    <x v="31"/>
    <s v="WM09"/>
    <s v="SECTOR_32"/>
    <s v="PLANTA_2"/>
    <s v="BASCULA CAMIONERA"/>
    <s v="ACCESORIOS"/>
    <s v="PORTON"/>
    <x v="98"/>
    <x v="0"/>
    <d v="2022-03-30T00:00:00"/>
    <x v="1"/>
    <x v="1"/>
    <n v="2"/>
    <d v="1899-12-30T07:00:00"/>
    <d v="1899-12-30T16:00:00"/>
    <n v="9"/>
    <n v="9"/>
    <n v="18"/>
    <x v="1"/>
  </r>
  <r>
    <x v="98"/>
    <n v="600003979311"/>
    <n v="1"/>
    <s v="E23"/>
    <s v="EQDENOM_23"/>
    <x v="22"/>
    <s v="WM06"/>
    <s v="SECTOR_23"/>
    <s v="PLANTA_2"/>
    <s v="PRENSA"/>
    <s v="UNIDAD HIDRAULICA"/>
    <s v="MANIFOLD"/>
    <x v="11"/>
    <x v="0"/>
    <d v="2022-03-30T00:00:00"/>
    <x v="6"/>
    <x v="1"/>
    <n v="2"/>
    <d v="1899-12-30T13:00:00"/>
    <d v="1899-12-30T14:00:00"/>
    <n v="1"/>
    <n v="1"/>
    <n v="2"/>
    <x v="0"/>
  </r>
  <r>
    <x v="99"/>
    <n v="600003992640"/>
    <n v="1"/>
    <s v="E13"/>
    <s v="EQDENOM_13"/>
    <x v="12"/>
    <s v="WM06"/>
    <s v="SECTOR_13"/>
    <s v="PLANTA_2"/>
    <s v="PRENSA"/>
    <s v="TRANSMISION"/>
    <s v="VACIO "/>
    <x v="99"/>
    <x v="0"/>
    <d v="2022-03-31T00:00:00"/>
    <x v="7"/>
    <x v="1"/>
    <n v="2"/>
    <d v="1899-12-30T07:00:00"/>
    <d v="1899-12-30T09:00:00"/>
    <n v="2"/>
    <n v="2"/>
    <n v="4"/>
    <x v="0"/>
  </r>
  <r>
    <x v="99"/>
    <n v="600003991650"/>
    <n v="1"/>
    <s v="E72"/>
    <s v="EQDENOM_70"/>
    <x v="71"/>
    <s v="WM08"/>
    <s v="SECTOR_72"/>
    <s v="PLANTA_1"/>
    <s v="BOMBA"/>
    <s v="ACCESORIOS"/>
    <s v="BOMBA"/>
    <x v="28"/>
    <x v="0"/>
    <d v="2022-04-14T00:00:00"/>
    <x v="8"/>
    <x v="1"/>
    <n v="2"/>
    <d v="1899-12-30T09:00:00"/>
    <d v="1899-12-30T11:30:00"/>
    <n v="2.5"/>
    <n v="2.5"/>
    <n v="5"/>
    <x v="3"/>
  </r>
  <r>
    <x v="100"/>
    <n v="600003993314"/>
    <n v="1"/>
    <s v="E26"/>
    <s v="EQDENOM_26"/>
    <x v="25"/>
    <s v="WM06"/>
    <s v="SECTOR_26"/>
    <s v="PLANTA_2"/>
    <s v="PRENSA"/>
    <s v="UNIDAD HIDRAULICA"/>
    <s v="NUCLEO"/>
    <x v="14"/>
    <x v="0"/>
    <d v="2022-04-01T00:00:00"/>
    <x v="5"/>
    <x v="1"/>
    <n v="2"/>
    <d v="1899-12-30T12:30:00"/>
    <d v="1899-12-30T13:30:00"/>
    <n v="1"/>
    <n v="1"/>
    <n v="2"/>
    <x v="0"/>
  </r>
  <r>
    <x v="100"/>
    <n v="600003993306"/>
    <n v="1"/>
    <s v="E04"/>
    <s v="EQDENOM_04"/>
    <x v="3"/>
    <s v="WM03"/>
    <s v="SECTOR_04"/>
    <s v="PLANTA_1"/>
    <s v="AUTOELEVADOR"/>
    <s v="CIRCUITO DE COMBUSTIBLE"/>
    <s v="PURGA DE FILTRO DE COMBUSTIBLE"/>
    <x v="100"/>
    <x v="0"/>
    <d v="2022-04-01T00:00:00"/>
    <x v="1"/>
    <x v="1"/>
    <n v="1"/>
    <d v="1899-12-30T09:00:00"/>
    <d v="1899-12-30T11:00:00"/>
    <n v="2"/>
    <n v="2"/>
    <n v="2"/>
    <x v="0"/>
  </r>
  <r>
    <x v="100"/>
    <n v="600003993219"/>
    <n v="1"/>
    <s v="E25"/>
    <s v="EQDENOM_25"/>
    <x v="24"/>
    <s v="WM06"/>
    <s v="SECTOR_25"/>
    <s v="PLANTA_2"/>
    <s v="PRENSA"/>
    <s v="BRIDA"/>
    <s v="NUCLEO"/>
    <x v="50"/>
    <x v="0"/>
    <d v="2022-04-01T00:00:00"/>
    <x v="7"/>
    <x v="1"/>
    <n v="2"/>
    <d v="1899-12-30T07:00:00"/>
    <d v="1899-12-30T08:30:00"/>
    <n v="1.5"/>
    <n v="1.5"/>
    <n v="3"/>
    <x v="0"/>
  </r>
  <r>
    <x v="100"/>
    <n v="600003993308"/>
    <n v="1"/>
    <s v="E34"/>
    <s v="EQDENOM_34"/>
    <x v="33"/>
    <s v="WM06"/>
    <s v="SECTOR_34"/>
    <s v="PLANTA_2"/>
    <s v="TRANSPORT. PINTURA"/>
    <s v="NORIA"/>
    <s v="EJE"/>
    <x v="50"/>
    <x v="0"/>
    <d v="2022-04-01T00:00:00"/>
    <x v="4"/>
    <x v="1"/>
    <n v="2"/>
    <d v="1899-12-30T14:00:00"/>
    <d v="1899-12-30T15:00:00"/>
    <n v="1"/>
    <n v="1"/>
    <n v="2"/>
    <x v="0"/>
  </r>
  <r>
    <x v="100"/>
    <n v="600003993346"/>
    <n v="1"/>
    <s v="E11"/>
    <s v="EQDENOM_11"/>
    <x v="10"/>
    <s v="WM01"/>
    <s v="SECTOR_11"/>
    <s v="PLANTA_1"/>
    <s v="FILTRO"/>
    <s v="PERISFERICOS"/>
    <s v="TRANSMISION"/>
    <x v="13"/>
    <x v="0"/>
    <d v="2022-04-04T00:00:00"/>
    <x v="1"/>
    <x v="1"/>
    <n v="1"/>
    <d v="1899-12-30T13:00:00"/>
    <d v="1899-12-30T16:00:00"/>
    <n v="3"/>
    <n v="3"/>
    <n v="3"/>
    <x v="3"/>
  </r>
  <r>
    <x v="100"/>
    <n v="600003993363"/>
    <n v="1"/>
    <s v="E20"/>
    <s v="EQDENOM_20"/>
    <x v="19"/>
    <s v="WM01"/>
    <s v="SECTOR_20"/>
    <s v="PLANTA_1"/>
    <s v="REACTOR"/>
    <s v="ACCESORIOS"/>
    <s v="CAÑERIA"/>
    <x v="14"/>
    <x v="0"/>
    <d v="2022-04-04T00:00:00"/>
    <x v="1"/>
    <x v="1"/>
    <n v="1"/>
    <d v="1899-12-30T10:00:00"/>
    <d v="1899-12-30T12:00:00"/>
    <n v="2"/>
    <n v="2"/>
    <n v="2"/>
    <x v="0"/>
  </r>
  <r>
    <x v="100"/>
    <n v="600003993358"/>
    <n v="1"/>
    <s v="E14"/>
    <s v="EQDENOM_14"/>
    <x v="13"/>
    <s v="WM01"/>
    <s v="SECTOR_14"/>
    <s v="PLANTA_1"/>
    <s v="REACTOR"/>
    <s v="TRANSMISION"/>
    <s v="EJE"/>
    <x v="13"/>
    <x v="1"/>
    <d v="2022-04-29T00:00:00"/>
    <x v="2"/>
    <x v="1"/>
    <n v="5"/>
    <d v="1899-12-30T06:00:00"/>
    <d v="1899-12-30T16:00:00"/>
    <n v="9"/>
    <n v="9"/>
    <n v="45"/>
    <x v="1"/>
  </r>
  <r>
    <x v="101"/>
    <n v="600003994250"/>
    <n v="1"/>
    <s v="E16"/>
    <s v="EQDENOM_16"/>
    <x v="15"/>
    <s v="WM07"/>
    <s v="SECTOR_16"/>
    <s v="PLANTA_2"/>
    <s v="CORTADORA"/>
    <s v="TRANSMISION"/>
    <s v="CINTA"/>
    <x v="40"/>
    <x v="0"/>
    <d v="2022-04-06T00:00:00"/>
    <x v="5"/>
    <x v="1"/>
    <n v="3"/>
    <d v="1899-12-30T13:00:00"/>
    <d v="1899-12-30T14:00:00"/>
    <n v="1"/>
    <n v="1"/>
    <n v="3"/>
    <x v="0"/>
  </r>
  <r>
    <x v="101"/>
    <n v="600003994164"/>
    <n v="1"/>
    <s v="E25"/>
    <s v="EQDENOM_25"/>
    <x v="24"/>
    <s v="WM06"/>
    <s v="SECTOR_25"/>
    <s v="PLANTA_2"/>
    <s v="PRENSA"/>
    <s v="UNIDAD NEUMATICA"/>
    <s v="NUCLEO"/>
    <x v="101"/>
    <x v="0"/>
    <d v="2022-04-04T00:00:00"/>
    <x v="5"/>
    <x v="1"/>
    <n v="2"/>
    <d v="1899-12-30T14:00:00"/>
    <d v="1899-12-30T16:00:00"/>
    <n v="2"/>
    <n v="2"/>
    <n v="4"/>
    <x v="0"/>
  </r>
  <r>
    <x v="101"/>
    <n v="600003994097"/>
    <n v="1"/>
    <s v="E16"/>
    <s v="EQDENOM_16"/>
    <x v="15"/>
    <s v="WM07"/>
    <s v="SECTOR_16"/>
    <s v="PLANTA_2"/>
    <s v="CORTADORA"/>
    <s v="CALEFACCION"/>
    <s v="TCU"/>
    <x v="14"/>
    <x v="0"/>
    <d v="2022-04-04T00:00:00"/>
    <x v="5"/>
    <x v="1"/>
    <n v="2"/>
    <d v="1899-12-30T07:00:00"/>
    <d v="1899-12-30T08:00:00"/>
    <n v="1"/>
    <n v="1"/>
    <n v="2"/>
    <x v="0"/>
  </r>
  <r>
    <x v="101"/>
    <n v="600003994098"/>
    <n v="1"/>
    <s v="E47"/>
    <s v="EQDENOM_47"/>
    <x v="46"/>
    <s v="WM06"/>
    <s v="SECTOR_47"/>
    <s v="PLANTA_2"/>
    <s v="CALDERA"/>
    <s v="INSTALACION ELECTRICA"/>
    <s v="CONEXIÓN"/>
    <x v="102"/>
    <x v="0"/>
    <d v="2022-04-04T00:00:00"/>
    <x v="3"/>
    <x v="0"/>
    <n v="1"/>
    <d v="1899-12-30T07:00:00"/>
    <d v="1899-12-30T08:00:00"/>
    <n v="1"/>
    <n v="1"/>
    <n v="1"/>
    <x v="0"/>
  </r>
  <r>
    <x v="101"/>
    <n v="600003994243"/>
    <n v="1"/>
    <s v="E73"/>
    <s v="EQDENOM_71"/>
    <x v="72"/>
    <s v="WM08"/>
    <s v="SECTOR_73"/>
    <s v="PLANTA_1"/>
    <s v="DISPERSORA"/>
    <s v="INSTALACION ELECTRICA"/>
    <s v="TABLERO"/>
    <x v="78"/>
    <x v="0"/>
    <d v="2022-04-04T00:00:00"/>
    <x v="6"/>
    <x v="0"/>
    <n v="1"/>
    <d v="1899-12-30T10:30:00"/>
    <d v="1899-12-30T11:30:00"/>
    <n v="1"/>
    <n v="1"/>
    <n v="1"/>
    <x v="0"/>
  </r>
  <r>
    <x v="102"/>
    <n v="600003994671"/>
    <n v="1"/>
    <s v="E50"/>
    <s v="EQDENOM_50"/>
    <x v="49"/>
    <s v="WM06"/>
    <s v="SECTOR_50"/>
    <s v="PLANTA_2"/>
    <s v="PRENSA"/>
    <s v="ACCESORIOS"/>
    <s v="CILINDRO"/>
    <x v="103"/>
    <x v="0"/>
    <d v="2022-04-05T00:00:00"/>
    <x v="5"/>
    <x v="1"/>
    <n v="2"/>
    <d v="1899-12-30T09:30:00"/>
    <d v="1899-12-30T11:00:00"/>
    <n v="1.5"/>
    <n v="1.5"/>
    <n v="3"/>
    <x v="0"/>
  </r>
  <r>
    <x v="102"/>
    <n v="600003994543"/>
    <n v="1"/>
    <s v="E71"/>
    <s v="EQDENOM_69"/>
    <x v="70"/>
    <s v="WM08"/>
    <s v="SECTOR_71"/>
    <s v="PLANTA_1"/>
    <s v="ENVASADORA"/>
    <s v="TUBO"/>
    <s v="CILINDRO"/>
    <x v="84"/>
    <x v="0"/>
    <d v="2022-04-05T00:00:00"/>
    <x v="8"/>
    <x v="1"/>
    <n v="2"/>
    <d v="1899-12-30T07:00:00"/>
    <d v="1899-12-30T09:00:00"/>
    <n v="2"/>
    <n v="2"/>
    <n v="4"/>
    <x v="0"/>
  </r>
  <r>
    <x v="103"/>
    <n v="600003995339"/>
    <n v="1"/>
    <s v="E74"/>
    <s v="EQDENOM_72"/>
    <x v="73"/>
    <s v="WM03"/>
    <s v="SECTOR_74"/>
    <s v="PLANTA_1"/>
    <s v="AUTOELEVADOR"/>
    <s v="TRANSMISION"/>
    <s v="MOTOR"/>
    <x v="3"/>
    <x v="0"/>
    <d v="2022-04-06T00:00:00"/>
    <x v="1"/>
    <x v="1"/>
    <n v="1"/>
    <d v="1899-12-30T13:00:00"/>
    <d v="1899-12-30T16:00:00"/>
    <n v="3"/>
    <n v="3"/>
    <n v="3"/>
    <x v="3"/>
  </r>
  <r>
    <x v="103"/>
    <n v="600003995149"/>
    <n v="1"/>
    <s v="E12"/>
    <s v="EQDENOM_12"/>
    <x v="11"/>
    <s v="WM06"/>
    <s v="SECTOR_12"/>
    <s v="PLANTA_2"/>
    <s v="PRENSA"/>
    <s v="UNIDAD NEUMATICA"/>
    <s v="CAÑERIA"/>
    <x v="32"/>
    <x v="0"/>
    <d v="2022-04-06T00:00:00"/>
    <x v="4"/>
    <x v="1"/>
    <n v="1"/>
    <d v="1899-12-30T06:00:00"/>
    <d v="1899-12-30T07:30:00"/>
    <n v="1"/>
    <n v="1"/>
    <n v="1"/>
    <x v="0"/>
  </r>
  <r>
    <x v="103"/>
    <n v="600003995341"/>
    <n v="1"/>
    <s v="E15"/>
    <s v="EQDENOM_15"/>
    <x v="14"/>
    <s v="WM06"/>
    <s v="SECTOR_15"/>
    <s v="PLANTA_2"/>
    <s v="PRENSA"/>
    <s v="INSTALACION ELECTRICA"/>
    <s v="CONEXIÓN"/>
    <x v="104"/>
    <x v="0"/>
    <d v="2022-04-06T00:00:00"/>
    <x v="6"/>
    <x v="0"/>
    <n v="2"/>
    <d v="1899-12-30T14:00:00"/>
    <d v="1899-12-30T15:00:00"/>
    <n v="1"/>
    <n v="1"/>
    <n v="2"/>
    <x v="0"/>
  </r>
  <r>
    <x v="104"/>
    <n v="600003999591"/>
    <n v="1"/>
    <s v="E24"/>
    <s v="EQDENOM_24"/>
    <x v="23"/>
    <s v="WM06"/>
    <s v="SECTOR_24"/>
    <s v="PLANTA_2"/>
    <s v="PRENSA"/>
    <s v="UNIDAD HIDRAULICA"/>
    <s v="PISTON DE PLATO"/>
    <x v="14"/>
    <x v="0"/>
    <d v="2022-04-07T00:00:00"/>
    <x v="5"/>
    <x v="1"/>
    <n v="2"/>
    <d v="1899-12-30T09:00:00"/>
    <d v="1899-12-30T11:00:00"/>
    <n v="2"/>
    <n v="2"/>
    <n v="4"/>
    <x v="0"/>
  </r>
  <r>
    <x v="104"/>
    <n v="60000395726"/>
    <n v="1"/>
    <s v="E05"/>
    <s v="EQDENOM_05"/>
    <x v="4"/>
    <s v="WM01"/>
    <s v="SECTOR_05"/>
    <s v="PLANTA_2"/>
    <s v="SECADOR"/>
    <s v="ATOMIZADOR"/>
    <s v="TANQUE"/>
    <x v="68"/>
    <x v="0"/>
    <d v="2022-04-07T00:00:00"/>
    <x v="1"/>
    <x v="1"/>
    <n v="2"/>
    <d v="1899-12-30T14:30:00"/>
    <d v="1899-12-30T15:30:00"/>
    <n v="1"/>
    <n v="1"/>
    <n v="2"/>
    <x v="0"/>
  </r>
  <r>
    <x v="104"/>
    <n v="600003995729"/>
    <n v="1"/>
    <s v="E71"/>
    <s v="EQDENOM_69"/>
    <x v="70"/>
    <s v="WM08"/>
    <s v="SECTOR_71"/>
    <s v="PLANTA_1"/>
    <s v="ENVASADORA"/>
    <s v="TUBO"/>
    <s v="CILINDRO"/>
    <x v="84"/>
    <x v="0"/>
    <d v="2022-04-07T00:00:00"/>
    <x v="8"/>
    <x v="1"/>
    <n v="1"/>
    <d v="1899-12-30T07:00:00"/>
    <d v="1899-12-30T10:00:00"/>
    <n v="3"/>
    <n v="3"/>
    <n v="3"/>
    <x v="3"/>
  </r>
  <r>
    <x v="104"/>
    <n v="600003996887"/>
    <n v="1"/>
    <s v="E48"/>
    <s v="EQDENOM_48"/>
    <x v="47"/>
    <s v="WM06"/>
    <s v="SECTOR_48"/>
    <s v="PLANTA_1"/>
    <s v="PRENSA"/>
    <s v="INSTALACION ELECTRICA"/>
    <s v="CONEXIÓN"/>
    <x v="105"/>
    <x v="0"/>
    <d v="2022-04-11T00:00:00"/>
    <x v="3"/>
    <x v="0"/>
    <n v="2"/>
    <d v="1899-12-30T08:00:00"/>
    <d v="1899-12-30T10:30:00"/>
    <n v="2.5"/>
    <n v="2.5"/>
    <n v="5"/>
    <x v="3"/>
  </r>
  <r>
    <x v="104"/>
    <n v="600003995728"/>
    <n v="1"/>
    <s v="E60"/>
    <s v="EQDENOM_59"/>
    <x v="59"/>
    <s v="WM08"/>
    <s v="SECTOR_60"/>
    <s v="PLANTA_1"/>
    <s v="FILTRO"/>
    <s v="ACCESORIOS"/>
    <s v="DESCARGA"/>
    <x v="14"/>
    <x v="0"/>
    <d v="2022-04-11T00:00:00"/>
    <x v="1"/>
    <x v="1"/>
    <n v="2"/>
    <d v="1899-12-30T09:30:00"/>
    <d v="1899-12-30T10:30:00"/>
    <n v="1"/>
    <n v="1"/>
    <n v="2"/>
    <x v="0"/>
  </r>
  <r>
    <x v="105"/>
    <n v="600003996895"/>
    <n v="1"/>
    <s v="E49"/>
    <s v="EQDENOM_49"/>
    <x v="48"/>
    <s v="WM06"/>
    <s v="SECTOR_49"/>
    <s v="PLANTA_2"/>
    <s v="RECORTADORA"/>
    <s v="LUBRICACION"/>
    <s v="CAÑERIA"/>
    <x v="60"/>
    <x v="0"/>
    <d v="2022-04-11T00:00:00"/>
    <x v="4"/>
    <x v="1"/>
    <n v="2"/>
    <d v="1899-12-30T09:00:00"/>
    <d v="1899-12-30T11:00:00"/>
    <n v="2"/>
    <n v="2"/>
    <n v="4"/>
    <x v="0"/>
  </r>
  <r>
    <x v="105"/>
    <n v="600003996943"/>
    <n v="1"/>
    <s v="E36"/>
    <s v="EQDENOM_36"/>
    <x v="35"/>
    <s v="WM06"/>
    <s v="SECTOR_36"/>
    <s v="PLANTA_2"/>
    <s v="PRENSA"/>
    <s v="CILINDRO"/>
    <s v="NUCLEO"/>
    <x v="101"/>
    <x v="0"/>
    <d v="2022-04-11T00:00:00"/>
    <x v="5"/>
    <x v="1"/>
    <n v="1"/>
    <d v="1899-12-30T09:00:00"/>
    <d v="1899-12-30T10:30:00"/>
    <n v="1.5"/>
    <n v="1.5"/>
    <n v="1.5"/>
    <x v="0"/>
  </r>
  <r>
    <x v="106"/>
    <n v="600003997499"/>
    <n v="1"/>
    <s v="E18"/>
    <s v="EQDENOM_18"/>
    <x v="17"/>
    <s v="WM06"/>
    <s v="SECTOR_18"/>
    <s v="PLANTA_2"/>
    <s v="PRENSA"/>
    <s v="CILINDRO"/>
    <s v="NUCLEO"/>
    <x v="106"/>
    <x v="0"/>
    <d v="2022-04-12T00:00:00"/>
    <x v="5"/>
    <x v="1"/>
    <n v="2"/>
    <d v="1899-12-30T09:30:00"/>
    <d v="1899-12-30T10:00:00"/>
    <n v="1.5"/>
    <n v="1.5"/>
    <n v="3"/>
    <x v="0"/>
  </r>
  <r>
    <x v="106"/>
    <n v="600003997409"/>
    <n v="1"/>
    <s v="E73"/>
    <s v="EQDENOM_71"/>
    <x v="72"/>
    <s v="WM08"/>
    <s v="SECTOR_73"/>
    <s v="PLANTA_1"/>
    <s v="DISPERSORA"/>
    <s v="ACCESORIOS"/>
    <s v="TRANSMISION"/>
    <x v="107"/>
    <x v="0"/>
    <d v="2022-04-14T00:00:00"/>
    <x v="1"/>
    <x v="1"/>
    <n v="2"/>
    <d v="1899-12-30T13:00:00"/>
    <d v="1899-12-30T14:00:00"/>
    <n v="1"/>
    <n v="1"/>
    <n v="2"/>
    <x v="0"/>
  </r>
  <r>
    <x v="107"/>
    <n v="600003997843"/>
    <n v="1"/>
    <s v="E22"/>
    <s v="EQDENOM_22"/>
    <x v="21"/>
    <s v="WM08"/>
    <s v="SECTOR_22"/>
    <s v="PLANTA_1"/>
    <s v="MOLINO"/>
    <s v="ACCESORIOS"/>
    <s v="EJE"/>
    <x v="74"/>
    <x v="0"/>
    <d v="2022-04-22T00:00:00"/>
    <x v="1"/>
    <x v="1"/>
    <n v="3"/>
    <d v="1899-12-30T07:00:00"/>
    <d v="1899-12-30T16:00:00"/>
    <n v="9"/>
    <n v="9"/>
    <n v="27"/>
    <x v="1"/>
  </r>
  <r>
    <x v="107"/>
    <n v="600003997986"/>
    <n v="1"/>
    <s v="E45"/>
    <s v="EQDENOM_45"/>
    <x v="44"/>
    <s v="WM10"/>
    <s v="SECTOR_45"/>
    <s v="PLANTA_1"/>
    <s v="HORNO"/>
    <s v="SEGURIDAD "/>
    <s v="PUERTA"/>
    <x v="34"/>
    <x v="1"/>
    <d v="2022-04-13T00:00:00"/>
    <x v="2"/>
    <x v="1"/>
    <n v="2"/>
    <d v="1899-12-30T09:00:00"/>
    <d v="1899-12-30T11:00:00"/>
    <n v="2"/>
    <n v="2"/>
    <n v="4"/>
    <x v="0"/>
  </r>
  <r>
    <x v="108"/>
    <n v="600003999546"/>
    <n v="1"/>
    <s v="E15"/>
    <s v="EQDENOM_15"/>
    <x v="14"/>
    <s v="WM06"/>
    <s v="SECTOR_15"/>
    <s v="PLANTA_2"/>
    <s v="PRENSA"/>
    <s v="INSTALACION ELECTRICA"/>
    <s v="CONEXIÓN"/>
    <x v="87"/>
    <x v="0"/>
    <d v="2022-04-18T00:00:00"/>
    <x v="6"/>
    <x v="0"/>
    <n v="2"/>
    <d v="1899-12-30T09:30:00"/>
    <d v="1899-12-30T11:30:00"/>
    <n v="2"/>
    <n v="2"/>
    <n v="4"/>
    <x v="0"/>
  </r>
  <r>
    <x v="108"/>
    <n v="600003999572"/>
    <n v="1"/>
    <s v="E57"/>
    <s v="EQDENOM_56"/>
    <x v="56"/>
    <s v="WM06"/>
    <s v="SECTOR_57"/>
    <s v="PLANTA_2"/>
    <s v="PRENSA"/>
    <s v="ACCESORIOS"/>
    <s v="VAPOR"/>
    <x v="8"/>
    <x v="0"/>
    <d v="2022-04-20T00:00:00"/>
    <x v="5"/>
    <x v="1"/>
    <n v="1"/>
    <d v="1899-12-30T07:50:00"/>
    <d v="1899-12-30T08:50:00"/>
    <n v="1"/>
    <n v="1"/>
    <n v="1"/>
    <x v="0"/>
  </r>
  <r>
    <x v="108"/>
    <n v="600003999570"/>
    <n v="1"/>
    <s v="E12"/>
    <s v="EQDENOM_12"/>
    <x v="11"/>
    <s v="WM06"/>
    <s v="SECTOR_12"/>
    <s v="PLANTA_2"/>
    <s v="PRENSA"/>
    <s v="ACCESORIOS"/>
    <s v="VAPOR"/>
    <x v="8"/>
    <x v="0"/>
    <d v="2022-04-22T00:00:00"/>
    <x v="4"/>
    <x v="1"/>
    <n v="1"/>
    <d v="1899-12-30T12:30:00"/>
    <d v="1899-12-30T13:30:00"/>
    <n v="1"/>
    <n v="1"/>
    <n v="1"/>
    <x v="0"/>
  </r>
  <r>
    <x v="108"/>
    <n v="600003999571"/>
    <n v="1"/>
    <s v="E36"/>
    <s v="EQDENOM_36"/>
    <x v="35"/>
    <s v="WM06"/>
    <s v="SECTOR_36"/>
    <s v="PLANTA_2"/>
    <s v="PRENSA"/>
    <s v="ACCESORIOS"/>
    <s v="VAPOR"/>
    <x v="8"/>
    <x v="0"/>
    <d v="2022-04-19T00:00:00"/>
    <x v="4"/>
    <x v="1"/>
    <n v="1"/>
    <d v="1899-12-30T15:00:00"/>
    <d v="1899-12-30T16:00:00"/>
    <n v="1"/>
    <n v="1"/>
    <n v="1"/>
    <x v="0"/>
  </r>
  <r>
    <x v="108"/>
    <n v="600004000018"/>
    <n v="1"/>
    <s v="E15"/>
    <s v="EQDENOM_15"/>
    <x v="14"/>
    <s v="WM06"/>
    <s v="SECTOR_15"/>
    <s v="PLANTA_2"/>
    <s v="PRENSA"/>
    <s v="UNIDAD HIDRAULICA"/>
    <s v="MANOMETRO"/>
    <x v="14"/>
    <x v="0"/>
    <d v="2022-04-19T00:00:00"/>
    <x v="3"/>
    <x v="1"/>
    <n v="1"/>
    <d v="1899-12-30T09:00:00"/>
    <d v="1899-12-30T10:30:00"/>
    <n v="1.5"/>
    <n v="1.5"/>
    <n v="1.5"/>
    <x v="0"/>
  </r>
  <r>
    <x v="108"/>
    <n v="600003999524"/>
    <n v="1"/>
    <s v="E26"/>
    <s v="EQDENOM_26"/>
    <x v="25"/>
    <s v="WM06"/>
    <s v="SECTOR_26"/>
    <s v="PLANTA_2"/>
    <s v="PRENSA"/>
    <s v="ACCESORIOS"/>
    <s v="VAPOR"/>
    <x v="60"/>
    <x v="1"/>
    <d v="2022-05-06T00:00:00"/>
    <x v="4"/>
    <x v="1"/>
    <n v="1"/>
    <d v="1899-12-30T13:30:00"/>
    <d v="1899-12-30T14:30:00"/>
    <n v="1"/>
    <n v="1"/>
    <n v="1"/>
    <x v="0"/>
  </r>
  <r>
    <x v="109"/>
    <n v="600003999889"/>
    <n v="1"/>
    <s v="E15"/>
    <s v="EQDENOM_15"/>
    <x v="14"/>
    <s v="WM06"/>
    <s v="SECTOR_15"/>
    <s v="PLANTA_2"/>
    <s v="PRENSA"/>
    <s v="INSTALACION ELECTRICA"/>
    <s v="CONEXIÓN"/>
    <x v="31"/>
    <x v="0"/>
    <d v="2022-04-19T00:00:00"/>
    <x v="3"/>
    <x v="0"/>
    <n v="3"/>
    <d v="1899-12-30T14:00:00"/>
    <d v="1899-12-30T17:30:00"/>
    <n v="3.5"/>
    <n v="3.5"/>
    <n v="10.5"/>
    <x v="3"/>
  </r>
  <r>
    <x v="109"/>
    <n v="600004000021"/>
    <n v="1"/>
    <s v="E57"/>
    <s v="EQDENOM_56"/>
    <x v="56"/>
    <s v="WM06"/>
    <s v="SECTOR_57"/>
    <s v="PLANTA_2"/>
    <s v="PRENSA"/>
    <s v="UNIDAD HIDRAULICA"/>
    <s v="TABLERO"/>
    <x v="52"/>
    <x v="0"/>
    <d v="2022-04-19T00:00:00"/>
    <x v="3"/>
    <x v="1"/>
    <n v="1"/>
    <d v="1899-12-30T13:00:00"/>
    <d v="1899-12-30T14:30:00"/>
    <n v="1.5"/>
    <n v="1.5"/>
    <n v="1.5"/>
    <x v="0"/>
  </r>
  <r>
    <x v="110"/>
    <n v="600004000365"/>
    <n v="1"/>
    <s v="E10"/>
    <s v="EQDENOM_10"/>
    <x v="9"/>
    <s v="WM06"/>
    <s v="SECTOR_10"/>
    <s v="PLANTA_2"/>
    <s v="HORNO"/>
    <s v="VAPOR"/>
    <s v="CAÑERIA"/>
    <x v="108"/>
    <x v="0"/>
    <d v="2022-04-20T00:00:00"/>
    <x v="5"/>
    <x v="1"/>
    <n v="2"/>
    <d v="1899-12-30T09:00:00"/>
    <d v="1899-12-30T12:30:00"/>
    <n v="3.5"/>
    <n v="3.5"/>
    <n v="7"/>
    <x v="3"/>
  </r>
  <r>
    <x v="111"/>
    <n v="600004001079"/>
    <n v="1"/>
    <s v="E15"/>
    <s v="EQDENOM_15"/>
    <x v="14"/>
    <s v="WM06"/>
    <s v="SECTOR_15"/>
    <s v="PLANTA_2"/>
    <s v="PRENSA"/>
    <s v="INSTALACION ELECTRICA"/>
    <s v="MESA"/>
    <x v="31"/>
    <x v="0"/>
    <d v="2022-04-21T00:00:00"/>
    <x v="3"/>
    <x v="0"/>
    <n v="2"/>
    <d v="1899-12-30T07:00:00"/>
    <d v="1899-12-30T08:00:00"/>
    <n v="1"/>
    <n v="1"/>
    <n v="2"/>
    <x v="0"/>
  </r>
  <r>
    <x v="111"/>
    <n v="600004001080"/>
    <n v="1"/>
    <s v="E18"/>
    <s v="EQDENOM_18"/>
    <x v="17"/>
    <s v="WM06"/>
    <s v="SECTOR_18"/>
    <s v="PLANTA_2"/>
    <s v="PRENSA"/>
    <s v="UNIDAD HIDRAULICA"/>
    <s v="ACCESORIOS"/>
    <x v="109"/>
    <x v="0"/>
    <d v="2022-04-21T00:00:00"/>
    <x v="5"/>
    <x v="1"/>
    <n v="4"/>
    <d v="1899-12-30T15:30:00"/>
    <d v="1899-12-30T16:30:00"/>
    <n v="1"/>
    <n v="1"/>
    <n v="4"/>
    <x v="0"/>
  </r>
  <r>
    <x v="112"/>
    <n v="600004001495"/>
    <n v="1"/>
    <s v="E48"/>
    <s v="EQDENOM_48"/>
    <x v="47"/>
    <s v="WM06"/>
    <s v="SECTOR_48"/>
    <s v="PLANTA_1"/>
    <s v="PRENSA"/>
    <s v="UNIDAD NEUMATICA"/>
    <s v="ACCESORIOS"/>
    <x v="14"/>
    <x v="0"/>
    <d v="2022-04-22T00:00:00"/>
    <x v="5"/>
    <x v="1"/>
    <n v="1"/>
    <d v="1899-12-30T10:30:00"/>
    <d v="1899-12-30T11:30:00"/>
    <n v="1"/>
    <n v="1"/>
    <n v="1"/>
    <x v="0"/>
  </r>
  <r>
    <x v="112"/>
    <n v="600004001514"/>
    <n v="1"/>
    <s v="E28"/>
    <s v="EQDENOM_28"/>
    <x v="27"/>
    <s v="WM05"/>
    <s v="SECTOR_28"/>
    <s v="PLANTA_2"/>
    <s v="AUTOELEVADOR"/>
    <s v="TRANSMISION"/>
    <s v="MOTOR DE ARRANQUE"/>
    <x v="110"/>
    <x v="0"/>
    <d v="2022-04-23T00:00:00"/>
    <x v="1"/>
    <x v="1"/>
    <n v="1"/>
    <d v="1899-12-30T09:30:00"/>
    <d v="1899-12-30T16:00:00"/>
    <n v="6.5"/>
    <n v="6.5"/>
    <n v="6.5"/>
    <x v="3"/>
  </r>
  <r>
    <x v="113"/>
    <n v="600004004567"/>
    <n v="1"/>
    <s v="E16"/>
    <s v="EQDENOM_16"/>
    <x v="15"/>
    <s v="WM07"/>
    <s v="SECTOR_16"/>
    <s v="PLANTA_2"/>
    <s v="CORTADORA"/>
    <s v="ACCESORIOS"/>
    <s v="ENROLLADOR"/>
    <x v="40"/>
    <x v="1"/>
    <d v="2022-04-26T00:00:00"/>
    <x v="7"/>
    <x v="1"/>
    <n v="2"/>
    <d v="1899-12-30T07:00:00"/>
    <d v="1899-12-30T10:00:00"/>
    <n v="3"/>
    <n v="3"/>
    <n v="6"/>
    <x v="3"/>
  </r>
  <r>
    <x v="113"/>
    <n v="600004004687"/>
    <n v="1"/>
    <s v="E36"/>
    <s v="EQDENOM_36"/>
    <x v="35"/>
    <s v="WM06"/>
    <s v="SECTOR_36"/>
    <s v="PLANTA_2"/>
    <s v="PRENSA"/>
    <s v="INSTALACION ELECTRICA"/>
    <s v="TABLERO"/>
    <x v="111"/>
    <x v="1"/>
    <d v="2022-04-26T00:00:00"/>
    <x v="5"/>
    <x v="0"/>
    <n v="3"/>
    <d v="1899-12-30T13:00:00"/>
    <d v="1899-12-30T14:00:00"/>
    <n v="1"/>
    <n v="1"/>
    <n v="3"/>
    <x v="0"/>
  </r>
  <r>
    <x v="113"/>
    <n v="600004004686"/>
    <n v="1"/>
    <s v="E19"/>
    <s v="EQDENOM_19"/>
    <x v="18"/>
    <s v="WM06"/>
    <s v="SECTOR_19"/>
    <s v="PLANTA_2"/>
    <s v="PRENSA"/>
    <s v="UNIDAD HIDRAULICA"/>
    <s v="CILINDRO"/>
    <x v="14"/>
    <x v="1"/>
    <d v="2022-04-26T00:00:00"/>
    <x v="7"/>
    <x v="1"/>
    <n v="2"/>
    <d v="1899-12-30T10:00:00"/>
    <d v="1899-12-30T11:30:00"/>
    <n v="1.5"/>
    <n v="1.5"/>
    <n v="3"/>
    <x v="0"/>
  </r>
  <r>
    <x v="113"/>
    <n v="600004004569"/>
    <n v="1"/>
    <s v="E19"/>
    <s v="EQDENOM_19"/>
    <x v="18"/>
    <s v="WM06"/>
    <s v="SECTOR_19"/>
    <s v="PLANTA_2"/>
    <s v="PRENSA"/>
    <s v="UNIDAD HIDRAULICA"/>
    <s v="MESA"/>
    <x v="14"/>
    <x v="1"/>
    <d v="2022-04-26T00:00:00"/>
    <x v="3"/>
    <x v="1"/>
    <n v="3"/>
    <d v="1899-12-30T09:30:00"/>
    <d v="1899-12-30T12:00:00"/>
    <n v="2.5"/>
    <n v="2.5"/>
    <n v="7.5"/>
    <x v="3"/>
  </r>
  <r>
    <x v="114"/>
    <n v="600004004969"/>
    <n v="1"/>
    <s v="E31"/>
    <s v="EQDENOM_31"/>
    <x v="30"/>
    <s v="WM06"/>
    <s v="SECTOR_31"/>
    <s v="PLANTA_2"/>
    <s v="PULIDORA"/>
    <s v="UNIDAD NEUMATICA"/>
    <s v="TABLERO"/>
    <x v="14"/>
    <x v="1"/>
    <d v="2022-04-27T00:00:00"/>
    <x v="7"/>
    <x v="1"/>
    <n v="1"/>
    <d v="1899-12-30T07:20:00"/>
    <d v="1899-12-30T08:20:00"/>
    <n v="1"/>
    <n v="1"/>
    <n v="1"/>
    <x v="0"/>
  </r>
  <r>
    <x v="115"/>
    <n v="600004005548"/>
    <n v="1"/>
    <s v="E75"/>
    <s v="EQDENOM_73"/>
    <x v="74"/>
    <s v="WM01"/>
    <s v="SECTOR_75"/>
    <s v="PLANTA_1"/>
    <s v="DISPERSORA"/>
    <s v="SEGURIDAD "/>
    <s v="PUERTA REJA"/>
    <x v="112"/>
    <x v="1"/>
    <d v="2022-04-28T00:00:00"/>
    <x v="1"/>
    <x v="1"/>
    <n v="2"/>
    <d v="1899-12-30T07:00:00"/>
    <d v="1899-12-30T10:30:00"/>
    <n v="3.5"/>
    <n v="3.5"/>
    <n v="7"/>
    <x v="3"/>
  </r>
  <r>
    <x v="116"/>
    <n v="600004005833"/>
    <n v="1"/>
    <s v="E66"/>
    <s v="EQDENOM_65"/>
    <x v="65"/>
    <s v="WM06"/>
    <s v="SECTOR_66"/>
    <s v="PLANTA_2"/>
    <s v="HORNO"/>
    <s v="SEGURIDAD "/>
    <s v="PUERTA"/>
    <x v="113"/>
    <x v="1"/>
    <d v="2022-04-29T00:00:00"/>
    <x v="4"/>
    <x v="1"/>
    <n v="2"/>
    <d v="1899-12-30T14:00:00"/>
    <d v="1899-12-30T15:00:00"/>
    <n v="1"/>
    <n v="1"/>
    <n v="2"/>
    <x v="0"/>
  </r>
  <r>
    <x v="116"/>
    <n v="600004005747"/>
    <n v="1"/>
    <s v="E48"/>
    <s v="EQDENOM_48"/>
    <x v="47"/>
    <s v="WM06"/>
    <s v="SECTOR_48"/>
    <s v="PLANTA_1"/>
    <s v="PRENSA"/>
    <s v="INSTALACION ELECTRICA"/>
    <s v="ACCESORIOS"/>
    <x v="114"/>
    <x v="1"/>
    <d v="2022-04-29T00:00:00"/>
    <x v="3"/>
    <x v="0"/>
    <n v="1"/>
    <d v="1899-12-30T11:00:00"/>
    <d v="1899-12-30T13:00:00"/>
    <n v="2"/>
    <n v="2"/>
    <n v="2"/>
    <x v="0"/>
  </r>
  <r>
    <x v="116"/>
    <n v="600004005746"/>
    <n v="1"/>
    <s v="E36"/>
    <s v="EQDENOM_36"/>
    <x v="35"/>
    <s v="WM06"/>
    <s v="SECTOR_36"/>
    <s v="PLANTA_2"/>
    <s v="PRENSA"/>
    <s v="INSTALACION ELECTRICA"/>
    <s v="BARRERA GUARDA PIE"/>
    <x v="22"/>
    <x v="1"/>
    <d v="2022-04-29T00:00:00"/>
    <x v="6"/>
    <x v="0"/>
    <n v="3"/>
    <d v="1899-12-30T08:00:00"/>
    <d v="1899-12-30T10:30:00"/>
    <n v="2.5"/>
    <n v="2.5"/>
    <n v="7.5"/>
    <x v="3"/>
  </r>
  <r>
    <x v="116"/>
    <n v="600004005769"/>
    <n v="1"/>
    <s v="E64"/>
    <s v="EQDENOM_63"/>
    <x v="63"/>
    <s v="WM06"/>
    <s v="SECTOR_64"/>
    <s v="PLANTA_2"/>
    <s v="PRENSA"/>
    <s v="INSTALACION ELECTRICA"/>
    <s v="VAPOR"/>
    <x v="89"/>
    <x v="1"/>
    <d v="2022-04-29T00:00:00"/>
    <x v="6"/>
    <x v="0"/>
    <n v="3"/>
    <d v="1899-12-30T10:30:00"/>
    <d v="1899-12-30T12:30:00"/>
    <n v="2"/>
    <n v="2"/>
    <n v="6"/>
    <x v="0"/>
  </r>
  <r>
    <x v="117"/>
    <n v="600004006693"/>
    <n v="1"/>
    <s v="E56"/>
    <s v="EQDENOM_47"/>
    <x v="55"/>
    <s v="WM06"/>
    <s v="SECTOR_56"/>
    <s v="PLANTA_2"/>
    <s v="CALDERA"/>
    <s v="ACCESORIOS"/>
    <s v="BOMBA"/>
    <x v="115"/>
    <x v="1"/>
    <d v="2022-05-02T00:00:00"/>
    <x v="5"/>
    <x v="1"/>
    <n v="3"/>
    <d v="1899-12-30T09:00:00"/>
    <d v="1899-12-30T10:30:00"/>
    <n v="1.5"/>
    <n v="1.5"/>
    <n v="4.5"/>
    <x v="0"/>
  </r>
  <r>
    <x v="118"/>
    <n v="600004006936"/>
    <n v="1"/>
    <s v="E18"/>
    <s v="EQDENOM_18"/>
    <x v="17"/>
    <s v="WM06"/>
    <s v="SECTOR_18"/>
    <s v="PLANTA_2"/>
    <s v="PRENSA"/>
    <s v="VAPOR"/>
    <s v="MOLDE"/>
    <x v="60"/>
    <x v="0"/>
    <d v="2022-05-03T00:00:00"/>
    <x v="7"/>
    <x v="1"/>
    <n v="1"/>
    <d v="1899-12-30T12:15:00"/>
    <d v="1899-12-30T13:15:00"/>
    <n v="1"/>
    <n v="1"/>
    <n v="1"/>
    <x v="0"/>
  </r>
  <r>
    <x v="118"/>
    <n v="600004006938"/>
    <n v="1"/>
    <s v="E36"/>
    <s v="EQDENOM_36"/>
    <x v="35"/>
    <s v="WM06"/>
    <s v="SECTOR_36"/>
    <s v="PLANTA_2"/>
    <s v="PRENSA"/>
    <s v="VAPOR"/>
    <s v="NUCLEO"/>
    <x v="8"/>
    <x v="0"/>
    <d v="2022-05-03T00:00:00"/>
    <x v="7"/>
    <x v="1"/>
    <n v="1"/>
    <d v="1899-12-30T13:30:00"/>
    <d v="1899-12-30T14:30:00"/>
    <n v="1"/>
    <n v="1"/>
    <n v="1"/>
    <x v="0"/>
  </r>
  <r>
    <x v="118"/>
    <n v="600004006933"/>
    <n v="1"/>
    <s v="E24"/>
    <s v="EQDENOM_24"/>
    <x v="23"/>
    <s v="WM06"/>
    <s v="SECTOR_24"/>
    <s v="PLANTA_2"/>
    <s v="PRENSA"/>
    <s v="ACCESORIOS"/>
    <s v="VAPOR"/>
    <x v="8"/>
    <x v="0"/>
    <d v="2022-05-03T00:00:00"/>
    <x v="5"/>
    <x v="1"/>
    <n v="1"/>
    <d v="1899-12-30T15:00:00"/>
    <d v="1899-12-30T16:00:00"/>
    <n v="1"/>
    <n v="1"/>
    <n v="1"/>
    <x v="0"/>
  </r>
  <r>
    <x v="118"/>
    <n v="600004006934"/>
    <n v="1"/>
    <s v="E30"/>
    <s v="EQDENOM_30"/>
    <x v="29"/>
    <s v="WM06"/>
    <s v="SECTOR_30"/>
    <s v="PLANTA_2"/>
    <s v="PRENSA"/>
    <s v="ACCESORIOS"/>
    <s v="VAPOR"/>
    <x v="60"/>
    <x v="0"/>
    <d v="2022-05-04T00:00:00"/>
    <x v="5"/>
    <x v="1"/>
    <n v="1"/>
    <d v="1899-12-30T13:00:00"/>
    <d v="1899-12-30T14:00:00"/>
    <n v="1"/>
    <n v="1"/>
    <n v="1"/>
    <x v="0"/>
  </r>
  <r>
    <x v="118"/>
    <n v="600004006940"/>
    <n v="1"/>
    <s v="E15"/>
    <s v="EQDENOM_15"/>
    <x v="14"/>
    <s v="WM06"/>
    <s v="SECTOR_15"/>
    <s v="PLANTA_2"/>
    <s v="PRENSA"/>
    <s v="ACCESORIOS"/>
    <s v="VAPOR"/>
    <x v="116"/>
    <x v="0"/>
    <d v="2022-05-09T00:00:00"/>
    <x v="4"/>
    <x v="1"/>
    <n v="1"/>
    <d v="1899-12-30T13:30:00"/>
    <d v="1899-12-30T14:30:00"/>
    <n v="1"/>
    <n v="1"/>
    <n v="1"/>
    <x v="0"/>
  </r>
  <r>
    <x v="118"/>
    <n v="600004006941"/>
    <n v="1"/>
    <s v="E46"/>
    <s v="EQDENOM_46"/>
    <x v="45"/>
    <s v="WM06"/>
    <s v="SECTOR_46"/>
    <s v="PLANTA_2"/>
    <s v="PRENSA"/>
    <s v="ACCESORIOS"/>
    <s v="VAPOR"/>
    <x v="60"/>
    <x v="0"/>
    <d v="2022-05-06T00:00:00"/>
    <x v="4"/>
    <x v="1"/>
    <n v="1"/>
    <d v="1899-12-30T14:30:00"/>
    <d v="1899-12-30T15:30:00"/>
    <n v="1"/>
    <n v="1"/>
    <n v="1"/>
    <x v="0"/>
  </r>
  <r>
    <x v="118"/>
    <n v="600004006939"/>
    <n v="1"/>
    <s v="E48"/>
    <s v="EQDENOM_48"/>
    <x v="47"/>
    <s v="WM06"/>
    <s v="SECTOR_48"/>
    <s v="PLANTA_1"/>
    <s v="PRENSA"/>
    <s v="ACCESORIOS"/>
    <s v="VAPOR"/>
    <x v="60"/>
    <x v="0"/>
    <d v="2022-05-09T00:00:00"/>
    <x v="4"/>
    <x v="1"/>
    <n v="1"/>
    <d v="1899-12-30T14:30:00"/>
    <d v="1899-12-30T15:30:00"/>
    <n v="1"/>
    <n v="1"/>
    <n v="1"/>
    <x v="0"/>
  </r>
  <r>
    <x v="118"/>
    <n v="600004006943"/>
    <n v="1"/>
    <s v="E76"/>
    <s v="EQDENOM_74"/>
    <x v="75"/>
    <s v="WM02"/>
    <s v="SECTOR_76"/>
    <s v="PLANTA_1"/>
    <s v="MEZCLADORA"/>
    <s v="ACCESORIOS"/>
    <s v="EXTRACCION "/>
    <x v="14"/>
    <x v="1"/>
    <d v="2022-05-04T00:00:00"/>
    <x v="2"/>
    <x v="1"/>
    <n v="2"/>
    <d v="1899-12-30T13:00:00"/>
    <d v="1899-12-30T16:00:00"/>
    <n v="3"/>
    <n v="3"/>
    <n v="6"/>
    <x v="3"/>
  </r>
  <r>
    <x v="119"/>
    <n v="600004007132"/>
    <n v="1"/>
    <s v="E77"/>
    <s v="EQDENOM_75"/>
    <x v="76"/>
    <s v="WM11"/>
    <s v="SECTOR_77"/>
    <s v="PLANTA_2"/>
    <s v="PRENSA"/>
    <s v="UNIDAD HIDRAULICA"/>
    <s v="CILINDRO"/>
    <x v="14"/>
    <x v="1"/>
    <d v="2022-05-04T00:00:00"/>
    <x v="7"/>
    <x v="1"/>
    <n v="2"/>
    <d v="1899-12-30T10:30:00"/>
    <d v="1899-12-30T11:30:00"/>
    <n v="1"/>
    <n v="1"/>
    <n v="2"/>
    <x v="0"/>
  </r>
  <r>
    <x v="119"/>
    <n v="600004007128"/>
    <n v="1"/>
    <s v="E08"/>
    <s v="EQDENOM_08"/>
    <x v="7"/>
    <s v="WM06"/>
    <s v="SECTOR_08"/>
    <s v="PLANTA_2"/>
    <s v="PRENSA"/>
    <s v="UNIDAD HIDRAULICA"/>
    <s v="CILINDRO DE PLATO"/>
    <x v="14"/>
    <x v="1"/>
    <d v="2022-05-04T00:00:00"/>
    <x v="7"/>
    <x v="1"/>
    <n v="2"/>
    <d v="1899-12-30T08:45:00"/>
    <d v="1899-12-30T09:45:00"/>
    <n v="1"/>
    <n v="1"/>
    <n v="2"/>
    <x v="0"/>
  </r>
  <r>
    <x v="119"/>
    <n v="600004007130"/>
    <n v="1"/>
    <s v="E31"/>
    <s v="EQDENOM_31"/>
    <x v="30"/>
    <s v="WM06"/>
    <s v="SECTOR_31"/>
    <s v="PLANTA_2"/>
    <s v="PULIDORA"/>
    <s v="PLATO "/>
    <s v="TOPE DE EJE"/>
    <x v="117"/>
    <x v="1"/>
    <d v="2022-05-04T00:00:00"/>
    <x v="3"/>
    <x v="0"/>
    <n v="2"/>
    <d v="1899-12-30T09:30:00"/>
    <d v="1899-12-30T11:30:00"/>
    <n v="2"/>
    <n v="2"/>
    <n v="4"/>
    <x v="0"/>
  </r>
  <r>
    <x v="120"/>
    <n v="600004007400"/>
    <n v="1"/>
    <s v="E78"/>
    <s v="EQDENOM_76"/>
    <x v="77"/>
    <s v="WM04"/>
    <s v="SECTOR_78"/>
    <s v="PLANTA_2"/>
    <s v="TRANSPORT. PINTURA"/>
    <s v="INSTALACION ELECTRICA"/>
    <s v="CONEXIÓN"/>
    <x v="118"/>
    <x v="1"/>
    <d v="2022-05-05T00:00:00"/>
    <x v="3"/>
    <x v="0"/>
    <n v="1"/>
    <d v="1899-12-30T07:00:00"/>
    <d v="1899-12-30T08:30:00"/>
    <n v="1.5"/>
    <n v="1.5"/>
    <n v="1.5"/>
    <x v="0"/>
  </r>
  <r>
    <x v="120"/>
    <n v="600004007426"/>
    <n v="1"/>
    <s v="E46"/>
    <s v="EQDENOM_46"/>
    <x v="45"/>
    <s v="WM06"/>
    <s v="SECTOR_46"/>
    <s v="PLANTA_2"/>
    <s v="PRENSA"/>
    <s v="UNIDAD HIDRAULICA"/>
    <s v="BOMBA"/>
    <x v="52"/>
    <x v="2"/>
    <d v="2022-05-06T00:00:00"/>
    <x v="5"/>
    <x v="1"/>
    <n v="3"/>
    <d v="1899-12-30T10:00:00"/>
    <d v="1899-12-30T11:00:00"/>
    <n v="1"/>
    <n v="1"/>
    <n v="3"/>
    <x v="0"/>
  </r>
  <r>
    <x v="120"/>
    <n v="600004007429"/>
    <n v="1"/>
    <s v="E79"/>
    <s v="EQDENOM_77"/>
    <x v="78"/>
    <s v="WM06"/>
    <s v="SECTOR_79"/>
    <s v="PLANTA_2"/>
    <s v="PRENSA"/>
    <s v="UNIDAD HIDRAULICA"/>
    <s v="DEPOSITO "/>
    <x v="11"/>
    <x v="2"/>
    <d v="2022-05-06T00:00:00"/>
    <x v="5"/>
    <x v="1"/>
    <n v="2"/>
    <d v="1899-12-30T08:00:00"/>
    <d v="1899-12-30T08:30:00"/>
    <n v="0.5"/>
    <n v="0.5"/>
    <n v="1"/>
    <x v="0"/>
  </r>
  <r>
    <x v="120"/>
    <n v="600004007422"/>
    <n v="1"/>
    <s v="E57"/>
    <s v="EQDENOM_56"/>
    <x v="56"/>
    <s v="WM06"/>
    <s v="SECTOR_57"/>
    <s v="PLANTA_2"/>
    <s v="PRENSA"/>
    <s v="ACCESORIOS"/>
    <s v="TRANSMISION"/>
    <x v="119"/>
    <x v="0"/>
    <d v="2022-05-05T00:00:00"/>
    <x v="5"/>
    <x v="1"/>
    <n v="3"/>
    <d v="1899-12-30T12:00:00"/>
    <d v="1899-12-30T14:00:00"/>
    <n v="2"/>
    <n v="2"/>
    <n v="6"/>
    <x v="0"/>
  </r>
  <r>
    <x v="120"/>
    <n v="600004007421"/>
    <n v="1"/>
    <s v="E23"/>
    <s v="EQDENOM_23"/>
    <x v="22"/>
    <s v="WM06"/>
    <s v="SECTOR_23"/>
    <s v="PLANTA_2"/>
    <s v="PRENSA"/>
    <s v="UNIDAD HIDRAULICA"/>
    <s v="BOMBA"/>
    <x v="52"/>
    <x v="0"/>
    <d v="2022-05-07T00:00:00"/>
    <x v="7"/>
    <x v="1"/>
    <n v="1"/>
    <d v="1899-12-30T08:30:00"/>
    <d v="1899-12-30T09:30:00"/>
    <n v="1"/>
    <n v="1"/>
    <n v="1"/>
    <x v="0"/>
  </r>
  <r>
    <x v="120"/>
    <n v="600004007420"/>
    <n v="1"/>
    <s v="E24"/>
    <s v="EQDENOM_24"/>
    <x v="23"/>
    <s v="WM06"/>
    <s v="SECTOR_24"/>
    <s v="PLANTA_2"/>
    <s v="PRENSA"/>
    <s v="UNIDAD HIDRAULICA"/>
    <s v="MANGUERA"/>
    <x v="52"/>
    <x v="0"/>
    <d v="2022-05-05T00:00:00"/>
    <x v="4"/>
    <x v="1"/>
    <n v="1"/>
    <d v="1899-12-30T13:00:00"/>
    <d v="1899-12-30T14:00:00"/>
    <n v="1"/>
    <n v="1"/>
    <n v="1"/>
    <x v="0"/>
  </r>
  <r>
    <x v="120"/>
    <n v="600004007401"/>
    <n v="1"/>
    <s v="E34"/>
    <s v="EQDENOM_34"/>
    <x v="33"/>
    <s v="WM06"/>
    <s v="SECTOR_34"/>
    <s v="PLANTA_2"/>
    <s v="TRANSPORT. PINTURA"/>
    <s v="GRIP"/>
    <s v="EJE CENTRAL"/>
    <x v="120"/>
    <x v="1"/>
    <d v="2022-05-05T00:00:00"/>
    <x v="7"/>
    <x v="1"/>
    <n v="3"/>
    <d v="1899-12-30T09:00:00"/>
    <d v="1899-12-30T10:00:00"/>
    <n v="1"/>
    <n v="1"/>
    <n v="3"/>
    <x v="0"/>
  </r>
  <r>
    <x v="120"/>
    <n v="600004007425"/>
    <n v="1"/>
    <s v="E47"/>
    <s v="EQDENOM_47"/>
    <x v="46"/>
    <s v="WM06"/>
    <s v="SECTOR_47"/>
    <s v="PLANTA_2"/>
    <s v="CALDERA"/>
    <s v="ACCESORIOS"/>
    <s v="CAÑERIA"/>
    <x v="11"/>
    <x v="0"/>
    <d v="2022-05-07T00:00:00"/>
    <x v="7"/>
    <x v="1"/>
    <n v="1"/>
    <d v="1899-12-30T10:00:00"/>
    <d v="1899-12-30T11:00:00"/>
    <n v="1"/>
    <n v="1"/>
    <n v="1"/>
    <x v="0"/>
  </r>
  <r>
    <x v="120"/>
    <n v="600004007407"/>
    <n v="1"/>
    <s v="E41"/>
    <s v="EQDENOM_41"/>
    <x v="40"/>
    <s v="WM07"/>
    <s v="SECTOR_41"/>
    <s v="PLANTA_2"/>
    <s v="TREN ENFRIAMIENTO"/>
    <s v="TRANSMISION"/>
    <s v="ENTUBADORA"/>
    <x v="119"/>
    <x v="0"/>
    <d v="2022-05-11T00:00:00"/>
    <x v="4"/>
    <x v="1"/>
    <n v="1"/>
    <d v="1899-12-30T15:00:00"/>
    <d v="1899-12-30T16:00:00"/>
    <n v="1"/>
    <n v="1"/>
    <n v="1"/>
    <x v="0"/>
  </r>
  <r>
    <x v="121"/>
    <n v="600004007806"/>
    <n v="1"/>
    <s v="E14"/>
    <s v="EQDENOM_14"/>
    <x v="13"/>
    <s v="WM01"/>
    <s v="SECTOR_14"/>
    <s v="PLANTA_1"/>
    <s v="REACTOR"/>
    <s v="ACCESORIOS"/>
    <s v="VALVULA"/>
    <x v="121"/>
    <x v="1"/>
    <d v="2022-05-07T00:00:00"/>
    <x v="2"/>
    <x v="1"/>
    <n v="2"/>
    <d v="1899-12-30T06:00:00"/>
    <d v="1899-12-30T10:00:00"/>
    <n v="4"/>
    <n v="4"/>
    <n v="8"/>
    <x v="3"/>
  </r>
  <r>
    <x v="122"/>
    <n v="600004008247"/>
    <n v="1"/>
    <s v="E31"/>
    <s v="EQDENOM_31"/>
    <x v="30"/>
    <s v="WM06"/>
    <s v="SECTOR_31"/>
    <s v="PLANTA_2"/>
    <s v="PULIDORA"/>
    <s v="PLATO  IZQUIERDO"/>
    <s v="CADENA"/>
    <x v="61"/>
    <x v="1"/>
    <d v="2022-05-09T00:00:00"/>
    <x v="7"/>
    <x v="1"/>
    <n v="3"/>
    <d v="1899-12-30T07:15:00"/>
    <d v="1899-12-30T08:15:00"/>
    <n v="1"/>
    <n v="1"/>
    <n v="3"/>
    <x v="0"/>
  </r>
  <r>
    <x v="123"/>
    <n v="600004008510"/>
    <n v="1"/>
    <s v="E15"/>
    <s v="EQDENOM_15"/>
    <x v="14"/>
    <s v="WM06"/>
    <s v="SECTOR_15"/>
    <s v="PLANTA_2"/>
    <s v="PRENSA"/>
    <s v="UNIDAD HIDRAULICA"/>
    <s v="MANOMETRO"/>
    <x v="52"/>
    <x v="1"/>
    <d v="2022-05-10T00:00:00"/>
    <x v="7"/>
    <x v="1"/>
    <n v="2"/>
    <d v="1899-12-30T12:30:00"/>
    <d v="1899-12-30T13:30:00"/>
    <n v="1"/>
    <n v="1"/>
    <n v="2"/>
    <x v="0"/>
  </r>
  <r>
    <x v="123"/>
    <n v="600004008511"/>
    <n v="1"/>
    <s v="E57"/>
    <s v="EQDENOM_56"/>
    <x v="56"/>
    <s v="WM06"/>
    <s v="SECTOR_57"/>
    <s v="PLANTA_2"/>
    <s v="PRENSA"/>
    <s v="UNIDAD HIDRAULICA"/>
    <s v="MANOMETRO"/>
    <x v="14"/>
    <x v="1"/>
    <d v="2022-05-10T00:00:00"/>
    <x v="4"/>
    <x v="1"/>
    <n v="1"/>
    <d v="1899-12-30T13:00:00"/>
    <d v="1899-12-30T14:00:00"/>
    <n v="1"/>
    <n v="1"/>
    <n v="1"/>
    <x v="0"/>
  </r>
  <r>
    <x v="124"/>
    <n v="600004008772"/>
    <n v="1"/>
    <s v="E31"/>
    <s v="EQDENOM_31"/>
    <x v="30"/>
    <s v="WM06"/>
    <s v="SECTOR_31"/>
    <s v="PLANTA_2"/>
    <s v="PULIDORA"/>
    <s v="UNIDAD NEUMATICA"/>
    <s v="TRANSMISION"/>
    <x v="122"/>
    <x v="1"/>
    <d v="2022-05-11T00:00:00"/>
    <x v="7"/>
    <x v="1"/>
    <n v="2"/>
    <d v="1899-12-30T09:00:00"/>
    <d v="1899-12-30T10:00:00"/>
    <n v="1"/>
    <n v="1"/>
    <n v="2"/>
    <x v="0"/>
  </r>
  <r>
    <x v="125"/>
    <n v="600004008923"/>
    <n v="1"/>
    <s v="E51"/>
    <s v="EQDENOM_51"/>
    <x v="50"/>
    <s v="WM06"/>
    <s v="SECTOR_51"/>
    <s v="PLANTA_2"/>
    <s v="PRENSA"/>
    <s v="CILINDRO"/>
    <s v="MORDAZA"/>
    <x v="50"/>
    <x v="1"/>
    <d v="2022-05-12T00:00:00"/>
    <x v="7"/>
    <x v="1"/>
    <n v="3"/>
    <d v="1899-12-30T08:15:00"/>
    <d v="1899-12-30T09:15:00"/>
    <n v="1"/>
    <n v="1"/>
    <n v="3"/>
    <x v="0"/>
  </r>
  <r>
    <x v="126"/>
    <n v="600004009130"/>
    <n v="1"/>
    <s v="E48"/>
    <s v="EQDENOM_48"/>
    <x v="47"/>
    <s v="WM06"/>
    <s v="SECTOR_48"/>
    <s v="PLANTA_1"/>
    <s v="PRENSA"/>
    <s v="INSTALACION ELECTRICA"/>
    <s v="CONEXIÓN"/>
    <x v="123"/>
    <x v="1"/>
    <d v="2022-05-13T00:00:00"/>
    <x v="3"/>
    <x v="0"/>
    <n v="1"/>
    <d v="1899-12-30T07:00:00"/>
    <d v="1899-12-30T10:00:00"/>
    <n v="3"/>
    <n v="3"/>
    <n v="3"/>
    <x v="3"/>
  </r>
  <r>
    <x v="126"/>
    <n v="6000040091152"/>
    <n v="1"/>
    <s v="E01"/>
    <s v="EQDENOM_01"/>
    <x v="0"/>
    <s v="WM01"/>
    <s v="SECTOR_01"/>
    <s v="PLANTA_1"/>
    <s v="REACTOR"/>
    <s v="TRANSMISION"/>
    <s v="BOMBA"/>
    <x v="37"/>
    <x v="1"/>
    <d v="2022-05-13T00:00:00"/>
    <x v="2"/>
    <x v="1"/>
    <n v="2"/>
    <d v="1899-12-30T10:00:00"/>
    <d v="1899-12-30T15:00:00"/>
    <n v="5"/>
    <n v="5"/>
    <n v="10"/>
    <x v="3"/>
  </r>
  <r>
    <x v="127"/>
    <n v="600004009810"/>
    <n v="1"/>
    <s v="E33"/>
    <s v="EQDENOM_33"/>
    <x v="32"/>
    <s v="WM02"/>
    <s v="SECTOR_33"/>
    <s v="PLANTA_1"/>
    <s v="ENVASADORA"/>
    <s v="INSTALACION ELECTRICA"/>
    <s v="CONFIGURACION "/>
    <x v="124"/>
    <x v="1"/>
    <d v="2022-05-16T00:00:00"/>
    <x v="1"/>
    <x v="0"/>
    <n v="2"/>
    <d v="1899-12-30T10:00:00"/>
    <d v="1899-12-30T11:00:00"/>
    <n v="1"/>
    <n v="1"/>
    <n v="2"/>
    <x v="0"/>
  </r>
  <r>
    <x v="127"/>
    <n v="600004009842"/>
    <n v="1"/>
    <s v="E13"/>
    <s v="EQDENOM_13"/>
    <x v="12"/>
    <s v="WM06"/>
    <s v="SECTOR_13"/>
    <s v="PLANTA_2"/>
    <s v="PRENSA"/>
    <s v="INSTALACION ELECTRICA"/>
    <s v="MESA"/>
    <x v="31"/>
    <x v="1"/>
    <d v="2022-05-16T00:00:00"/>
    <x v="3"/>
    <x v="0"/>
    <n v="1"/>
    <d v="1899-12-30T10:00:00"/>
    <d v="1899-12-30T11:30:00"/>
    <n v="1.5"/>
    <n v="1.5"/>
    <n v="1.5"/>
    <x v="0"/>
  </r>
  <r>
    <x v="127"/>
    <n v="600004009886"/>
    <n v="1"/>
    <s v="E25"/>
    <s v="EQDENOM_25"/>
    <x v="24"/>
    <s v="WM06"/>
    <s v="SECTOR_25"/>
    <s v="PLANTA_2"/>
    <s v="PRENSA"/>
    <s v="ACCESORIOS"/>
    <s v="VAPOR"/>
    <x v="125"/>
    <x v="1"/>
    <d v="2022-05-16T00:00:00"/>
    <x v="5"/>
    <x v="1"/>
    <n v="2"/>
    <d v="1899-12-30T09:30:00"/>
    <d v="1899-12-30T11:30:00"/>
    <n v="2"/>
    <n v="2"/>
    <n v="4"/>
    <x v="0"/>
  </r>
  <r>
    <x v="127"/>
    <n v="600004009921"/>
    <n v="1"/>
    <s v="E24"/>
    <s v="EQDENOM_24"/>
    <x v="23"/>
    <s v="WM06"/>
    <s v="SECTOR_24"/>
    <s v="PLANTA_2"/>
    <s v="PRENSA"/>
    <s v="ACCESORIOS"/>
    <s v="VAPOR"/>
    <x v="126"/>
    <x v="0"/>
    <d v="2022-05-17T00:00:00"/>
    <x v="4"/>
    <x v="1"/>
    <n v="1"/>
    <d v="1899-12-30T14:30:00"/>
    <d v="1899-12-30T15:30:00"/>
    <n v="1"/>
    <n v="1"/>
    <n v="1"/>
    <x v="0"/>
  </r>
  <r>
    <x v="127"/>
    <n v="600004009809"/>
    <n v="1"/>
    <s v="E48"/>
    <s v="EQDENOM_48"/>
    <x v="47"/>
    <s v="WM06"/>
    <s v="SECTOR_48"/>
    <s v="PLANTA_1"/>
    <s v="PRENSA"/>
    <s v="INSTALACION ELECTRICA"/>
    <s v="TORRE DE DESMOLDE"/>
    <x v="31"/>
    <x v="1"/>
    <d v="2022-05-16T00:00:00"/>
    <x v="6"/>
    <x v="0"/>
    <n v="1"/>
    <d v="1899-12-30T10:00:00"/>
    <d v="1899-12-30T11:00:00"/>
    <n v="1"/>
    <n v="1"/>
    <n v="1"/>
    <x v="0"/>
  </r>
  <r>
    <x v="128"/>
    <n v="600004010392"/>
    <n v="1"/>
    <s v="E80"/>
    <s v="EQDENOM_78"/>
    <x v="79"/>
    <s v="WM04"/>
    <s v="SECTOR_80"/>
    <s v="PLANTA_2"/>
    <s v="HORNO"/>
    <s v="INSTALACION ELECTRICA"/>
    <s v="SALA DE HORNO"/>
    <x v="127"/>
    <x v="0"/>
    <d v="2022-05-17T00:00:00"/>
    <x v="3"/>
    <x v="0"/>
    <n v="2"/>
    <d v="1899-12-30T10:00:00"/>
    <d v="1899-12-30T13:00:00"/>
    <n v="3"/>
    <n v="3"/>
    <n v="6"/>
    <x v="3"/>
  </r>
  <r>
    <x v="129"/>
    <n v="600004018682"/>
    <n v="1"/>
    <s v="E13"/>
    <s v="EQDENOM_13"/>
    <x v="12"/>
    <s v="WM06"/>
    <s v="SECTOR_13"/>
    <s v="PLANTA_2"/>
    <s v="PRENSA"/>
    <s v="INYECCION"/>
    <s v="GUSANO "/>
    <x v="128"/>
    <x v="1"/>
    <d v="2022-05-19T00:00:00"/>
    <x v="3"/>
    <x v="0"/>
    <n v="1"/>
    <d v="1899-12-30T07:00:00"/>
    <d v="1899-12-30T09:30:00"/>
    <n v="2.5"/>
    <n v="2.5"/>
    <n v="2.5"/>
    <x v="3"/>
  </r>
  <r>
    <x v="129"/>
    <n v="600004018621"/>
    <n v="1"/>
    <s v="E18"/>
    <s v="EQDENOM_18"/>
    <x v="17"/>
    <s v="WM06"/>
    <s v="SECTOR_18"/>
    <s v="PLANTA_2"/>
    <s v="PRENSA"/>
    <s v="UNIDAD HIDRAULICA"/>
    <s v="DESCOMPRESION"/>
    <x v="11"/>
    <x v="1"/>
    <d v="2022-05-19T00:00:00"/>
    <x v="5"/>
    <x v="1"/>
    <n v="2"/>
    <d v="1899-12-30T07:30:00"/>
    <d v="1899-12-30T08:30:00"/>
    <n v="1"/>
    <n v="1"/>
    <n v="2"/>
    <x v="0"/>
  </r>
  <r>
    <x v="130"/>
    <n v="600004033574"/>
    <n v="1"/>
    <s v="E08"/>
    <s v="EQDENOM_08"/>
    <x v="7"/>
    <s v="WM06"/>
    <s v="SECTOR_08"/>
    <s v="PLANTA_2"/>
    <s v="PRENSA"/>
    <s v="UNIDAD HIDRAULICA"/>
    <s v="PLATO"/>
    <x v="84"/>
    <x v="1"/>
    <d v="2022-05-20T00:00:00"/>
    <x v="7"/>
    <x v="1"/>
    <n v="3"/>
    <d v="1899-12-30T12:20:00"/>
    <d v="1899-12-30T13:20:00"/>
    <n v="1"/>
    <n v="1"/>
    <n v="3"/>
    <x v="0"/>
  </r>
  <r>
    <x v="130"/>
    <n v="600004033615"/>
    <n v="1"/>
    <s v="E18"/>
    <s v="EQDENOM_18"/>
    <x v="17"/>
    <s v="WM06"/>
    <s v="SECTOR_18"/>
    <s v="PLANTA_2"/>
    <s v="PRENSA"/>
    <s v="ACCESORIOS"/>
    <s v="VAPOR"/>
    <x v="60"/>
    <x v="1"/>
    <d v="2022-05-20T00:00:00"/>
    <x v="5"/>
    <x v="1"/>
    <n v="2"/>
    <d v="1899-12-30T10:00:00"/>
    <d v="1899-12-30T11:30:00"/>
    <n v="1.5"/>
    <n v="1.5"/>
    <n v="3"/>
    <x v="0"/>
  </r>
  <r>
    <x v="131"/>
    <n v="600004034235"/>
    <n v="1"/>
    <s v="E26"/>
    <s v="EQDENOM_26"/>
    <x v="25"/>
    <s v="WM06"/>
    <s v="SECTOR_26"/>
    <s v="PLANTA_2"/>
    <s v="PRENSA"/>
    <s v="UNIDAD HIDRAULICA"/>
    <s v="CILINDRO"/>
    <x v="16"/>
    <x v="1"/>
    <d v="2022-05-23T00:00:00"/>
    <x v="7"/>
    <x v="1"/>
    <n v="2"/>
    <d v="1899-12-30T09:00:00"/>
    <d v="1899-12-30T10:00:00"/>
    <n v="1"/>
    <n v="1"/>
    <n v="2"/>
    <x v="0"/>
  </r>
  <r>
    <x v="131"/>
    <n v="600004034279"/>
    <n v="1"/>
    <s v="E13"/>
    <s v="EQDENOM_13"/>
    <x v="12"/>
    <s v="WM06"/>
    <s v="SECTOR_13"/>
    <s v="PLANTA_2"/>
    <s v="PRENSA"/>
    <s v="INSTALACION ELECTRICA"/>
    <s v="MESA "/>
    <x v="31"/>
    <x v="1"/>
    <d v="2022-05-23T00:00:00"/>
    <x v="3"/>
    <x v="0"/>
    <n v="1"/>
    <d v="1899-12-30T10:30:00"/>
    <d v="1899-12-30T11:30:00"/>
    <n v="1"/>
    <n v="1"/>
    <n v="1"/>
    <x v="0"/>
  </r>
  <r>
    <x v="131"/>
    <n v="600004034276"/>
    <n v="1"/>
    <s v="E20"/>
    <s v="EQDENOM_20"/>
    <x v="19"/>
    <s v="WM01"/>
    <s v="SECTOR_20"/>
    <s v="PLANTA_1"/>
    <s v="REACTOR"/>
    <s v="ACCESORIOS"/>
    <s v="REACTOR"/>
    <x v="22"/>
    <x v="1"/>
    <d v="2022-05-23T00:00:00"/>
    <x v="2"/>
    <x v="1"/>
    <n v="4"/>
    <d v="1899-12-30T10:00:00"/>
    <d v="1899-12-30T16:00:00"/>
    <n v="4"/>
    <n v="4"/>
    <n v="16"/>
    <x v="3"/>
  </r>
  <r>
    <x v="132"/>
    <n v="600004034550"/>
    <n v="1"/>
    <s v="E64"/>
    <s v="EQDENOM_63"/>
    <x v="63"/>
    <s v="WM06"/>
    <s v="SECTOR_64"/>
    <s v="PLANTA_2"/>
    <s v="PRENSA"/>
    <s v="UNIDAD HIDRAULICA"/>
    <s v="PLATO"/>
    <x v="84"/>
    <x v="1"/>
    <d v="2022-05-24T00:00:00"/>
    <x v="5"/>
    <x v="1"/>
    <n v="3"/>
    <d v="1899-12-30T07:30:00"/>
    <d v="1899-12-30T08:30:00"/>
    <n v="1"/>
    <n v="1"/>
    <n v="3"/>
    <x v="0"/>
  </r>
  <r>
    <x v="133"/>
    <n v="600004035013"/>
    <n v="1"/>
    <s v="E57"/>
    <s v="EQDENOM_56"/>
    <x v="56"/>
    <s v="WM06"/>
    <s v="SECTOR_57"/>
    <s v="PLANTA_2"/>
    <s v="PRENSA"/>
    <s v="UNIDAD NEUMATICA"/>
    <s v="NUCLEO"/>
    <x v="11"/>
    <x v="1"/>
    <d v="2022-05-26T00:00:00"/>
    <x v="5"/>
    <x v="1"/>
    <n v="2"/>
    <d v="1899-12-30T07:20:00"/>
    <d v="1899-12-30T08:20:00"/>
    <n v="1"/>
    <n v="1"/>
    <n v="2"/>
    <x v="0"/>
  </r>
  <r>
    <x v="134"/>
    <n v="600004035241"/>
    <n v="1"/>
    <s v="E13"/>
    <s v="EQDENOM_13"/>
    <x v="12"/>
    <s v="WM06"/>
    <s v="SECTOR_13"/>
    <s v="PLANTA_2"/>
    <s v="PRENSA"/>
    <s v="ACCESORIOS"/>
    <s v="SEGURIDAD "/>
    <x v="48"/>
    <x v="1"/>
    <d v="2022-05-27T00:00:00"/>
    <x v="6"/>
    <x v="0"/>
    <n v="1"/>
    <d v="1899-12-30T10:00:00"/>
    <d v="1899-12-30T11:30:00"/>
    <n v="1.5"/>
    <n v="1.5"/>
    <n v="1.5"/>
    <x v="0"/>
  </r>
  <r>
    <x v="134"/>
    <n v="600004035258"/>
    <n v="1"/>
    <s v="E13"/>
    <s v="EQDENOM_13"/>
    <x v="12"/>
    <s v="WM06"/>
    <s v="SECTOR_13"/>
    <s v="PLANTA_2"/>
    <s v="PRENSA"/>
    <s v="INSTALACION ELECTRICA"/>
    <s v="MESA"/>
    <x v="129"/>
    <x v="1"/>
    <d v="2022-05-27T00:00:00"/>
    <x v="6"/>
    <x v="0"/>
    <n v="1"/>
    <d v="1899-12-30T07:30:00"/>
    <d v="1899-12-30T09:00:00"/>
    <n v="1.5"/>
    <n v="1.5"/>
    <n v="1.5"/>
    <x v="0"/>
  </r>
  <r>
    <x v="135"/>
    <n v="600004035916"/>
    <n v="1"/>
    <s v="E11"/>
    <s v="EQDENOM_11"/>
    <x v="10"/>
    <s v="WM01"/>
    <s v="SECTOR_11"/>
    <s v="PLANTA_1"/>
    <s v="FILTRO"/>
    <s v="INSTALACION ELECTRICA"/>
    <s v="CONEXIÓN"/>
    <x v="62"/>
    <x v="0"/>
    <d v="2022-06-11T00:00:00"/>
    <x v="2"/>
    <x v="0"/>
    <n v="2"/>
    <d v="1899-12-30T06:00:00"/>
    <d v="1899-12-30T13:00:00"/>
    <n v="7"/>
    <n v="7"/>
    <n v="14"/>
    <x v="3"/>
  </r>
  <r>
    <x v="136"/>
    <n v="600004036133"/>
    <n v="1"/>
    <s v="E12"/>
    <s v="EQDENOM_12"/>
    <x v="11"/>
    <s v="WM06"/>
    <s v="SECTOR_12"/>
    <s v="PLANTA_2"/>
    <s v="PRENSA"/>
    <s v="UNIDAD HIDRAULICA"/>
    <s v="PLATO"/>
    <x v="84"/>
    <x v="1"/>
    <d v="2022-05-31T00:00:00"/>
    <x v="5"/>
    <x v="1"/>
    <n v="2"/>
    <d v="1899-12-30T12:30:00"/>
    <d v="1899-12-30T13:30:00"/>
    <n v="1"/>
    <n v="1"/>
    <n v="2"/>
    <x v="0"/>
  </r>
  <r>
    <x v="136"/>
    <n v="600004036098"/>
    <n v="1"/>
    <s v="E37"/>
    <s v="EQDENOM_37"/>
    <x v="36"/>
    <s v="WM06"/>
    <s v="SECTOR_37"/>
    <s v="PLANTA_2"/>
    <s v="HORNO"/>
    <s v="ACCESORIOS"/>
    <s v="HORNO"/>
    <x v="130"/>
    <x v="1"/>
    <d v="2022-06-01T00:00:00"/>
    <x v="4"/>
    <x v="1"/>
    <n v="2"/>
    <d v="1899-12-30T09:00:00"/>
    <d v="1899-12-30T11:00:00"/>
    <n v="2"/>
    <n v="2"/>
    <n v="4"/>
    <x v="0"/>
  </r>
  <r>
    <x v="137"/>
    <n v="600004036526"/>
    <n v="1"/>
    <s v="E81"/>
    <s v="EQDENOM_79"/>
    <x v="80"/>
    <s v="WM05"/>
    <s v="SECTOR_81"/>
    <s v="PLANTA_1"/>
    <s v="CARRO"/>
    <s v="INSTALACION ELECTRICA"/>
    <s v="CARRO"/>
    <x v="131"/>
    <x v="1"/>
    <d v="2022-06-01T00:00:00"/>
    <x v="2"/>
    <x v="1"/>
    <n v="1"/>
    <d v="1899-12-30T13:00:00"/>
    <d v="1899-12-30T15:00:00"/>
    <n v="2"/>
    <n v="2"/>
    <n v="2"/>
    <x v="0"/>
  </r>
  <r>
    <x v="138"/>
    <n v="600004036833"/>
    <n v="1"/>
    <s v="E19"/>
    <s v="EQDENOM_19"/>
    <x v="18"/>
    <s v="WM06"/>
    <s v="SECTOR_19"/>
    <s v="PLANTA_2"/>
    <s v="PRENSA"/>
    <s v="INSTALACION ELECTRICA"/>
    <s v="MESA"/>
    <x v="31"/>
    <x v="1"/>
    <d v="2022-06-02T00:00:00"/>
    <x v="6"/>
    <x v="0"/>
    <n v="1"/>
    <d v="1899-12-30T10:00:00"/>
    <d v="1899-12-30T11:00:00"/>
    <n v="1"/>
    <n v="1"/>
    <n v="1"/>
    <x v="0"/>
  </r>
  <r>
    <x v="139"/>
    <n v="600004037002"/>
    <n v="1"/>
    <s v="E78"/>
    <s v="EQDENOM_76"/>
    <x v="77"/>
    <s v="WM04"/>
    <s v="SECTOR_78"/>
    <s v="PLANTA_2"/>
    <s v="TRANSPORT. PINTURA"/>
    <s v="ACCESORIOS"/>
    <s v="TRANSMISION"/>
    <x v="132"/>
    <x v="1"/>
    <d v="2022-06-03T00:00:00"/>
    <x v="5"/>
    <x v="1"/>
    <n v="1"/>
    <d v="1899-12-30T08:00:00"/>
    <d v="1899-12-30T08:30:00"/>
    <n v="0.5"/>
    <n v="0.5"/>
    <n v="0.5"/>
    <x v="0"/>
  </r>
  <r>
    <x v="139"/>
    <n v="600004036982"/>
    <n v="1"/>
    <s v="E30"/>
    <s v="EQDENOM_30"/>
    <x v="29"/>
    <s v="WM06"/>
    <s v="SECTOR_30"/>
    <s v="PLANTA_2"/>
    <s v="PRENSA"/>
    <s v="INSTALACION ELECTRICA"/>
    <s v="NUCLEO"/>
    <x v="31"/>
    <x v="1"/>
    <d v="2022-06-03T00:00:00"/>
    <x v="6"/>
    <x v="0"/>
    <n v="2"/>
    <d v="1899-12-30T07:00:00"/>
    <d v="1899-12-30T09:00:00"/>
    <n v="2"/>
    <n v="2"/>
    <n v="4"/>
    <x v="0"/>
  </r>
  <r>
    <x v="140"/>
    <n v="600004037388"/>
    <n v="1"/>
    <s v="E34"/>
    <s v="EQDENOM_34"/>
    <x v="33"/>
    <s v="WM06"/>
    <s v="SECTOR_34"/>
    <s v="PLANTA_2"/>
    <s v="TRANSPORT. PINTURA"/>
    <s v="INSTALACION ELECTRICA"/>
    <s v="GRIP"/>
    <x v="118"/>
    <x v="1"/>
    <d v="2022-06-06T00:00:00"/>
    <x v="6"/>
    <x v="0"/>
    <n v="1"/>
    <d v="1899-12-30T15:00:00"/>
    <d v="1899-12-30T16:00:00"/>
    <n v="1"/>
    <n v="1"/>
    <n v="1"/>
    <x v="0"/>
  </r>
  <r>
    <x v="141"/>
    <n v="600004037750"/>
    <n v="1"/>
    <s v="E34"/>
    <s v="EQDENOM_34"/>
    <x v="33"/>
    <s v="WM06"/>
    <s v="SECTOR_34"/>
    <s v="PLANTA_2"/>
    <s v="TRANSPORT. PINTURA"/>
    <s v="TRANSMISION"/>
    <s v="CARRO"/>
    <x v="133"/>
    <x v="1"/>
    <d v="2022-06-07T00:00:00"/>
    <x v="7"/>
    <x v="1"/>
    <n v="3"/>
    <d v="1899-12-30T08:50:00"/>
    <d v="1899-12-30T09:50:00"/>
    <n v="1"/>
    <n v="1"/>
    <n v="3"/>
    <x v="0"/>
  </r>
  <r>
    <x v="141"/>
    <n v="600004037690"/>
    <n v="1"/>
    <s v="E18"/>
    <s v="EQDENOM_18"/>
    <x v="17"/>
    <s v="WM06"/>
    <s v="SECTOR_18"/>
    <s v="PLANTA_2"/>
    <s v="PRENSA"/>
    <s v="UNIDAD HIDRAULICA"/>
    <s v="PLATO "/>
    <x v="134"/>
    <x v="1"/>
    <d v="2022-06-07T00:00:00"/>
    <x v="5"/>
    <x v="1"/>
    <n v="2"/>
    <d v="1899-12-30T08:00:00"/>
    <d v="1899-12-30T08:30:00"/>
    <n v="1.5"/>
    <n v="1.5"/>
    <n v="3"/>
    <x v="0"/>
  </r>
  <r>
    <x v="142"/>
    <n v="600004038048"/>
    <n v="1"/>
    <s v="E15"/>
    <s v="EQDENOM_15"/>
    <x v="14"/>
    <s v="WM06"/>
    <s v="SECTOR_15"/>
    <s v="PLANTA_2"/>
    <s v="PRENSA"/>
    <s v="UNIDAD NEUMATICA"/>
    <s v="AIRE"/>
    <x v="135"/>
    <x v="0"/>
    <d v="2022-06-08T00:00:00"/>
    <x v="6"/>
    <x v="0"/>
    <n v="1"/>
    <d v="1899-12-30T14:30:00"/>
    <d v="1899-12-30T16:00:00"/>
    <n v="1.5"/>
    <n v="1.5"/>
    <n v="1.5"/>
    <x v="0"/>
  </r>
  <r>
    <x v="142"/>
    <n v="600004038038"/>
    <n v="1"/>
    <s v="E26"/>
    <s v="EQDENOM_26"/>
    <x v="25"/>
    <s v="WM06"/>
    <s v="SECTOR_26"/>
    <s v="PLANTA_2"/>
    <s v="PRENSA"/>
    <s v="UNIDAD HIDRAULICA"/>
    <s v="MANGUERA"/>
    <x v="52"/>
    <x v="1"/>
    <d v="2022-06-08T00:00:00"/>
    <x v="7"/>
    <x v="1"/>
    <n v="2"/>
    <d v="1899-12-30T12:30:00"/>
    <d v="1899-12-30T13:30:00"/>
    <n v="1"/>
    <n v="1"/>
    <n v="2"/>
    <x v="0"/>
  </r>
  <r>
    <x v="142"/>
    <n v="600004037957"/>
    <n v="1"/>
    <s v="E44"/>
    <s v="EQDENOM_44"/>
    <x v="43"/>
    <s v="WM06"/>
    <s v="SECTOR_44"/>
    <s v="PLANTA_2"/>
    <s v="CABINA DE PINTADO"/>
    <s v="ACCESORIOS"/>
    <s v="VENTANA"/>
    <x v="34"/>
    <x v="1"/>
    <d v="2022-06-08T00:00:00"/>
    <x v="4"/>
    <x v="1"/>
    <n v="1"/>
    <d v="1899-12-30T13:30:00"/>
    <d v="1899-12-30T14:30:00"/>
    <n v="1"/>
    <n v="1"/>
    <n v="1"/>
    <x v="0"/>
  </r>
  <r>
    <x v="142"/>
    <n v="600004038065"/>
    <n v="1"/>
    <s v="E39"/>
    <s v="EQDENOM_39"/>
    <x v="38"/>
    <s v="WM05"/>
    <s v="SECTOR_39"/>
    <s v="PLANTA_1"/>
    <s v="AUTOELEVADOR"/>
    <s v="ACCESORIOS"/>
    <s v="SEGURIDAD "/>
    <x v="136"/>
    <x v="0"/>
    <d v="2022-06-09T00:00:00"/>
    <x v="1"/>
    <x v="1"/>
    <n v="1"/>
    <d v="1899-12-30T07:00:00"/>
    <d v="1899-12-30T11:00:00"/>
    <n v="4"/>
    <n v="4"/>
    <n v="4"/>
    <x v="3"/>
  </r>
  <r>
    <x v="142"/>
    <n v="600004038076"/>
    <n v="1"/>
    <s v="E18"/>
    <s v="EQDENOM_18"/>
    <x v="17"/>
    <s v="WM06"/>
    <s v="SECTOR_18"/>
    <s v="PLANTA_2"/>
    <s v="PRENSA"/>
    <s v="UNIDAD NEUMATICA"/>
    <s v="AUTOFORM"/>
    <x v="11"/>
    <x v="0"/>
    <d v="2022-06-09T00:00:00"/>
    <x v="5"/>
    <x v="1"/>
    <n v="2"/>
    <d v="1899-12-30T09:30:00"/>
    <d v="1899-12-30T10:30:00"/>
    <n v="1"/>
    <n v="1"/>
    <n v="2"/>
    <x v="0"/>
  </r>
  <r>
    <x v="143"/>
    <n v="600004038222"/>
    <n v="1"/>
    <s v="E24"/>
    <s v="EQDENOM_24"/>
    <x v="23"/>
    <s v="WM06"/>
    <s v="SECTOR_24"/>
    <s v="PLANTA_2"/>
    <s v="PRENSA"/>
    <s v="INSTALACION ELECTRICA"/>
    <s v="CABLEADO"/>
    <x v="137"/>
    <x v="1"/>
    <d v="2022-06-09T00:00:00"/>
    <x v="3"/>
    <x v="0"/>
    <n v="1"/>
    <d v="1899-12-30T07:00:00"/>
    <d v="1899-12-30T10:30:00"/>
    <n v="3.5"/>
    <n v="3.5"/>
    <n v="3.5"/>
    <x v="3"/>
  </r>
  <r>
    <x v="144"/>
    <n v="600004038451"/>
    <n v="1"/>
    <s v="E30"/>
    <s v="EQDENOM_30"/>
    <x v="29"/>
    <s v="WM06"/>
    <s v="SECTOR_30"/>
    <s v="PLANTA_2"/>
    <s v="PRENSA"/>
    <s v="UNIDAD HIDRAULICA"/>
    <s v="PISTON LATERAL"/>
    <x v="14"/>
    <x v="1"/>
    <d v="2022-06-10T00:00:00"/>
    <x v="5"/>
    <x v="1"/>
    <n v="2"/>
    <d v="1899-12-30T08:00:00"/>
    <d v="1899-12-30T11:00:00"/>
    <n v="3"/>
    <n v="3"/>
    <n v="6"/>
    <x v="3"/>
  </r>
  <r>
    <x v="144"/>
    <n v="600004038505"/>
    <n v="1"/>
    <s v="E12"/>
    <s v="EQDENOM_12"/>
    <x v="11"/>
    <s v="WM06"/>
    <s v="SECTOR_12"/>
    <s v="PLANTA_2"/>
    <s v="PRENSA"/>
    <s v="INSTALACION ELECTRICA"/>
    <s v="MESA"/>
    <x v="111"/>
    <x v="1"/>
    <d v="2022-06-10T00:00:00"/>
    <x v="6"/>
    <x v="0"/>
    <n v="1"/>
    <d v="1899-12-30T08:00:00"/>
    <d v="1899-12-30T09:00:00"/>
    <n v="1"/>
    <n v="1"/>
    <n v="1"/>
    <x v="0"/>
  </r>
  <r>
    <x v="145"/>
    <n v="600004038878"/>
    <n v="1"/>
    <s v="E47"/>
    <s v="EQDENOM_47"/>
    <x v="46"/>
    <s v="WM06"/>
    <s v="SECTOR_47"/>
    <s v="PLANTA_2"/>
    <s v="CALDERA"/>
    <s v="CALEFACCION"/>
    <s v="SENSOR"/>
    <x v="138"/>
    <x v="1"/>
    <d v="2022-06-13T00:00:00"/>
    <x v="5"/>
    <x v="1"/>
    <n v="2"/>
    <d v="1899-12-30T09:30:00"/>
    <d v="1899-12-30T10:00:00"/>
    <n v="0.5"/>
    <n v="0.5"/>
    <n v="1"/>
    <x v="0"/>
  </r>
  <r>
    <x v="146"/>
    <n v="600004039081"/>
    <n v="1"/>
    <s v="E12"/>
    <s v="EQDENOM_12"/>
    <x v="11"/>
    <s v="WM06"/>
    <s v="SECTOR_12"/>
    <s v="PLANTA_2"/>
    <s v="PRENSA"/>
    <s v="UNIDAD HIDRAULICA"/>
    <s v="MANGUERA"/>
    <x v="14"/>
    <x v="1"/>
    <d v="2022-06-14T00:00:00"/>
    <x v="5"/>
    <x v="1"/>
    <n v="2"/>
    <d v="1899-12-30T12:30:00"/>
    <d v="1899-12-30T13:30:00"/>
    <n v="1"/>
    <n v="1"/>
    <n v="2"/>
    <x v="0"/>
  </r>
  <r>
    <x v="147"/>
    <n v="600004039231"/>
    <n v="1"/>
    <s v="E18"/>
    <s v="EQDENOM_18"/>
    <x v="17"/>
    <s v="WM06"/>
    <s v="SECTOR_18"/>
    <s v="PLANTA_2"/>
    <s v="PRENSA"/>
    <s v="INSTALACION ELECTRICA"/>
    <s v="LIMITE DE NUCLEO"/>
    <x v="31"/>
    <x v="1"/>
    <d v="2022-06-15T00:00:00"/>
    <x v="7"/>
    <x v="1"/>
    <n v="2"/>
    <d v="1899-12-30T13:00:00"/>
    <d v="1899-12-30T13:30:00"/>
    <n v="0.5"/>
    <n v="0.5"/>
    <n v="1"/>
    <x v="0"/>
  </r>
  <r>
    <x v="147"/>
    <n v="600004039229"/>
    <n v="1"/>
    <s v="E64"/>
    <s v="EQDENOM_63"/>
    <x v="63"/>
    <s v="WM06"/>
    <s v="SECTOR_64"/>
    <s v="PLANTA_2"/>
    <s v="PRENSA"/>
    <s v="ACCESORIOS"/>
    <s v="PUERTA"/>
    <x v="34"/>
    <x v="0"/>
    <d v="2022-06-15T00:00:00"/>
    <x v="4"/>
    <x v="1"/>
    <n v="1"/>
    <d v="1899-12-30T13:00:00"/>
    <d v="1899-12-30T14:00:00"/>
    <n v="1"/>
    <n v="1"/>
    <n v="1"/>
    <x v="0"/>
  </r>
  <r>
    <x v="148"/>
    <n v="600004039433"/>
    <n v="1"/>
    <s v="E71"/>
    <s v="EQDENOM_69"/>
    <x v="70"/>
    <s v="WM08"/>
    <s v="SECTOR_71"/>
    <s v="PLANTA_1"/>
    <s v="ENVASADORA"/>
    <s v="ACCESORIOS"/>
    <s v="LLENADO"/>
    <x v="139"/>
    <x v="1"/>
    <d v="2022-06-16T00:00:00"/>
    <x v="2"/>
    <x v="1"/>
    <n v="2"/>
    <d v="1899-12-30T10:00:00"/>
    <d v="1899-12-30T11:30:00"/>
    <n v="1.5"/>
    <n v="1.5"/>
    <n v="3"/>
    <x v="0"/>
  </r>
  <r>
    <x v="148"/>
    <n v="600004039431"/>
    <n v="1"/>
    <s v="E20"/>
    <s v="EQDENOM_20"/>
    <x v="19"/>
    <s v="WM01"/>
    <s v="SECTOR_20"/>
    <s v="PLANTA_1"/>
    <s v="REACTOR"/>
    <s v="CALEFACCION"/>
    <s v="CAÑERIA"/>
    <x v="140"/>
    <x v="1"/>
    <d v="2022-06-23T00:00:00"/>
    <x v="1"/>
    <x v="1"/>
    <n v="2"/>
    <d v="1899-12-30T06:00:00"/>
    <d v="1899-12-30T16:00:00"/>
    <n v="10"/>
    <n v="10"/>
    <n v="20"/>
    <x v="1"/>
  </r>
  <r>
    <x v="149"/>
    <n v="600004040699"/>
    <n v="1"/>
    <s v="E26"/>
    <s v="EQDENOM_26"/>
    <x v="25"/>
    <s v="WM06"/>
    <s v="SECTOR_26"/>
    <s v="PLANTA_2"/>
    <s v="PRENSA"/>
    <s v="VAPOR"/>
    <s v="NUCLEO"/>
    <x v="60"/>
    <x v="0"/>
    <d v="2022-06-30T00:00:00"/>
    <x v="5"/>
    <x v="1"/>
    <n v="2"/>
    <d v="1899-12-30T10:40:00"/>
    <d v="1899-12-30T11:40:00"/>
    <n v="1"/>
    <n v="1"/>
    <n v="2"/>
    <x v="0"/>
  </r>
  <r>
    <x v="149"/>
    <n v="600004040698"/>
    <n v="1"/>
    <s v="E36"/>
    <s v="EQDENOM_36"/>
    <x v="35"/>
    <s v="WM06"/>
    <s v="SECTOR_36"/>
    <s v="PLANTA_2"/>
    <s v="PRENSA"/>
    <s v="VAPOR"/>
    <s v="NUCLEO"/>
    <x v="8"/>
    <x v="0"/>
    <d v="2022-06-30T00:00:00"/>
    <x v="5"/>
    <x v="1"/>
    <n v="2"/>
    <d v="1899-12-30T09:30:00"/>
    <d v="1899-12-30T10:30:00"/>
    <n v="1"/>
    <n v="1"/>
    <n v="2"/>
    <x v="0"/>
  </r>
  <r>
    <x v="149"/>
    <n v="600004040702"/>
    <n v="1"/>
    <s v="E19"/>
    <s v="EQDENOM_19"/>
    <x v="18"/>
    <s v="WM06"/>
    <s v="SECTOR_19"/>
    <s v="PLANTA_2"/>
    <s v="PRENSA"/>
    <s v="VAPOR"/>
    <s v="ACCESORIOS"/>
    <x v="63"/>
    <x v="0"/>
    <d v="2022-06-30T00:00:00"/>
    <x v="5"/>
    <x v="1"/>
    <n v="2"/>
    <d v="1899-12-30T08:20:00"/>
    <d v="1899-12-30T09:20:00"/>
    <n v="1"/>
    <n v="1"/>
    <n v="2"/>
    <x v="0"/>
  </r>
  <r>
    <x v="149"/>
    <n v="600004040701"/>
    <n v="1"/>
    <s v="E57"/>
    <s v="EQDENOM_56"/>
    <x v="56"/>
    <s v="WM06"/>
    <s v="SECTOR_57"/>
    <s v="PLANTA_2"/>
    <s v="PRENSA"/>
    <s v="VAPOR"/>
    <s v="MOLDE"/>
    <x v="8"/>
    <x v="0"/>
    <d v="2022-06-24T00:00:00"/>
    <x v="5"/>
    <x v="1"/>
    <n v="2"/>
    <d v="1899-12-30T07:30:00"/>
    <d v="1899-12-30T08:30:00"/>
    <n v="1"/>
    <n v="1"/>
    <n v="2"/>
    <x v="0"/>
  </r>
  <r>
    <x v="149"/>
    <n v="600004040700"/>
    <n v="1"/>
    <s v="E15"/>
    <s v="EQDENOM_15"/>
    <x v="14"/>
    <s v="WM06"/>
    <s v="SECTOR_15"/>
    <s v="PLANTA_2"/>
    <s v="PRENSA"/>
    <s v="VAPOR"/>
    <s v="MOLDE"/>
    <x v="8"/>
    <x v="0"/>
    <d v="2022-06-24T00:00:00"/>
    <x v="5"/>
    <x v="1"/>
    <n v="2"/>
    <d v="1899-12-30T12:30:00"/>
    <d v="1899-12-30T13:00:00"/>
    <n v="0.5"/>
    <n v="0.5"/>
    <n v="1"/>
    <x v="0"/>
  </r>
  <r>
    <x v="149"/>
    <n v="600004040697"/>
    <n v="1"/>
    <s v="E18"/>
    <s v="EQDENOM_18"/>
    <x v="17"/>
    <s v="WM06"/>
    <s v="SECTOR_18"/>
    <s v="PLANTA_2"/>
    <s v="PRENSA"/>
    <s v="VAPOR"/>
    <s v="MOLDE"/>
    <x v="8"/>
    <x v="0"/>
    <d v="2022-06-24T00:00:00"/>
    <x v="5"/>
    <x v="1"/>
    <n v="2"/>
    <d v="1899-12-30T09:30:00"/>
    <d v="1899-12-30T11:30:00"/>
    <n v="2"/>
    <n v="2"/>
    <n v="4"/>
    <x v="0"/>
  </r>
  <r>
    <x v="149"/>
    <n v="600004040695"/>
    <n v="1"/>
    <s v="E24"/>
    <s v="EQDENOM_24"/>
    <x v="23"/>
    <s v="WM06"/>
    <s v="SECTOR_24"/>
    <s v="PLANTA_2"/>
    <s v="PRENSA"/>
    <s v="VAPOR"/>
    <s v="NUCLEO"/>
    <x v="60"/>
    <x v="0"/>
    <d v="2022-06-24T00:00:00"/>
    <x v="4"/>
    <x v="1"/>
    <n v="2"/>
    <d v="1899-12-30T13:00:00"/>
    <d v="1899-12-30T14:00:00"/>
    <n v="1"/>
    <n v="1"/>
    <n v="2"/>
    <x v="0"/>
  </r>
  <r>
    <x v="149"/>
    <n v="600004040696"/>
    <n v="1"/>
    <s v="E30"/>
    <s v="EQDENOM_30"/>
    <x v="29"/>
    <s v="WM06"/>
    <s v="SECTOR_30"/>
    <s v="PLANTA_2"/>
    <s v="PRENSA"/>
    <s v="VAPOR"/>
    <s v="MOLDE"/>
    <x v="8"/>
    <x v="0"/>
    <d v="2022-06-24T00:00:00"/>
    <x v="4"/>
    <x v="1"/>
    <n v="2"/>
    <d v="1899-12-30T14:00:00"/>
    <d v="1899-12-30T15:00:00"/>
    <n v="1"/>
    <n v="1"/>
    <n v="2"/>
    <x v="0"/>
  </r>
  <r>
    <x v="150"/>
    <n v="600004041201"/>
    <n v="1"/>
    <s v="E05"/>
    <s v="EQDENOM_05"/>
    <x v="4"/>
    <s v="WM01"/>
    <s v="SECTOR_05"/>
    <s v="PLANTA_2"/>
    <s v="SECADOR"/>
    <s v="ACCESORIOS"/>
    <s v="ATOMIZADOR"/>
    <x v="141"/>
    <x v="1"/>
    <d v="2022-06-23T00:00:00"/>
    <x v="2"/>
    <x v="1"/>
    <n v="2"/>
    <d v="1899-12-30T14:30:00"/>
    <d v="1899-12-30T15:30:00"/>
    <n v="1"/>
    <n v="1"/>
    <n v="2"/>
    <x v="0"/>
  </r>
  <r>
    <x v="150"/>
    <n v="600004041195"/>
    <n v="1"/>
    <s v="E37"/>
    <s v="EQDENOM_37"/>
    <x v="36"/>
    <s v="WM06"/>
    <s v="SECTOR_37"/>
    <s v="PLANTA_2"/>
    <s v="HORNO"/>
    <s v="VAPOR"/>
    <s v="HORNO"/>
    <x v="8"/>
    <x v="1"/>
    <d v="2022-06-23T00:00:00"/>
    <x v="5"/>
    <x v="1"/>
    <n v="1"/>
    <d v="1899-12-30T14:00:00"/>
    <d v="1899-12-30T14:30:00"/>
    <n v="0.5"/>
    <n v="0.5"/>
    <n v="0.5"/>
    <x v="0"/>
  </r>
  <r>
    <x v="150"/>
    <n v="600004041112"/>
    <n v="1"/>
    <s v="E82"/>
    <s v="EQDENOM_80"/>
    <x v="81"/>
    <s v="WM06"/>
    <s v="SECTOR_82"/>
    <s v="PLANTA_2"/>
    <s v="PULIDORA"/>
    <s v="TRANSMISION"/>
    <s v="CADENA"/>
    <x v="142"/>
    <x v="1"/>
    <d v="2022-06-23T00:00:00"/>
    <x v="5"/>
    <x v="1"/>
    <n v="3"/>
    <d v="1899-12-30T07:00:00"/>
    <d v="1899-12-30T08:00:00"/>
    <n v="1"/>
    <n v="1"/>
    <n v="3"/>
    <x v="0"/>
  </r>
  <r>
    <x v="151"/>
    <n v="600004041439"/>
    <n v="1"/>
    <s v="E23"/>
    <s v="EQDENOM_23"/>
    <x v="22"/>
    <s v="WM06"/>
    <s v="SECTOR_23"/>
    <s v="PLANTA_2"/>
    <s v="PRENSA"/>
    <s v="SEGURIDAD "/>
    <s v="ACCESORIOS"/>
    <x v="143"/>
    <x v="1"/>
    <d v="2022-06-24T00:00:00"/>
    <x v="3"/>
    <x v="0"/>
    <n v="1"/>
    <d v="1899-12-30T07:30:00"/>
    <d v="1899-12-30T08:30:00"/>
    <n v="1"/>
    <n v="1"/>
    <n v="1"/>
    <x v="0"/>
  </r>
  <r>
    <x v="151"/>
    <n v="600004041419"/>
    <n v="1"/>
    <s v="E51"/>
    <s v="EQDENOM_51"/>
    <x v="50"/>
    <s v="WM06"/>
    <s v="SECTOR_51"/>
    <s v="PLANTA_2"/>
    <s v="PRENSA"/>
    <s v="SOPORTE"/>
    <s v="ACCESORIOS"/>
    <x v="144"/>
    <x v="1"/>
    <d v="2022-06-24T00:00:00"/>
    <x v="4"/>
    <x v="1"/>
    <n v="1"/>
    <d v="1899-12-30T15:00:00"/>
    <d v="1899-12-30T15:30:00"/>
    <n v="0.5"/>
    <n v="0.5"/>
    <n v="0.5"/>
    <x v="0"/>
  </r>
  <r>
    <x v="152"/>
    <n v="600004041905"/>
    <n v="1"/>
    <s v="E16"/>
    <s v="EQDENOM_16"/>
    <x v="15"/>
    <s v="WM07"/>
    <s v="SECTOR_16"/>
    <s v="PLANTA_2"/>
    <s v="CORTADORA"/>
    <s v="DAY"/>
    <s v="TORNILLOS"/>
    <x v="50"/>
    <x v="1"/>
    <d v="2022-06-27T00:00:00"/>
    <x v="5"/>
    <x v="1"/>
    <n v="2"/>
    <d v="1899-12-30T08:30:00"/>
    <d v="1899-12-30T10:30:00"/>
    <n v="2"/>
    <n v="2"/>
    <n v="4"/>
    <x v="0"/>
  </r>
  <r>
    <x v="152"/>
    <n v="600004041912"/>
    <n v="1"/>
    <s v="E48"/>
    <s v="EQDENOM_48"/>
    <x v="47"/>
    <s v="WM06"/>
    <s v="SECTOR_48"/>
    <s v="PLANTA_1"/>
    <s v="PRENSA"/>
    <s v="UNIDAD NEUMATICA"/>
    <s v="ACCESORIOS"/>
    <x v="14"/>
    <x v="1"/>
    <d v="2022-06-27T00:00:00"/>
    <x v="4"/>
    <x v="1"/>
    <n v="1"/>
    <d v="1899-12-30T07:30:00"/>
    <d v="1899-12-30T09:00:00"/>
    <n v="1.5"/>
    <n v="1.5"/>
    <n v="1.5"/>
    <x v="0"/>
  </r>
  <r>
    <x v="153"/>
    <n v="600004042275"/>
    <n v="1"/>
    <s v="E83"/>
    <s v="EQDENOM_81"/>
    <x v="82"/>
    <s v="WM06"/>
    <s v="SECTOR_83"/>
    <s v="PLANTA_2"/>
    <s v="PRENSA"/>
    <s v="ACCESORIOS"/>
    <s v="MORDAZA"/>
    <x v="112"/>
    <x v="1"/>
    <d v="2022-06-28T00:00:00"/>
    <x v="4"/>
    <x v="1"/>
    <n v="1"/>
    <d v="1899-12-30T09:30:00"/>
    <d v="1899-12-30T10:30:00"/>
    <n v="1"/>
    <n v="1"/>
    <n v="1"/>
    <x v="0"/>
  </r>
  <r>
    <x v="153"/>
    <n v="600004042274"/>
    <n v="1"/>
    <s v="E12"/>
    <s v="EQDENOM_12"/>
    <x v="11"/>
    <s v="WM06"/>
    <s v="SECTOR_12"/>
    <s v="PLANTA_2"/>
    <s v="PRENSA"/>
    <s v="UNIDAD HIDRAULICA"/>
    <s v="CILINDRO"/>
    <x v="84"/>
    <x v="1"/>
    <d v="2022-06-29T00:00:00"/>
    <x v="5"/>
    <x v="1"/>
    <n v="1"/>
    <d v="1899-12-30T12:30:00"/>
    <d v="1899-12-30T13:30:00"/>
    <n v="1"/>
    <n v="1"/>
    <n v="1"/>
    <x v="0"/>
  </r>
  <r>
    <x v="153"/>
    <n v="600004042290"/>
    <n v="1"/>
    <s v="E75"/>
    <s v="EQDENOM_73"/>
    <x v="74"/>
    <s v="WM01"/>
    <s v="SECTOR_75"/>
    <s v="PLANTA_1"/>
    <s v="DISPERSORA"/>
    <s v="UNIDAD HIDRAULICA"/>
    <s v="CAÑERIA"/>
    <x v="22"/>
    <x v="1"/>
    <d v="2022-06-28T00:00:00"/>
    <x v="1"/>
    <x v="1"/>
    <n v="2"/>
    <d v="1899-12-30T13:00:00"/>
    <d v="1899-12-30T15:00:00"/>
    <n v="2"/>
    <n v="2"/>
    <n v="4"/>
    <x v="0"/>
  </r>
  <r>
    <x v="154"/>
    <n v="600004042476"/>
    <n v="1"/>
    <s v="E49"/>
    <s v="EQDENOM_49"/>
    <x v="48"/>
    <s v="WM06"/>
    <s v="SECTOR_49"/>
    <s v="PLANTA_2"/>
    <s v="RECORTADORA"/>
    <s v="ACCESORIOS"/>
    <s v="LUBRICACION"/>
    <x v="14"/>
    <x v="1"/>
    <d v="2022-06-29T00:00:00"/>
    <x v="4"/>
    <x v="1"/>
    <n v="2"/>
    <d v="1899-12-30T09:30:00"/>
    <d v="1899-12-30T10:30:00"/>
    <n v="1"/>
    <n v="1"/>
    <n v="2"/>
    <x v="0"/>
  </r>
  <r>
    <x v="154"/>
    <n v="600004043578"/>
    <n v="1"/>
    <s v="E28"/>
    <s v="EQDENOM_28"/>
    <x v="27"/>
    <s v="WM05"/>
    <s v="SECTOR_28"/>
    <s v="PLANTA_2"/>
    <s v="AUTOELEVADOR"/>
    <s v="TRANSMISION"/>
    <s v="TORRE"/>
    <x v="13"/>
    <x v="0"/>
    <d v="2022-06-29T00:00:00"/>
    <x v="1"/>
    <x v="1"/>
    <n v="2"/>
    <d v="1899-12-30T07:00:00"/>
    <d v="1899-12-30T16:00:00"/>
    <n v="9"/>
    <n v="9"/>
    <n v="18"/>
    <x v="1"/>
  </r>
  <r>
    <x v="155"/>
    <n v="600004043892"/>
    <n v="1"/>
    <s v="E78"/>
    <s v="EQDENOM_76"/>
    <x v="77"/>
    <s v="WM04"/>
    <s v="SECTOR_78"/>
    <s v="PLANTA_2"/>
    <s v="TRANSPORT. PINTURA"/>
    <s v="UNIDAD NEUMATICA"/>
    <s v="ACCESORIOS"/>
    <x v="14"/>
    <x v="1"/>
    <d v="2022-06-30T00:00:00"/>
    <x v="3"/>
    <x v="1"/>
    <n v="2"/>
    <d v="1899-12-30T11:00:00"/>
    <d v="1899-12-30T12:00:00"/>
    <n v="1"/>
    <n v="1"/>
    <n v="2"/>
    <x v="0"/>
  </r>
  <r>
    <x v="155"/>
    <n v="600004043816"/>
    <n v="1"/>
    <s v="E48"/>
    <s v="EQDENOM_48"/>
    <x v="47"/>
    <s v="WM06"/>
    <s v="SECTOR_48"/>
    <s v="PLANTA_1"/>
    <s v="PRENSA"/>
    <s v="SEGURIDAD "/>
    <s v="ACCESORIOS"/>
    <x v="145"/>
    <x v="1"/>
    <d v="2022-06-30T00:00:00"/>
    <x v="4"/>
    <x v="1"/>
    <n v="3"/>
    <d v="1899-12-30T13:00:00"/>
    <d v="1899-12-30T14:00:00"/>
    <n v="1"/>
    <n v="1"/>
    <n v="3"/>
    <x v="0"/>
  </r>
  <r>
    <x v="155"/>
    <n v="600004043857"/>
    <n v="1"/>
    <s v="E01"/>
    <s v="EQDENOM_01"/>
    <x v="0"/>
    <s v="WM01"/>
    <s v="SECTOR_01"/>
    <s v="PLANTA_1"/>
    <s v="REACTOR"/>
    <s v="SUCCION"/>
    <s v="CAÑERIA"/>
    <x v="146"/>
    <x v="1"/>
    <d v="2022-06-30T00:00:00"/>
    <x v="2"/>
    <x v="1"/>
    <n v="3"/>
    <d v="1899-12-30T07:00:00"/>
    <d v="1899-12-30T12:00:00"/>
    <n v="5"/>
    <n v="5"/>
    <n v="15"/>
    <x v="3"/>
  </r>
  <r>
    <x v="156"/>
    <n v="600004044306"/>
    <n v="1"/>
    <s v="E34"/>
    <s v="EQDENOM_34"/>
    <x v="33"/>
    <s v="WM06"/>
    <s v="SECTOR_34"/>
    <s v="PLANTA_2"/>
    <s v="TRANSPORT. PINTURA"/>
    <s v="NORIA"/>
    <s v="CARRO"/>
    <x v="147"/>
    <x v="1"/>
    <d v="2022-07-01T00:00:00"/>
    <x v="3"/>
    <x v="1"/>
    <n v="1"/>
    <d v="1899-12-30T10:00:00"/>
    <d v="1899-12-30T11:30:00"/>
    <n v="1.5"/>
    <n v="1.5"/>
    <n v="1.5"/>
    <x v="0"/>
  </r>
  <r>
    <x v="156"/>
    <n v="600004044269"/>
    <n v="1"/>
    <s v="E48"/>
    <s v="EQDENOM_48"/>
    <x v="47"/>
    <s v="WM06"/>
    <s v="SECTOR_48"/>
    <s v="PLANTA_1"/>
    <s v="PRENSA"/>
    <s v="INSTALACION ELECTRICA"/>
    <s v="MESA"/>
    <x v="31"/>
    <x v="1"/>
    <d v="2022-07-01T00:00:00"/>
    <x v="6"/>
    <x v="0"/>
    <n v="1"/>
    <d v="1899-12-30T15:30:00"/>
    <d v="1899-12-30T16:30:00"/>
    <n v="1"/>
    <n v="1"/>
    <n v="1"/>
    <x v="0"/>
  </r>
  <r>
    <x v="156"/>
    <n v="600004044268"/>
    <n v="1"/>
    <s v="E18"/>
    <s v="EQDENOM_18"/>
    <x v="17"/>
    <s v="WM06"/>
    <s v="SECTOR_18"/>
    <s v="PLANTA_2"/>
    <s v="PRENSA"/>
    <s v="UNIDAD HIDRAULICA"/>
    <s v="PLATO"/>
    <x v="14"/>
    <x v="1"/>
    <d v="2022-07-01T00:00:00"/>
    <x v="5"/>
    <x v="1"/>
    <n v="2"/>
    <d v="1899-12-30T07:30:00"/>
    <d v="1899-12-30T09:30:00"/>
    <n v="2"/>
    <n v="2"/>
    <n v="4"/>
    <x v="0"/>
  </r>
  <r>
    <x v="157"/>
    <n v="600004044912"/>
    <n v="1"/>
    <s v="E31"/>
    <s v="EQDENOM_31"/>
    <x v="30"/>
    <s v="WM06"/>
    <s v="SECTOR_31"/>
    <s v="PLANTA_2"/>
    <s v="PULIDORA"/>
    <s v="INSTALACION ELECTRICA"/>
    <s v="ACCESORIOS"/>
    <x v="148"/>
    <x v="1"/>
    <d v="2022-07-04T00:00:00"/>
    <x v="3"/>
    <x v="0"/>
    <n v="1"/>
    <d v="1899-12-30T07:30:00"/>
    <d v="1899-12-30T09:00:00"/>
    <n v="1.5"/>
    <n v="1.5"/>
    <n v="1.5"/>
    <x v="0"/>
  </r>
  <r>
    <x v="157"/>
    <n v="600004044998"/>
    <n v="1"/>
    <s v="E48"/>
    <s v="EQDENOM_48"/>
    <x v="47"/>
    <s v="WM06"/>
    <s v="SECTOR_48"/>
    <s v="PLANTA_1"/>
    <s v="PRENSA"/>
    <s v="DESMOLDE"/>
    <s v="COLUMNA"/>
    <x v="66"/>
    <x v="1"/>
    <d v="2022-07-05T00:00:00"/>
    <x v="5"/>
    <x v="1"/>
    <n v="1"/>
    <d v="1899-12-30T10:00:00"/>
    <d v="1899-12-30T11:00:00"/>
    <n v="1"/>
    <n v="1"/>
    <n v="1"/>
    <x v="0"/>
  </r>
  <r>
    <x v="157"/>
    <n v="600004044959"/>
    <n v="1"/>
    <s v="E12"/>
    <s v="EQDENOM_12"/>
    <x v="11"/>
    <s v="WM06"/>
    <s v="SECTOR_12"/>
    <s v="PLANTA_2"/>
    <s v="PRENSA"/>
    <s v="UNIDAD HIDRAULICA"/>
    <s v="CILINDRO PRNCIPAL"/>
    <x v="74"/>
    <x v="1"/>
    <d v="2022-07-12T00:00:00"/>
    <x v="5"/>
    <x v="1"/>
    <n v="3"/>
    <d v="1899-12-30T06:00:00"/>
    <d v="1899-12-30T16:00:00"/>
    <n v="10"/>
    <n v="10"/>
    <n v="30"/>
    <x v="1"/>
  </r>
  <r>
    <x v="158"/>
    <n v="600004045183"/>
    <n v="1"/>
    <s v="E34"/>
    <s v="EQDENOM_34"/>
    <x v="33"/>
    <s v="WM06"/>
    <s v="SECTOR_34"/>
    <s v="PLANTA_2"/>
    <s v="TRANSPORT. PINTURA"/>
    <s v="GRIP"/>
    <s v="CARRO"/>
    <x v="118"/>
    <x v="1"/>
    <d v="2022-07-05T00:00:00"/>
    <x v="3"/>
    <x v="0"/>
    <n v="1"/>
    <d v="1899-12-30T12:00:00"/>
    <d v="1899-12-30T13:30:00"/>
    <n v="1.5"/>
    <n v="1.5"/>
    <n v="1.5"/>
    <x v="0"/>
  </r>
  <r>
    <x v="159"/>
    <n v="600004045542"/>
    <n v="1"/>
    <s v="E51"/>
    <s v="EQDENOM_51"/>
    <x v="50"/>
    <s v="WM06"/>
    <s v="SECTOR_51"/>
    <s v="PLANTA_2"/>
    <s v="PRENSA"/>
    <s v="TEMPERATURA"/>
    <s v="SENSOR"/>
    <x v="89"/>
    <x v="1"/>
    <d v="2022-07-07T00:00:00"/>
    <x v="6"/>
    <x v="0"/>
    <n v="2"/>
    <d v="1899-12-30T07:00:00"/>
    <d v="1899-12-30T09:00:00"/>
    <n v="2"/>
    <n v="0"/>
    <n v="4"/>
    <x v="2"/>
  </r>
  <r>
    <x v="159"/>
    <n v="600004045571"/>
    <n v="1"/>
    <s v="E64"/>
    <s v="EQDENOM_63"/>
    <x v="63"/>
    <s v="WM06"/>
    <s v="SECTOR_64"/>
    <s v="PLANTA_2"/>
    <s v="PRENSA"/>
    <s v="UNIDAD HIDRAULICA"/>
    <s v="PLATO"/>
    <x v="14"/>
    <x v="1"/>
    <d v="2022-07-08T00:00:00"/>
    <x v="5"/>
    <x v="1"/>
    <n v="2"/>
    <d v="1899-12-30T12:30:00"/>
    <d v="1899-12-30T14:30:00"/>
    <n v="2"/>
    <n v="2"/>
    <n v="4"/>
    <x v="0"/>
  </r>
  <r>
    <x v="159"/>
    <n v="600004045540"/>
    <n v="1"/>
    <s v="E18"/>
    <s v="EQDENOM_18"/>
    <x v="17"/>
    <s v="WM06"/>
    <s v="SECTOR_18"/>
    <s v="PLANTA_2"/>
    <s v="PRENSA"/>
    <s v="UNIDAD HIDRAULICA"/>
    <s v="BOMBA"/>
    <x v="14"/>
    <x v="1"/>
    <d v="2022-07-07T00:00:00"/>
    <x v="5"/>
    <x v="1"/>
    <n v="3"/>
    <d v="1899-12-30T07:30:00"/>
    <d v="1899-12-30T10:30:00"/>
    <n v="3"/>
    <n v="3"/>
    <n v="9"/>
    <x v="3"/>
  </r>
  <r>
    <x v="159"/>
    <n v="600004045570"/>
    <n v="1"/>
    <s v="E19"/>
    <s v="EQDENOM_19"/>
    <x v="18"/>
    <s v="WM06"/>
    <s v="SECTOR_19"/>
    <s v="PLANTA_2"/>
    <s v="PRENSA"/>
    <s v="UNIDAD HIDRAULICA"/>
    <s v="PLATO"/>
    <x v="14"/>
    <x v="1"/>
    <d v="2022-07-08T00:00:00"/>
    <x v="4"/>
    <x v="1"/>
    <n v="2"/>
    <d v="1899-12-30T10:30:00"/>
    <d v="1899-12-30T11:30:00"/>
    <n v="1"/>
    <n v="1"/>
    <n v="2"/>
    <x v="0"/>
  </r>
  <r>
    <x v="160"/>
    <n v="600004045765"/>
    <n v="1"/>
    <s v="E31"/>
    <s v="EQDENOM_31"/>
    <x v="30"/>
    <s v="WM06"/>
    <s v="SECTOR_31"/>
    <s v="PLANTA_2"/>
    <s v="PULIDORA"/>
    <s v="TRANSMISION"/>
    <s v="CADENA"/>
    <x v="142"/>
    <x v="1"/>
    <d v="2022-07-08T00:00:00"/>
    <x v="5"/>
    <x v="1"/>
    <n v="4"/>
    <d v="1899-12-30T09:00:00"/>
    <d v="1899-12-30T10:00:00"/>
    <n v="1"/>
    <n v="1"/>
    <n v="4"/>
    <x v="0"/>
  </r>
  <r>
    <x v="160"/>
    <n v="600004045769"/>
    <n v="1"/>
    <s v="E48"/>
    <s v="EQDENOM_48"/>
    <x v="47"/>
    <s v="WM06"/>
    <s v="SECTOR_48"/>
    <s v="PLANTA_1"/>
    <s v="PRENSA"/>
    <s v="INSTALACION ELECTRICA"/>
    <s v="NUCLEO"/>
    <x v="31"/>
    <x v="1"/>
    <d v="2022-07-08T00:00:00"/>
    <x v="6"/>
    <x v="0"/>
    <n v="1"/>
    <d v="1899-12-30T09:00:00"/>
    <d v="1899-12-30T10:00:00"/>
    <n v="1"/>
    <n v="1"/>
    <n v="1"/>
    <x v="0"/>
  </r>
  <r>
    <x v="160"/>
    <n v="600004045758"/>
    <n v="1"/>
    <s v="E14"/>
    <s v="EQDENOM_14"/>
    <x v="13"/>
    <s v="WM01"/>
    <s v="SECTOR_14"/>
    <s v="PLANTA_1"/>
    <s v="REACTOR"/>
    <s v="TRANSMISION"/>
    <s v="TRANSPORTE"/>
    <x v="37"/>
    <x v="1"/>
    <d v="2022-07-12T00:00:00"/>
    <x v="2"/>
    <x v="1"/>
    <n v="3"/>
    <d v="1899-12-30T06:00:00"/>
    <d v="1899-12-30T09:00:00"/>
    <n v="3"/>
    <n v="3"/>
    <n v="9"/>
    <x v="3"/>
  </r>
  <r>
    <x v="161"/>
    <n v="600004046107"/>
    <n v="1"/>
    <s v="E05"/>
    <s v="EQDENOM_05"/>
    <x v="4"/>
    <s v="WM01"/>
    <s v="SECTOR_05"/>
    <s v="PLANTA_2"/>
    <s v="SECADOR"/>
    <s v="CICLON"/>
    <s v="TOLVA"/>
    <x v="4"/>
    <x v="1"/>
    <d v="2022-07-11T00:00:00"/>
    <x v="9"/>
    <x v="1"/>
    <n v="2"/>
    <d v="1899-12-30T14:00:00"/>
    <d v="1899-12-30T15:30:00"/>
    <n v="1.5"/>
    <n v="1.5"/>
    <n v="3"/>
    <x v="0"/>
  </r>
  <r>
    <x v="162"/>
    <n v="600004048157"/>
    <n v="1"/>
    <s v="E24"/>
    <s v="EQDENOM_24"/>
    <x v="23"/>
    <s v="WM06"/>
    <s v="SECTOR_24"/>
    <s v="PLANTA_2"/>
    <s v="PRENSA"/>
    <s v="VAPOR "/>
    <s v="NUCLEO"/>
    <x v="8"/>
    <x v="0"/>
    <d v="2022-07-19T00:00:00"/>
    <x v="7"/>
    <x v="1"/>
    <n v="1"/>
    <d v="1899-12-30T07:00:00"/>
    <d v="1899-12-30T08:00:00"/>
    <n v="1"/>
    <n v="1"/>
    <n v="1"/>
    <x v="0"/>
  </r>
  <r>
    <x v="162"/>
    <n v="600004048182"/>
    <n v="1"/>
    <s v="E18"/>
    <s v="EQDENOM_18"/>
    <x v="17"/>
    <s v="WM06"/>
    <s v="SECTOR_18"/>
    <s v="PLANTA_2"/>
    <s v="PRENSA"/>
    <s v="TEMPERATURA"/>
    <s v="POZO"/>
    <x v="89"/>
    <x v="1"/>
    <d v="2022-07-19T00:00:00"/>
    <x v="3"/>
    <x v="0"/>
    <n v="1"/>
    <d v="1899-12-30T13:30:00"/>
    <d v="1899-12-30T15:00:00"/>
    <n v="1.5"/>
    <n v="1.5"/>
    <n v="1.5"/>
    <x v="0"/>
  </r>
  <r>
    <x v="162"/>
    <n v="600004048181"/>
    <n v="1"/>
    <s v="E23"/>
    <s v="EQDENOM_23"/>
    <x v="22"/>
    <s v="WM06"/>
    <s v="SECTOR_23"/>
    <s v="PLANTA_2"/>
    <s v="PRENSA"/>
    <s v="INSTALACION ELECTRICA"/>
    <s v="NUCLEO"/>
    <x v="31"/>
    <x v="1"/>
    <d v="2022-07-19T00:00:00"/>
    <x v="3"/>
    <x v="0"/>
    <n v="1"/>
    <d v="1899-12-30T12:00:00"/>
    <d v="1899-12-30T13:30:00"/>
    <n v="1.5"/>
    <n v="1.5"/>
    <n v="1.5"/>
    <x v="0"/>
  </r>
  <r>
    <x v="162"/>
    <n v="600004048162"/>
    <n v="1"/>
    <s v="E48"/>
    <s v="EQDENOM_48"/>
    <x v="47"/>
    <s v="WM06"/>
    <s v="SECTOR_48"/>
    <s v="PLANTA_1"/>
    <s v="PRENSA"/>
    <s v="VAPOR"/>
    <s v="NUCLEO"/>
    <x v="8"/>
    <x v="0"/>
    <d v="2022-07-19T00:00:00"/>
    <x v="5"/>
    <x v="1"/>
    <n v="1"/>
    <d v="1899-12-30T08:00:00"/>
    <d v="1899-12-30T09:00:00"/>
    <n v="1"/>
    <n v="1"/>
    <n v="1"/>
    <x v="0"/>
  </r>
  <r>
    <x v="162"/>
    <n v="600004048159"/>
    <n v="1"/>
    <s v="E18"/>
    <s v="EQDENOM_18"/>
    <x v="17"/>
    <s v="WM06"/>
    <s v="SECTOR_18"/>
    <s v="PLANTA_2"/>
    <s v="PRENSA"/>
    <s v="VAPOR"/>
    <s v="RETORNO"/>
    <x v="149"/>
    <x v="0"/>
    <d v="2022-07-19T00:00:00"/>
    <x v="5"/>
    <x v="1"/>
    <n v="2"/>
    <d v="1899-12-30T09:30:00"/>
    <d v="1899-12-30T11:30:00"/>
    <n v="2"/>
    <n v="2"/>
    <n v="4"/>
    <x v="0"/>
  </r>
  <r>
    <x v="163"/>
    <n v="600004048553"/>
    <n v="1"/>
    <s v="E48"/>
    <s v="EQDENOM_48"/>
    <x v="47"/>
    <s v="WM06"/>
    <s v="SECTOR_48"/>
    <s v="PLANTA_1"/>
    <s v="PRENSA"/>
    <s v="UNIDAD HIDRAULICA"/>
    <s v="MOTOR"/>
    <x v="35"/>
    <x v="0"/>
    <d v="2022-07-27T00:00:00"/>
    <x v="7"/>
    <x v="1"/>
    <n v="2"/>
    <d v="1899-12-30T07:00:00"/>
    <d v="1899-12-30T16:00:00"/>
    <n v="9"/>
    <n v="9"/>
    <n v="18"/>
    <x v="1"/>
  </r>
  <r>
    <x v="164"/>
    <n v="600004051424"/>
    <n v="1"/>
    <s v="E31"/>
    <s v="EQDENOM_31"/>
    <x v="30"/>
    <s v="WM06"/>
    <s v="SECTOR_31"/>
    <s v="PLANTA_2"/>
    <s v="PULIDORA"/>
    <s v="CABEZAL"/>
    <s v="CABEZAL"/>
    <x v="150"/>
    <x v="1"/>
    <d v="2022-08-02T00:00:00"/>
    <x v="5"/>
    <x v="1"/>
    <n v="2"/>
    <d v="1899-12-30T09:30:00"/>
    <d v="1899-12-30T10:30:00"/>
    <n v="1"/>
    <n v="1"/>
    <n v="2"/>
    <x v="0"/>
  </r>
  <r>
    <x v="164"/>
    <n v="600004051389"/>
    <n v="1"/>
    <s v="E08"/>
    <s v="EQDENOM_08"/>
    <x v="7"/>
    <s v="WM06"/>
    <s v="SECTOR_08"/>
    <s v="PLANTA_2"/>
    <s v="PRENSA"/>
    <s v="UNIDAD HIDRAULICA"/>
    <s v="PLATO "/>
    <x v="84"/>
    <x v="1"/>
    <d v="2022-08-02T00:00:00"/>
    <x v="5"/>
    <x v="1"/>
    <n v="2"/>
    <d v="1899-12-30T07:30:00"/>
    <d v="1899-12-30T08:30:00"/>
    <n v="1"/>
    <n v="1"/>
    <n v="2"/>
    <x v="0"/>
  </r>
  <r>
    <x v="165"/>
    <n v="600004051674"/>
    <n v="1"/>
    <s v="E30"/>
    <s v="EQDENOM_30"/>
    <x v="29"/>
    <s v="WM06"/>
    <s v="SECTOR_30"/>
    <s v="PLANTA_2"/>
    <s v="PRENSA"/>
    <s v="SEGURIDAD "/>
    <s v="BARRERA"/>
    <x v="50"/>
    <x v="0"/>
    <d v="2022-08-03T00:00:00"/>
    <x v="6"/>
    <x v="1"/>
    <n v="2"/>
    <d v="1899-12-30T09:00:00"/>
    <d v="1899-12-30T11:00:00"/>
    <n v="2"/>
    <n v="2"/>
    <n v="4"/>
    <x v="0"/>
  </r>
  <r>
    <x v="166"/>
    <n v="600004052187"/>
    <n v="1"/>
    <s v="E12"/>
    <s v="EQDENOM_12"/>
    <x v="11"/>
    <s v="WM06"/>
    <s v="SECTOR_12"/>
    <s v="PLANTA_2"/>
    <s v="PRENSA"/>
    <s v="TEMPERATURA"/>
    <s v="SENSOR"/>
    <x v="89"/>
    <x v="0"/>
    <d v="2022-08-05T00:00:00"/>
    <x v="6"/>
    <x v="0"/>
    <n v="1"/>
    <d v="1899-12-30T10:00:00"/>
    <d v="1899-12-30T14:00:00"/>
    <n v="4"/>
    <n v="4"/>
    <n v="4"/>
    <x v="3"/>
  </r>
  <r>
    <x v="167"/>
    <n v="600004052693"/>
    <n v="1"/>
    <s v="E25"/>
    <s v="EQDENOM_25"/>
    <x v="24"/>
    <s v="WM06"/>
    <s v="SECTOR_25"/>
    <s v="PLANTA_2"/>
    <s v="PRENSA"/>
    <s v="UNIDAD HIDRAULICA"/>
    <s v="PANEL"/>
    <x v="151"/>
    <x v="0"/>
    <d v="2022-08-08T00:00:00"/>
    <x v="3"/>
    <x v="0"/>
    <n v="1"/>
    <d v="1899-12-30T07:30:00"/>
    <d v="1899-12-30T08:30:00"/>
    <n v="1"/>
    <n v="1"/>
    <n v="1"/>
    <x v="0"/>
  </r>
  <r>
    <x v="167"/>
    <n v="600004052711"/>
    <n v="1"/>
    <s v="E30"/>
    <s v="EQDENOM_30"/>
    <x v="29"/>
    <s v="WM06"/>
    <s v="SECTOR_30"/>
    <s v="PLANTA_2"/>
    <s v="PRENSA"/>
    <s v="ACCESORIOS"/>
    <s v="MOLDE"/>
    <x v="152"/>
    <x v="0"/>
    <d v="2022-08-08T00:00:00"/>
    <x v="5"/>
    <x v="1"/>
    <n v="2"/>
    <d v="1899-12-30T09:30:00"/>
    <d v="1899-12-30T10:30:00"/>
    <n v="1"/>
    <n v="1"/>
    <n v="2"/>
    <x v="0"/>
  </r>
  <r>
    <x v="168"/>
    <n v="600004052868"/>
    <n v="1"/>
    <s v="E25"/>
    <s v="EQDENOM_25"/>
    <x v="24"/>
    <s v="WM06"/>
    <s v="SECTOR_25"/>
    <s v="PLANTA_2"/>
    <s v="PRENSA"/>
    <s v="UNIDAD HIDRAULICA"/>
    <s v="VALVULA"/>
    <x v="100"/>
    <x v="0"/>
    <d v="2022-08-09T00:00:00"/>
    <x v="5"/>
    <x v="1"/>
    <n v="2"/>
    <d v="1899-12-30T10:15:00"/>
    <d v="1899-12-30T11:15:00"/>
    <n v="1"/>
    <n v="1"/>
    <n v="2"/>
    <x v="0"/>
  </r>
  <r>
    <x v="169"/>
    <n v="600004053071"/>
    <n v="1"/>
    <s v="E67"/>
    <s v="EQDENOM_66"/>
    <x v="66"/>
    <s v="WM06"/>
    <s v="SECTOR_67"/>
    <s v="PLANTA_2"/>
    <s v="PRENSA"/>
    <s v="ACCESORIOS"/>
    <s v="MESA"/>
    <x v="153"/>
    <x v="0"/>
    <d v="2022-08-10T00:00:00"/>
    <x v="7"/>
    <x v="1"/>
    <n v="2"/>
    <d v="1899-12-30T10:00:00"/>
    <d v="1899-12-30T11:30:00"/>
    <n v="1.5"/>
    <n v="1.5"/>
    <n v="3"/>
    <x v="0"/>
  </r>
  <r>
    <x v="169"/>
    <n v="600004053070"/>
    <n v="1"/>
    <s v="E47"/>
    <s v="EQDENOM_47"/>
    <x v="46"/>
    <s v="WM06"/>
    <s v="SECTOR_47"/>
    <s v="PLANTA_2"/>
    <s v="CALDERA"/>
    <s v="VAPOR"/>
    <s v="ACCESORIOS"/>
    <x v="126"/>
    <x v="0"/>
    <d v="2022-08-11T00:00:00"/>
    <x v="5"/>
    <x v="1"/>
    <n v="2"/>
    <d v="1899-12-30T09:00:00"/>
    <d v="1899-12-30T11:30:00"/>
    <n v="2.5"/>
    <n v="2.5"/>
    <n v="5"/>
    <x v="3"/>
  </r>
  <r>
    <x v="170"/>
    <n v="600004053313"/>
    <n v="1"/>
    <s v="E16"/>
    <s v="EQDENOM_16"/>
    <x v="15"/>
    <s v="WM07"/>
    <s v="SECTOR_16"/>
    <s v="PLANTA_2"/>
    <s v="CORTADORA"/>
    <s v="ACCESORIOS"/>
    <s v="SENSOR"/>
    <x v="154"/>
    <x v="0"/>
    <d v="2022-08-12T00:00:00"/>
    <x v="3"/>
    <x v="0"/>
    <n v="1"/>
    <d v="1899-12-30T12:00:00"/>
    <d v="1899-12-30T15:30:00"/>
    <n v="3.5"/>
    <n v="3.5"/>
    <n v="3.5"/>
    <x v="3"/>
  </r>
  <r>
    <x v="170"/>
    <n v="600004053239"/>
    <n v="1"/>
    <s v="E67"/>
    <s v="EQDENOM_66"/>
    <x v="66"/>
    <s v="WM06"/>
    <s v="SECTOR_67"/>
    <s v="PLANTA_2"/>
    <s v="PRENSA"/>
    <s v="INSTALACION ELECTRICA"/>
    <s v="NUCLEO"/>
    <x v="31"/>
    <x v="0"/>
    <d v="2022-08-11T00:00:00"/>
    <x v="6"/>
    <x v="0"/>
    <n v="1"/>
    <d v="1899-12-30T09:00:00"/>
    <d v="1899-12-30T11:00:00"/>
    <n v="2"/>
    <n v="2"/>
    <n v="2"/>
    <x v="0"/>
  </r>
  <r>
    <x v="171"/>
    <n v="600004053464"/>
    <n v="1"/>
    <s v="E44"/>
    <s v="EQDENOM_44"/>
    <x v="43"/>
    <s v="WM06"/>
    <s v="SECTOR_44"/>
    <s v="PLANTA_2"/>
    <s v="CABINA DE PINTADO"/>
    <s v="ACCESORIOS"/>
    <s v="PUERTA"/>
    <x v="34"/>
    <x v="0"/>
    <d v="2022-08-12T00:00:00"/>
    <x v="5"/>
    <x v="1"/>
    <n v="3"/>
    <d v="1899-12-30T15:00:00"/>
    <d v="1899-12-30T16:00:00"/>
    <n v="1"/>
    <n v="1"/>
    <n v="3"/>
    <x v="0"/>
  </r>
  <r>
    <x v="172"/>
    <n v="600004054149"/>
    <n v="1"/>
    <s v="E47"/>
    <s v="EQDENOM_47"/>
    <x v="46"/>
    <s v="WM06"/>
    <s v="SECTOR_47"/>
    <s v="PLANTA_2"/>
    <s v="CALDERA"/>
    <s v="TEMPERATURA"/>
    <s v="CONTROLADOR"/>
    <x v="155"/>
    <x v="0"/>
    <d v="2022-08-16T00:00:00"/>
    <x v="3"/>
    <x v="0"/>
    <n v="1"/>
    <d v="1899-12-30T07:00:00"/>
    <d v="1899-12-30T08:30:00"/>
    <n v="1.5"/>
    <n v="1.5"/>
    <n v="1.5"/>
    <x v="0"/>
  </r>
  <r>
    <x v="172"/>
    <n v="600004054236"/>
    <n v="1"/>
    <s v="E23"/>
    <s v="EQDENOM_23"/>
    <x v="22"/>
    <s v="WM06"/>
    <s v="SECTOR_23"/>
    <s v="PLANTA_2"/>
    <s v="PRENSA"/>
    <s v="INSTALACION ELECTRICA"/>
    <s v="CONFIGURACION "/>
    <x v="156"/>
    <x v="0"/>
    <d v="2022-08-16T00:00:00"/>
    <x v="3"/>
    <x v="0"/>
    <n v="1"/>
    <d v="1899-12-30T10:00:00"/>
    <d v="1899-12-30T11:30:00"/>
    <n v="1.5"/>
    <n v="1.5"/>
    <n v="1.5"/>
    <x v="0"/>
  </r>
  <r>
    <x v="172"/>
    <n v="600004054151"/>
    <n v="1"/>
    <s v="E25"/>
    <s v="EQDENOM_25"/>
    <x v="24"/>
    <s v="WM06"/>
    <s v="SECTOR_25"/>
    <s v="PLANTA_2"/>
    <s v="PRENSA"/>
    <s v="INSTALACION ELECTRICA"/>
    <s v="CONFIGURACION "/>
    <x v="157"/>
    <x v="0"/>
    <d v="2022-08-16T00:00:00"/>
    <x v="6"/>
    <x v="0"/>
    <n v="1"/>
    <d v="1899-12-30T09:00:00"/>
    <d v="1899-12-30T09:30:00"/>
    <n v="0.5"/>
    <n v="0.5"/>
    <n v="0.5"/>
    <x v="0"/>
  </r>
  <r>
    <x v="173"/>
    <n v="600004054805"/>
    <n v="1"/>
    <s v="E24"/>
    <s v="EQDENOM_24"/>
    <x v="23"/>
    <s v="WM06"/>
    <s v="SECTOR_24"/>
    <s v="PLANTA_2"/>
    <s v="PRENSA"/>
    <s v="VAPOR"/>
    <s v="ACCESORIOS"/>
    <x v="8"/>
    <x v="1"/>
    <d v="2022-08-18T00:00:00"/>
    <x v="7"/>
    <x v="1"/>
    <n v="1"/>
    <d v="1899-12-30T14:00:00"/>
    <d v="1899-12-30T15:00:00"/>
    <n v="1"/>
    <n v="1"/>
    <n v="1"/>
    <x v="0"/>
  </r>
  <r>
    <x v="173"/>
    <n v="600004054808"/>
    <n v="1"/>
    <s v="E63"/>
    <s v="EQDENOM_62"/>
    <x v="62"/>
    <s v="WM06"/>
    <s v="SECTOR_63"/>
    <s v="PLANTA_2"/>
    <s v="HORNO"/>
    <s v="TEMPERATURA"/>
    <s v="VAPOR"/>
    <x v="8"/>
    <x v="0"/>
    <d v="2022-08-18T00:00:00"/>
    <x v="7"/>
    <x v="1"/>
    <n v="2"/>
    <d v="1899-12-30T12:30:00"/>
    <d v="1899-12-30T13:30:00"/>
    <n v="1"/>
    <n v="1"/>
    <n v="2"/>
    <x v="0"/>
  </r>
  <r>
    <x v="173"/>
    <n v="600004054809"/>
    <n v="1"/>
    <s v="E18"/>
    <s v="EQDENOM_18"/>
    <x v="17"/>
    <s v="WM06"/>
    <s v="SECTOR_18"/>
    <s v="PLANTA_2"/>
    <s v="PRENSA"/>
    <s v="VAPOR "/>
    <s v="ACCESORIOS"/>
    <x v="60"/>
    <x v="1"/>
    <d v="2022-08-18T00:00:00"/>
    <x v="5"/>
    <x v="1"/>
    <n v="1"/>
    <d v="1899-12-30T14:00:00"/>
    <d v="1899-12-30T15:00:00"/>
    <n v="1"/>
    <n v="1"/>
    <n v="1"/>
    <x v="0"/>
  </r>
  <r>
    <x v="173"/>
    <n v="600004054826"/>
    <n v="1"/>
    <s v="E33"/>
    <s v="EQDENOM_33"/>
    <x v="32"/>
    <s v="WM02"/>
    <s v="SECTOR_33"/>
    <s v="PLANTA_1"/>
    <s v="ENVASADORA"/>
    <s v="ACCESORIOS"/>
    <s v="BOMBA"/>
    <x v="14"/>
    <x v="0"/>
    <d v="2022-08-18T00:00:00"/>
    <x v="8"/>
    <x v="1"/>
    <n v="2"/>
    <d v="1899-12-30T07:00:00"/>
    <d v="1899-12-30T09:00:00"/>
    <n v="2"/>
    <n v="2"/>
    <n v="4"/>
    <x v="0"/>
  </r>
  <r>
    <x v="174"/>
    <n v="600004055176"/>
    <n v="1"/>
    <s v="E31"/>
    <s v="EQDENOM_31"/>
    <x v="30"/>
    <s v="WM06"/>
    <s v="SECTOR_31"/>
    <s v="PLANTA_2"/>
    <s v="PULIDORA"/>
    <s v="ACCESORIOS"/>
    <s v="TRANSMISION"/>
    <x v="41"/>
    <x v="0"/>
    <d v="2022-08-18T00:00:00"/>
    <x v="5"/>
    <x v="1"/>
    <n v="3"/>
    <d v="1899-12-30T15:00:00"/>
    <d v="1899-12-30T16:00:00"/>
    <n v="1"/>
    <n v="1"/>
    <n v="3"/>
    <x v="0"/>
  </r>
  <r>
    <x v="175"/>
    <n v="600004055754"/>
    <n v="1"/>
    <s v="E76"/>
    <s v="EQDENOM_74"/>
    <x v="75"/>
    <s v="WM02"/>
    <s v="SECTOR_76"/>
    <s v="PLANTA_1"/>
    <s v="MEZCLADORA"/>
    <s v="VAPOR"/>
    <s v="EXTRACCION "/>
    <x v="14"/>
    <x v="0"/>
    <d v="2022-08-22T00:00:00"/>
    <x v="8"/>
    <x v="1"/>
    <n v="2"/>
    <d v="1899-12-30T06:30:00"/>
    <d v="1899-12-30T08:00:00"/>
    <n v="1.5"/>
    <n v="1.5"/>
    <n v="3"/>
    <x v="0"/>
  </r>
  <r>
    <x v="176"/>
    <n v="600004056023"/>
    <n v="1"/>
    <s v="E56"/>
    <s v="EQDENOM_47"/>
    <x v="55"/>
    <s v="WM06"/>
    <s v="SECTOR_56"/>
    <s v="PLANTA_2"/>
    <s v="CALDERA"/>
    <s v="INSTALACION ELECTRICA"/>
    <s v="ACCESORIOS"/>
    <x v="158"/>
    <x v="0"/>
    <d v="2022-08-23T00:00:00"/>
    <x v="3"/>
    <x v="1"/>
    <n v="3"/>
    <d v="1899-12-30T15:00:00"/>
    <d v="1899-12-30T18:00:00"/>
    <n v="3"/>
    <n v="3"/>
    <n v="9"/>
    <x v="3"/>
  </r>
  <r>
    <x v="177"/>
    <n v="600004056428"/>
    <n v="1"/>
    <s v="E84"/>
    <s v="EQDENOM_82"/>
    <x v="83"/>
    <s v="WM04"/>
    <s v="SECTOR_84"/>
    <s v="PLANTA_2"/>
    <s v="CABINA DE PINTADO"/>
    <s v="TRANSMISION"/>
    <s v="ACCESORIOS"/>
    <x v="132"/>
    <x v="0"/>
    <d v="2022-08-25T00:00:00"/>
    <x v="7"/>
    <x v="1"/>
    <n v="1"/>
    <d v="1899-12-30T07:00:00"/>
    <d v="1899-12-30T08:00:00"/>
    <n v="1"/>
    <n v="1"/>
    <n v="1"/>
    <x v="0"/>
  </r>
  <r>
    <x v="178"/>
    <n v="600004056686"/>
    <n v="1"/>
    <s v="E25"/>
    <s v="EQDENOM_25"/>
    <x v="24"/>
    <s v="WM06"/>
    <s v="SECTOR_25"/>
    <s v="PLANTA_2"/>
    <s v="PRENSA"/>
    <s v="INSTALACION ELECTRICA"/>
    <s v="NUCLEO"/>
    <x v="89"/>
    <x v="0"/>
    <d v="2022-08-30T00:00:00"/>
    <x v="3"/>
    <x v="0"/>
    <n v="1"/>
    <d v="1899-12-30T12:00:00"/>
    <d v="1899-12-30T14:30:00"/>
    <n v="2.5"/>
    <n v="2.5"/>
    <n v="2.5"/>
    <x v="3"/>
  </r>
  <r>
    <x v="178"/>
    <n v="600004056692"/>
    <n v="1"/>
    <s v="E67"/>
    <s v="EQDENOM_66"/>
    <x v="66"/>
    <s v="WM06"/>
    <s v="SECTOR_67"/>
    <s v="PLANTA_2"/>
    <s v="PRENSA"/>
    <s v="UNIDAD HIDRAULICA"/>
    <s v="BOMBA"/>
    <x v="14"/>
    <x v="1"/>
    <d v="2022-08-29T00:00:00"/>
    <x v="7"/>
    <x v="1"/>
    <n v="2"/>
    <d v="1899-12-30T07:00:00"/>
    <d v="1899-12-30T08:00:00"/>
    <n v="1"/>
    <n v="1"/>
    <n v="2"/>
    <x v="0"/>
  </r>
  <r>
    <x v="178"/>
    <n v="600004056694"/>
    <n v="1"/>
    <s v="E01"/>
    <s v="EQDENOM_01"/>
    <x v="0"/>
    <s v="WM01"/>
    <s v="SECTOR_01"/>
    <s v="PLANTA_1"/>
    <s v="REACTOR"/>
    <s v="VAPOR"/>
    <s v="EXTRACCION "/>
    <x v="149"/>
    <x v="0"/>
    <d v="2022-08-26T00:00:00"/>
    <x v="8"/>
    <x v="1"/>
    <n v="1"/>
    <d v="1899-12-30T13:30:00"/>
    <d v="1899-12-30T15:30:00"/>
    <n v="2"/>
    <n v="2"/>
    <n v="2"/>
    <x v="0"/>
  </r>
  <r>
    <x v="179"/>
    <n v="600004057250"/>
    <n v="1"/>
    <s v="E31"/>
    <s v="EQDENOM_31"/>
    <x v="30"/>
    <s v="WM06"/>
    <s v="SECTOR_31"/>
    <s v="PLANTA_2"/>
    <s v="PULIDORA"/>
    <s v="UNIDAD NEUMATICA"/>
    <s v="ACCESORIOS"/>
    <x v="11"/>
    <x v="0"/>
    <d v="2022-08-29T00:00:00"/>
    <x v="7"/>
    <x v="1"/>
    <n v="2"/>
    <d v="1899-12-30T12:30:00"/>
    <d v="1899-12-30T13:30:00"/>
    <n v="1"/>
    <n v="1"/>
    <n v="2"/>
    <x v="0"/>
  </r>
  <r>
    <x v="180"/>
    <n v="600004057540"/>
    <n v="1"/>
    <s v="E64"/>
    <s v="EQDENOM_63"/>
    <x v="63"/>
    <s v="WM06"/>
    <s v="SECTOR_64"/>
    <s v="PLANTA_2"/>
    <s v="PRENSA"/>
    <s v="SEGURIDAD "/>
    <s v="ACCESORIOS"/>
    <x v="48"/>
    <x v="1"/>
    <d v="2022-09-12T00:00:00"/>
    <x v="4"/>
    <x v="1"/>
    <n v="1"/>
    <d v="1899-12-30T14:00:00"/>
    <d v="1899-12-30T15:00:00"/>
    <n v="1"/>
    <n v="1"/>
    <n v="1"/>
    <x v="0"/>
  </r>
  <r>
    <x v="181"/>
    <n v="600004058937"/>
    <n v="1"/>
    <s v="E44"/>
    <s v="EQDENOM_44"/>
    <x v="43"/>
    <s v="WM06"/>
    <s v="SECTOR_44"/>
    <s v="PLANTA_2"/>
    <s v="CABINA DE PINTADO"/>
    <s v="INSTALACION ELECTRICA"/>
    <s v="ACCESORIOS"/>
    <x v="159"/>
    <x v="0"/>
    <d v="2022-09-06T00:00:00"/>
    <x v="3"/>
    <x v="0"/>
    <n v="1"/>
    <d v="1899-12-30T07:00:00"/>
    <d v="1899-12-30T11:30:00"/>
    <n v="4.5"/>
    <n v="4.5"/>
    <n v="4.5"/>
    <x v="3"/>
  </r>
  <r>
    <x v="181"/>
    <n v="600004058973"/>
    <n v="1"/>
    <s v="E54"/>
    <s v="EQDENOM_54"/>
    <x v="53"/>
    <s v="WM07"/>
    <s v="SECTOR_54"/>
    <s v="PLANTA_2"/>
    <s v="CORTADORA"/>
    <s v="ACCESORIOS"/>
    <s v="CUCHILLA "/>
    <x v="31"/>
    <x v="0"/>
    <d v="2022-09-05T00:00:00"/>
    <x v="5"/>
    <x v="1"/>
    <n v="3"/>
    <d v="1899-12-30T12:30:00"/>
    <d v="1899-12-30T13:30:00"/>
    <n v="1"/>
    <n v="1"/>
    <n v="3"/>
    <x v="0"/>
  </r>
  <r>
    <x v="181"/>
    <n v="600004058962"/>
    <n v="1"/>
    <s v="E57"/>
    <s v="EQDENOM_56"/>
    <x v="56"/>
    <s v="WM06"/>
    <s v="SECTOR_57"/>
    <s v="PLANTA_2"/>
    <s v="PRENSA"/>
    <s v="SEGURIDAD "/>
    <s v="CANASTO"/>
    <x v="143"/>
    <x v="0"/>
    <d v="2022-09-06T00:00:00"/>
    <x v="7"/>
    <x v="1"/>
    <n v="2"/>
    <d v="1899-12-30T14:00:00"/>
    <d v="1899-12-30T15:00:00"/>
    <n v="1"/>
    <n v="1"/>
    <n v="2"/>
    <x v="0"/>
  </r>
  <r>
    <x v="182"/>
    <n v="600004059274"/>
    <n v="1"/>
    <s v="E57"/>
    <s v="EQDENOM_56"/>
    <x v="56"/>
    <s v="WM06"/>
    <s v="SECTOR_57"/>
    <s v="PLANTA_2"/>
    <s v="PRENSA"/>
    <s v="UNIDAD HIDRAULICA"/>
    <s v="MANIFOLD"/>
    <x v="14"/>
    <x v="0"/>
    <d v="2022-09-06T00:00:00"/>
    <x v="7"/>
    <x v="1"/>
    <n v="2"/>
    <d v="1899-12-30T15:00:00"/>
    <d v="1899-12-30T16:00:00"/>
    <n v="1"/>
    <n v="1"/>
    <n v="2"/>
    <x v="0"/>
  </r>
  <r>
    <x v="182"/>
    <n v="600004059284"/>
    <n v="1"/>
    <s v="E15"/>
    <s v="EQDENOM_15"/>
    <x v="14"/>
    <s v="WM06"/>
    <s v="SECTOR_15"/>
    <s v="PLANTA_2"/>
    <s v="PRENSA"/>
    <s v="INSTALACION ELECTRICA"/>
    <s v="MESA"/>
    <x v="160"/>
    <x v="0"/>
    <d v="2022-09-06T00:00:00"/>
    <x v="3"/>
    <x v="0"/>
    <n v="1"/>
    <d v="1899-12-30T12:00:00"/>
    <d v="1899-12-30T13:30:00"/>
    <n v="1.5"/>
    <n v="1.5"/>
    <n v="1.5"/>
    <x v="0"/>
  </r>
  <r>
    <x v="183"/>
    <n v="600004060144"/>
    <n v="1"/>
    <s v="E30"/>
    <s v="EQDENOM_30"/>
    <x v="29"/>
    <s v="WM06"/>
    <s v="SECTOR_30"/>
    <s v="PLANTA_2"/>
    <s v="PRENSA"/>
    <s v="UNIDAD HIDRAULICA"/>
    <s v="PLATO"/>
    <x v="84"/>
    <x v="0"/>
    <d v="2022-09-12T00:00:00"/>
    <x v="7"/>
    <x v="1"/>
    <n v="2"/>
    <d v="1899-12-30T06:30:00"/>
    <d v="1899-12-30T07:30:00"/>
    <n v="1"/>
    <n v="1"/>
    <n v="2"/>
    <x v="0"/>
  </r>
  <r>
    <x v="184"/>
    <n v="600004061135"/>
    <n v="1"/>
    <s v="E85"/>
    <s v="EQDENOM_83"/>
    <x v="84"/>
    <s v="WM06"/>
    <s v="SECTOR_85"/>
    <s v="PLANTA_2"/>
    <s v="ASPIRADOR"/>
    <s v="INSTALACION ELECTRICA"/>
    <s v="ACCESORIOS"/>
    <x v="161"/>
    <x v="0"/>
    <d v="2022-09-16T00:00:00"/>
    <x v="6"/>
    <x v="0"/>
    <n v="1"/>
    <d v="1899-12-30T08:00:00"/>
    <d v="1899-12-30T09:00:00"/>
    <n v="1"/>
    <n v="1"/>
    <n v="1"/>
    <x v="0"/>
  </r>
  <r>
    <x v="185"/>
    <n v="600004061840"/>
    <n v="1"/>
    <s v="E26"/>
    <s v="EQDENOM_26"/>
    <x v="25"/>
    <s v="WM06"/>
    <s v="SECTOR_26"/>
    <s v="PLANTA_2"/>
    <s v="PRENSA"/>
    <s v="ACCESORIOS"/>
    <s v="VAPOR"/>
    <x v="8"/>
    <x v="1"/>
    <d v="2022-09-17T00:00:00"/>
    <x v="5"/>
    <x v="1"/>
    <n v="2"/>
    <d v="1899-12-30T10:40:00"/>
    <d v="1899-12-30T11:40:00"/>
    <n v="1"/>
    <n v="1"/>
    <n v="2"/>
    <x v="0"/>
  </r>
  <r>
    <x v="185"/>
    <n v="600004061838"/>
    <n v="1"/>
    <s v="E30"/>
    <s v="EQDENOM_30"/>
    <x v="29"/>
    <s v="WM06"/>
    <s v="SECTOR_30"/>
    <s v="PLANTA_2"/>
    <s v="PRENSA"/>
    <s v="ACCESORIOS"/>
    <s v="VAPOR"/>
    <x v="115"/>
    <x v="1"/>
    <d v="2022-09-17T00:00:00"/>
    <x v="5"/>
    <x v="1"/>
    <n v="2"/>
    <d v="1899-12-30T11:40:00"/>
    <d v="1899-12-30T12:40:00"/>
    <n v="1"/>
    <n v="1"/>
    <n v="2"/>
    <x v="0"/>
  </r>
  <r>
    <x v="185"/>
    <n v="600004061839"/>
    <n v="1"/>
    <s v="E67"/>
    <s v="EQDENOM_66"/>
    <x v="66"/>
    <s v="WM06"/>
    <s v="SECTOR_67"/>
    <s v="PLANTA_2"/>
    <s v="PRENSA"/>
    <s v="ACCESORIOS"/>
    <s v="VAPOR"/>
    <x v="8"/>
    <x v="1"/>
    <d v="2022-09-17T00:00:00"/>
    <x v="5"/>
    <x v="1"/>
    <n v="2"/>
    <d v="1899-12-30T09:30:00"/>
    <d v="1899-12-30T10:00:00"/>
    <n v="0.5"/>
    <n v="0.5"/>
    <n v="1"/>
    <x v="0"/>
  </r>
  <r>
    <x v="185"/>
    <n v="600004061892"/>
    <n v="1"/>
    <s v="E49"/>
    <s v="EQDENOM_49"/>
    <x v="48"/>
    <s v="WM06"/>
    <s v="SECTOR_49"/>
    <s v="PLANTA_2"/>
    <s v="RECORTADORA"/>
    <s v="ACCESORIOS"/>
    <s v="LUBRICACION"/>
    <x v="37"/>
    <x v="0"/>
    <d v="2022-09-19T00:00:00"/>
    <x v="5"/>
    <x v="1"/>
    <n v="1"/>
    <d v="1899-12-30T14:00:00"/>
    <d v="1899-12-30T14:30:00"/>
    <n v="0.5"/>
    <n v="0.5"/>
    <n v="0.5"/>
    <x v="0"/>
  </r>
  <r>
    <x v="185"/>
    <n v="600004061844"/>
    <n v="1"/>
    <s v="E57"/>
    <s v="EQDENOM_56"/>
    <x v="56"/>
    <s v="WM06"/>
    <s v="SECTOR_57"/>
    <s v="PLANTA_2"/>
    <s v="PRENSA"/>
    <s v="ACCESORIOS"/>
    <s v="VAPOR"/>
    <x v="60"/>
    <x v="1"/>
    <d v="2022-09-17T00:00:00"/>
    <x v="5"/>
    <x v="1"/>
    <n v="2"/>
    <d v="1899-12-30T10:00:00"/>
    <d v="1899-12-30T11:00:00"/>
    <n v="1"/>
    <n v="1"/>
    <n v="2"/>
    <x v="0"/>
  </r>
  <r>
    <x v="185"/>
    <n v="600004061845"/>
    <n v="1"/>
    <s v="E46"/>
    <s v="EQDENOM_46"/>
    <x v="45"/>
    <s v="WM06"/>
    <s v="SECTOR_46"/>
    <s v="PLANTA_2"/>
    <s v="PRENSA"/>
    <s v="ACCESORIOS"/>
    <s v="VAPOR"/>
    <x v="8"/>
    <x v="1"/>
    <d v="2022-09-17T00:00:00"/>
    <x v="5"/>
    <x v="1"/>
    <n v="2"/>
    <d v="1899-12-30T07:00:00"/>
    <d v="1899-12-30T08:00:00"/>
    <n v="1"/>
    <n v="1"/>
    <n v="2"/>
    <x v="0"/>
  </r>
  <r>
    <x v="186"/>
    <n v="600004062522"/>
    <n v="1"/>
    <s v="E30"/>
    <s v="EQDENOM_30"/>
    <x v="29"/>
    <s v="WM06"/>
    <s v="SECTOR_30"/>
    <s v="PLANTA_2"/>
    <s v="PRENSA"/>
    <s v="UNIDAD HIDRAULICA"/>
    <s v="PLATO"/>
    <x v="84"/>
    <x v="0"/>
    <d v="2022-09-22T00:00:00"/>
    <x v="5"/>
    <x v="1"/>
    <n v="3"/>
    <d v="1899-12-30T07:30:00"/>
    <d v="1899-12-30T09:00:00"/>
    <n v="1.5"/>
    <n v="1.5"/>
    <n v="4.5"/>
    <x v="0"/>
  </r>
  <r>
    <x v="186"/>
    <n v="600004062552"/>
    <n v="1"/>
    <s v="E10"/>
    <s v="EQDENOM_10"/>
    <x v="9"/>
    <s v="WM06"/>
    <s v="SECTOR_10"/>
    <s v="PLANTA_2"/>
    <s v="HORNO"/>
    <s v="ACCESORIOS"/>
    <s v="VAPOR"/>
    <x v="162"/>
    <x v="1"/>
    <d v="2022-09-22T00:00:00"/>
    <x v="5"/>
    <x v="1"/>
    <n v="2"/>
    <d v="1899-12-30T15:00:00"/>
    <d v="1899-12-30T16:00:00"/>
    <n v="1"/>
    <n v="1"/>
    <n v="2"/>
    <x v="0"/>
  </r>
  <r>
    <x v="187"/>
    <n v="600004062702"/>
    <n v="1"/>
    <s v="E12"/>
    <s v="EQDENOM_12"/>
    <x v="11"/>
    <s v="WM06"/>
    <s v="SECTOR_12"/>
    <s v="PLANTA_2"/>
    <s v="PRENSA"/>
    <s v="SEGURIDAD "/>
    <s v="ACCESORIOS"/>
    <x v="48"/>
    <x v="1"/>
    <d v="2022-09-26T00:00:00"/>
    <x v="4"/>
    <x v="1"/>
    <n v="2"/>
    <d v="1899-12-30T09:30:00"/>
    <d v="1899-12-30T11:00:00"/>
    <n v="1.5"/>
    <n v="1.5"/>
    <n v="3"/>
    <x v="0"/>
  </r>
  <r>
    <x v="187"/>
    <n v="600004062710"/>
    <n v="1"/>
    <s v="E08"/>
    <s v="EQDENOM_08"/>
    <x v="7"/>
    <s v="WM06"/>
    <s v="SECTOR_08"/>
    <s v="PLANTA_2"/>
    <s v="PRENSA"/>
    <s v="UNIDAD HIDRAULICA"/>
    <s v="PLATO"/>
    <x v="14"/>
    <x v="1"/>
    <d v="2022-09-23T00:00:00"/>
    <x v="7"/>
    <x v="1"/>
    <n v="3"/>
    <d v="1899-12-30T09:00:00"/>
    <d v="1899-12-30T10:00:00"/>
    <n v="1"/>
    <n v="1"/>
    <n v="3"/>
    <x v="0"/>
  </r>
  <r>
    <x v="187"/>
    <n v="600004062713"/>
    <n v="1"/>
    <s v="E57"/>
    <s v="EQDENOM_56"/>
    <x v="56"/>
    <s v="WM06"/>
    <s v="SECTOR_57"/>
    <s v="PLANTA_2"/>
    <s v="PRENSA"/>
    <s v="CILINDRO"/>
    <s v="BRIDA"/>
    <x v="163"/>
    <x v="1"/>
    <d v="2022-10-20T00:00:00"/>
    <x v="7"/>
    <x v="1"/>
    <n v="2"/>
    <d v="1899-12-30T08:00:00"/>
    <d v="1899-12-30T11:30:00"/>
    <n v="3.5"/>
    <n v="3.5"/>
    <n v="7"/>
    <x v="3"/>
  </r>
  <r>
    <x v="188"/>
    <n v="600004063120"/>
    <n v="1"/>
    <s v="E25"/>
    <s v="EQDENOM_25"/>
    <x v="24"/>
    <s v="WM06"/>
    <s v="SECTOR_25"/>
    <s v="PLANTA_2"/>
    <s v="PRENSA"/>
    <s v="UNIDAD HIDRAULICA"/>
    <s v="PLATO"/>
    <x v="70"/>
    <x v="0"/>
    <d v="2022-09-26T00:00:00"/>
    <x v="7"/>
    <x v="1"/>
    <n v="2"/>
    <d v="1899-12-30T09:00:00"/>
    <d v="1899-12-30T10:00:00"/>
    <n v="1"/>
    <n v="1"/>
    <n v="2"/>
    <x v="0"/>
  </r>
  <r>
    <x v="189"/>
    <n v="600004067056"/>
    <n v="1"/>
    <s v="E26"/>
    <s v="EQDENOM_26"/>
    <x v="25"/>
    <s v="WM06"/>
    <s v="SECTOR_26"/>
    <s v="PLANTA_2"/>
    <s v="PRENSA"/>
    <s v="VAPOR"/>
    <s v="ACCESORIOS"/>
    <x v="60"/>
    <x v="1"/>
    <d v="2022-10-15T00:00:00"/>
    <x v="5"/>
    <x v="1"/>
    <n v="1"/>
    <d v="1899-12-30T12:00:00"/>
    <d v="1899-12-30T13:00:00"/>
    <n v="1"/>
    <n v="1"/>
    <n v="1"/>
    <x v="0"/>
  </r>
  <r>
    <x v="189"/>
    <n v="600004067055"/>
    <n v="1"/>
    <s v="E67"/>
    <s v="EQDENOM_66"/>
    <x v="66"/>
    <s v="WM06"/>
    <s v="SECTOR_67"/>
    <s v="PLANTA_2"/>
    <s v="PRENSA"/>
    <s v="VAPOR"/>
    <s v="ACCESORIOS"/>
    <x v="8"/>
    <x v="1"/>
    <d v="2022-10-15T00:00:00"/>
    <x v="5"/>
    <x v="1"/>
    <n v="1"/>
    <d v="1899-12-30T09:00:00"/>
    <d v="1899-12-30T10:00:00"/>
    <n v="1"/>
    <n v="1"/>
    <n v="1"/>
    <x v="0"/>
  </r>
  <r>
    <x v="189"/>
    <n v="600004067054"/>
    <n v="1"/>
    <s v="E18"/>
    <s v="EQDENOM_18"/>
    <x v="17"/>
    <s v="WM06"/>
    <s v="SECTOR_18"/>
    <s v="PLANTA_2"/>
    <s v="PRENSA"/>
    <s v="VAPOR "/>
    <s v="ACCESORIOS"/>
    <x v="60"/>
    <x v="1"/>
    <d v="2022-10-15T00:00:00"/>
    <x v="5"/>
    <x v="1"/>
    <n v="1"/>
    <d v="1899-12-30T10:00:00"/>
    <d v="1899-12-30T11:00:00"/>
    <n v="1"/>
    <n v="1"/>
    <n v="1"/>
    <x v="0"/>
  </r>
  <r>
    <x v="189"/>
    <n v="600004067063"/>
    <n v="1"/>
    <s v="E08"/>
    <s v="EQDENOM_08"/>
    <x v="7"/>
    <s v="WM06"/>
    <s v="SECTOR_08"/>
    <s v="PLANTA_2"/>
    <s v="PRENSA"/>
    <s v="UNIDAD HIDRAULICA"/>
    <s v="CAÑERIA"/>
    <x v="121"/>
    <x v="1"/>
    <d v="2022-10-17T00:00:00"/>
    <x v="4"/>
    <x v="1"/>
    <n v="2"/>
    <d v="1899-12-30T12:30:00"/>
    <d v="1899-12-30T13:30:00"/>
    <n v="1"/>
    <n v="1"/>
    <n v="2"/>
    <x v="0"/>
  </r>
  <r>
    <x v="190"/>
    <n v="600004067895"/>
    <n v="1"/>
    <s v="E44"/>
    <s v="EQDENOM_44"/>
    <x v="43"/>
    <s v="WM06"/>
    <s v="SECTOR_44"/>
    <s v="PLANTA_2"/>
    <s v="CABINA DE PINTADO"/>
    <s v="INSTALACION ELECTRICA"/>
    <s v="MESA"/>
    <x v="31"/>
    <x v="0"/>
    <d v="2022-10-18T00:00:00"/>
    <x v="3"/>
    <x v="0"/>
    <n v="1"/>
    <d v="1899-12-30T06:30:00"/>
    <d v="1899-12-30T09:30:00"/>
    <n v="3"/>
    <n v="3"/>
    <n v="3"/>
    <x v="3"/>
  </r>
  <r>
    <x v="191"/>
    <n v="600004068622"/>
    <n v="1"/>
    <s v="E64"/>
    <s v="EQDENOM_63"/>
    <x v="63"/>
    <s v="WM06"/>
    <s v="SECTOR_64"/>
    <s v="PLANTA_2"/>
    <s v="PRENSA"/>
    <s v="UNIDAD HIDRAULICA"/>
    <s v="TRANSMISION"/>
    <x v="37"/>
    <x v="0"/>
    <d v="2022-10-19T00:00:00"/>
    <x v="5"/>
    <x v="1"/>
    <n v="1"/>
    <d v="1899-12-30T07:30:00"/>
    <d v="1899-12-30T08:00:00"/>
    <n v="0.5"/>
    <n v="0.5"/>
    <n v="0.5"/>
    <x v="0"/>
  </r>
  <r>
    <x v="191"/>
    <n v="600004068661"/>
    <n v="1"/>
    <s v="E18"/>
    <s v="EQDENOM_18"/>
    <x v="17"/>
    <s v="WM06"/>
    <s v="SECTOR_18"/>
    <s v="PLANTA_2"/>
    <s v="PRENSA"/>
    <s v="VAPOR"/>
    <s v="ACCESORIOS"/>
    <x v="63"/>
    <x v="0"/>
    <d v="2022-10-19T00:00:00"/>
    <x v="7"/>
    <x v="1"/>
    <n v="3"/>
    <d v="1899-12-30T15:00:00"/>
    <d v="1899-12-30T16:00:00"/>
    <n v="1"/>
    <n v="1"/>
    <n v="3"/>
    <x v="0"/>
  </r>
  <r>
    <x v="192"/>
    <n v="600004068847"/>
    <n v="1"/>
    <s v="E36"/>
    <s v="EQDENOM_36"/>
    <x v="35"/>
    <s v="WM06"/>
    <s v="SECTOR_36"/>
    <s v="PLANTA_2"/>
    <s v="PRENSA"/>
    <s v="UNIDAD HIDRAULICA"/>
    <s v="PRELLENADO"/>
    <x v="121"/>
    <x v="0"/>
    <d v="2022-10-20T00:00:00"/>
    <x v="4"/>
    <x v="1"/>
    <n v="2"/>
    <d v="1899-12-30T13:30:00"/>
    <d v="1899-12-30T14:30:00"/>
    <n v="1"/>
    <n v="1"/>
    <n v="2"/>
    <x v="0"/>
  </r>
  <r>
    <x v="192"/>
    <n v="600004068815"/>
    <n v="1"/>
    <s v="E67"/>
    <s v="EQDENOM_66"/>
    <x v="66"/>
    <s v="WM06"/>
    <s v="SECTOR_67"/>
    <s v="PLANTA_2"/>
    <s v="PRENSA"/>
    <s v="UNIDAD HIDRAULICA"/>
    <s v="PLATO"/>
    <x v="84"/>
    <x v="0"/>
    <d v="2022-10-20T00:00:00"/>
    <x v="4"/>
    <x v="1"/>
    <n v="1"/>
    <d v="1899-12-30T10:00:00"/>
    <d v="1899-12-30T11:30:00"/>
    <n v="1.5"/>
    <n v="1.5"/>
    <n v="1.5"/>
    <x v="0"/>
  </r>
  <r>
    <x v="193"/>
    <n v="600004069115"/>
    <n v="1"/>
    <s v="E86"/>
    <s v="EQDENOM_84"/>
    <x v="85"/>
    <s v="WM06"/>
    <s v="SECTOR_86"/>
    <s v="PLANTA_2"/>
    <s v="ROBOT"/>
    <s v="INSTALACION ELECTRICA"/>
    <s v="NORIA"/>
    <x v="95"/>
    <x v="0"/>
    <d v="2022-10-21T00:00:00"/>
    <x v="3"/>
    <x v="0"/>
    <n v="1"/>
    <d v="1899-12-30T07:00:00"/>
    <d v="1899-12-30T08:30:00"/>
    <n v="1.5"/>
    <n v="1.5"/>
    <n v="1.5"/>
    <x v="0"/>
  </r>
  <r>
    <x v="194"/>
    <n v="600004069470"/>
    <n v="1"/>
    <s v="E82"/>
    <s v="EQDENOM_80"/>
    <x v="81"/>
    <s v="WM06"/>
    <s v="SECTOR_82"/>
    <s v="PLANTA_2"/>
    <s v="PULIDORA"/>
    <s v="UNIDAD NEUMATICA"/>
    <s v="MANGUERA"/>
    <x v="52"/>
    <x v="0"/>
    <d v="2022-10-21T00:00:00"/>
    <x v="7"/>
    <x v="1"/>
    <n v="2"/>
    <d v="1899-12-30T15:00:00"/>
    <d v="1899-12-30T16:00:00"/>
    <n v="1"/>
    <n v="1"/>
    <n v="2"/>
    <x v="0"/>
  </r>
  <r>
    <x v="194"/>
    <n v="600004069549"/>
    <n v="1"/>
    <s v="E57"/>
    <s v="EQDENOM_56"/>
    <x v="56"/>
    <s v="WM06"/>
    <s v="SECTOR_57"/>
    <s v="PLANTA_2"/>
    <s v="PRENSA"/>
    <s v="UNIDAD HIDRAULICA"/>
    <s v="ACCESORIOS"/>
    <x v="52"/>
    <x v="0"/>
    <d v="2022-10-24T00:00:00"/>
    <x v="5"/>
    <x v="1"/>
    <n v="1"/>
    <d v="1899-12-30T13:00:00"/>
    <d v="1899-12-30T14:00:00"/>
    <n v="1"/>
    <n v="1"/>
    <n v="1"/>
    <x v="0"/>
  </r>
  <r>
    <x v="195"/>
    <n v="600004069889"/>
    <n v="1"/>
    <s v="E64"/>
    <s v="EQDENOM_63"/>
    <x v="63"/>
    <s v="WM06"/>
    <s v="SECTOR_64"/>
    <s v="PLANTA_2"/>
    <s v="PRENSA"/>
    <s v="UNIDAD HIDRAULICA"/>
    <s v="MANGUERA"/>
    <x v="52"/>
    <x v="0"/>
    <d v="2022-10-26T00:00:00"/>
    <x v="5"/>
    <x v="1"/>
    <n v="2"/>
    <d v="1899-12-30T09:30:00"/>
    <d v="1899-12-30T11:00:00"/>
    <n v="1.5"/>
    <n v="1.5"/>
    <n v="3"/>
    <x v="0"/>
  </r>
  <r>
    <x v="196"/>
    <n v="600004070354"/>
    <n v="1"/>
    <s v="E46"/>
    <s v="EQDENOM_46"/>
    <x v="45"/>
    <s v="WM06"/>
    <s v="SECTOR_46"/>
    <s v="PLANTA_2"/>
    <s v="PRENSA"/>
    <s v="INSTALACION ELECTRICA"/>
    <s v="MESA"/>
    <x v="31"/>
    <x v="0"/>
    <d v="2022-10-23T00:00:00"/>
    <x v="3"/>
    <x v="0"/>
    <n v="1"/>
    <d v="1899-12-30T07:30:00"/>
    <d v="1899-12-30T09:30:00"/>
    <n v="2"/>
    <n v="2"/>
    <n v="2"/>
    <x v="0"/>
  </r>
  <r>
    <x v="196"/>
    <n v="600004070355"/>
    <n v="1"/>
    <s v="E82"/>
    <s v="EQDENOM_80"/>
    <x v="81"/>
    <s v="WM06"/>
    <s v="SECTOR_82"/>
    <s v="PLANTA_2"/>
    <s v="PULIDORA"/>
    <s v="TRABA"/>
    <s v="CILINDRO"/>
    <x v="150"/>
    <x v="0"/>
    <d v="2022-10-28T00:00:00"/>
    <x v="7"/>
    <x v="1"/>
    <n v="2"/>
    <d v="1899-12-30T07:00:00"/>
    <d v="1899-12-30T08:00:00"/>
    <n v="1"/>
    <n v="1"/>
    <n v="2"/>
    <x v="0"/>
  </r>
  <r>
    <x v="197"/>
    <n v="600004070791"/>
    <n v="1"/>
    <s v="E01"/>
    <s v="EQDENOM_01"/>
    <x v="0"/>
    <s v="WM01"/>
    <s v="SECTOR_01"/>
    <s v="PLANTA_1"/>
    <s v="REACTOR"/>
    <s v="ACCESORIOS"/>
    <s v="EXTRACTOR"/>
    <x v="164"/>
    <x v="0"/>
    <d v="2022-10-31T00:00:00"/>
    <x v="8"/>
    <x v="1"/>
    <n v="2"/>
    <d v="1899-12-30T10:00:00"/>
    <d v="1899-12-30T11:00:00"/>
    <n v="1"/>
    <n v="1"/>
    <n v="2"/>
    <x v="0"/>
  </r>
  <r>
    <x v="197"/>
    <n v="600004070835"/>
    <n v="1"/>
    <s v="E36"/>
    <s v="EQDENOM_36"/>
    <x v="35"/>
    <s v="WM06"/>
    <s v="SECTOR_36"/>
    <s v="PLANTA_2"/>
    <s v="PRENSA"/>
    <s v="VAPOR"/>
    <s v="NUCLEO"/>
    <x v="52"/>
    <x v="0"/>
    <d v="2022-11-01T00:00:00"/>
    <x v="7"/>
    <x v="1"/>
    <n v="3"/>
    <d v="1899-12-30T07:00:00"/>
    <d v="1899-12-30T08:00:00"/>
    <n v="1"/>
    <n v="1"/>
    <n v="3"/>
    <x v="0"/>
  </r>
  <r>
    <x v="197"/>
    <n v="600004070833"/>
    <n v="1"/>
    <s v="E12"/>
    <s v="EQDENOM_12"/>
    <x v="11"/>
    <s v="WM06"/>
    <s v="SECTOR_12"/>
    <s v="PLANTA_2"/>
    <s v="PRENSA"/>
    <s v="VAPOR"/>
    <s v="NUCLEO"/>
    <x v="108"/>
    <x v="0"/>
    <d v="2022-11-01T00:00:00"/>
    <x v="7"/>
    <x v="1"/>
    <n v="3"/>
    <d v="1899-12-30T08:00:00"/>
    <d v="1899-12-30T09:00:00"/>
    <n v="1"/>
    <n v="1"/>
    <n v="3"/>
    <x v="0"/>
  </r>
  <r>
    <x v="197"/>
    <n v="600004070834"/>
    <n v="1"/>
    <s v="E30"/>
    <s v="EQDENOM_30"/>
    <x v="29"/>
    <s v="WM06"/>
    <s v="SECTOR_30"/>
    <s v="PLANTA_2"/>
    <s v="PRENSA"/>
    <s v="VAPOR"/>
    <s v="MOLDE"/>
    <x v="115"/>
    <x v="0"/>
    <d v="2022-11-01T00:00:00"/>
    <x v="4"/>
    <x v="1"/>
    <n v="2"/>
    <d v="1899-12-30T10:30:00"/>
    <d v="1899-12-30T11:30:00"/>
    <n v="1"/>
    <n v="1"/>
    <n v="2"/>
    <x v="0"/>
  </r>
  <r>
    <x v="197"/>
    <n v="600004070830"/>
    <n v="1"/>
    <s v="E10"/>
    <s v="EQDENOM_10"/>
    <x v="9"/>
    <s v="WM06"/>
    <s v="SECTOR_10"/>
    <s v="PLANTA_2"/>
    <s v="HORNO"/>
    <s v="VAPOR"/>
    <s v="CONEXIÓN"/>
    <x v="63"/>
    <x v="0"/>
    <d v="2022-10-31T00:00:00"/>
    <x v="7"/>
    <x v="1"/>
    <n v="3"/>
    <d v="1899-12-30T15:00:00"/>
    <d v="1899-12-30T16:00:00"/>
    <n v="1"/>
    <n v="1"/>
    <n v="3"/>
    <x v="0"/>
  </r>
  <r>
    <x v="197"/>
    <n v="600004070836"/>
    <n v="1"/>
    <s v="E26"/>
    <s v="EQDENOM_26"/>
    <x v="25"/>
    <s v="WM06"/>
    <s v="SECTOR_26"/>
    <s v="PLANTA_2"/>
    <s v="PRENSA"/>
    <s v="VAPOR"/>
    <s v="COLUMNA"/>
    <x v="165"/>
    <x v="0"/>
    <d v="2022-10-31T00:00:00"/>
    <x v="5"/>
    <x v="1"/>
    <n v="3"/>
    <d v="1899-12-30T12:30:00"/>
    <d v="1899-12-30T13:30:00"/>
    <n v="1"/>
    <n v="1"/>
    <n v="3"/>
    <x v="0"/>
  </r>
  <r>
    <x v="198"/>
    <n v="600004071312"/>
    <n v="1"/>
    <s v="E24"/>
    <s v="EQDENOM_24"/>
    <x v="23"/>
    <s v="WM06"/>
    <s v="SECTOR_24"/>
    <s v="PLANTA_2"/>
    <s v="PRENSA"/>
    <s v="VAPOR"/>
    <s v="MOLDE "/>
    <x v="52"/>
    <x v="0"/>
    <d v="2022-11-02T00:00:00"/>
    <x v="7"/>
    <x v="1"/>
    <n v="2"/>
    <d v="1899-12-30T07:00:00"/>
    <d v="1899-12-30T08:00:00"/>
    <n v="1"/>
    <n v="1"/>
    <n v="2"/>
    <x v="0"/>
  </r>
  <r>
    <x v="199"/>
    <n v="600004071808"/>
    <n v="1"/>
    <s v="E15"/>
    <s v="EQDENOM_15"/>
    <x v="14"/>
    <s v="WM06"/>
    <s v="SECTOR_15"/>
    <s v="PLANTA_2"/>
    <s v="PRENSA"/>
    <s v="ACCESORIOS"/>
    <s v="NUCLEO"/>
    <x v="8"/>
    <x v="1"/>
    <d v="2022-11-04T00:00:00"/>
    <x v="7"/>
    <x v="1"/>
    <n v="2"/>
    <d v="1899-12-30T12:30:00"/>
    <d v="1899-12-30T14:00:00"/>
    <n v="1.5"/>
    <n v="1.5"/>
    <n v="3"/>
    <x v="0"/>
  </r>
  <r>
    <x v="199"/>
    <n v="600004071809"/>
    <n v="1"/>
    <s v="E57"/>
    <s v="EQDENOM_56"/>
    <x v="56"/>
    <s v="WM06"/>
    <s v="SECTOR_57"/>
    <s v="PLANTA_2"/>
    <s v="PRENSA"/>
    <s v="ACCESORIOS"/>
    <s v="MOLDE"/>
    <x v="8"/>
    <x v="1"/>
    <d v="2022-11-04T00:00:00"/>
    <x v="7"/>
    <x v="1"/>
    <n v="2"/>
    <d v="1899-12-30T14:00:00"/>
    <d v="1899-12-30T15:00:00"/>
    <n v="1"/>
    <n v="1"/>
    <n v="2"/>
    <x v="0"/>
  </r>
  <r>
    <x v="199"/>
    <n v="600004071783"/>
    <n v="1"/>
    <s v="E46"/>
    <s v="EQDENOM_46"/>
    <x v="45"/>
    <s v="WM06"/>
    <s v="SECTOR_46"/>
    <s v="PLANTA_2"/>
    <s v="PRENSA"/>
    <s v="VAPOR"/>
    <s v="NUCLEO"/>
    <x v="60"/>
    <x v="0"/>
    <d v="2022-11-04T00:00:00"/>
    <x v="7"/>
    <x v="1"/>
    <n v="2"/>
    <d v="1899-12-30T10:30:00"/>
    <d v="1899-12-30T11:30:00"/>
    <n v="1"/>
    <n v="1"/>
    <n v="2"/>
    <x v="0"/>
  </r>
  <r>
    <x v="200"/>
    <n v="600004072711"/>
    <n v="1"/>
    <s v="E24"/>
    <s v="EQDENOM_24"/>
    <x v="23"/>
    <s v="WM06"/>
    <s v="SECTOR_24"/>
    <s v="PLANTA_2"/>
    <s v="PRENSA"/>
    <s v="MESA"/>
    <s v="PISTON LATERAL"/>
    <x v="16"/>
    <x v="1"/>
    <d v="2022-11-14T00:00:00"/>
    <x v="4"/>
    <x v="1"/>
    <n v="1"/>
    <d v="1899-12-30T14:00:00"/>
    <d v="1899-12-30T15:30:00"/>
    <n v="1.5"/>
    <n v="1.5"/>
    <n v="1.5"/>
    <x v="0"/>
  </r>
  <r>
    <x v="201"/>
    <n v="600004072992"/>
    <n v="1"/>
    <s v="E48"/>
    <s v="EQDENOM_48"/>
    <x v="47"/>
    <s v="WM06"/>
    <s v="SECTOR_48"/>
    <s v="PLANTA_1"/>
    <s v="PRENSA"/>
    <s v="VAPOR"/>
    <s v="MOLDE "/>
    <x v="60"/>
    <x v="1"/>
    <d v="2022-11-11T00:00:00"/>
    <x v="5"/>
    <x v="1"/>
    <n v="1"/>
    <d v="1899-12-30T09:30:00"/>
    <d v="1899-12-30T10:30:00"/>
    <n v="1"/>
    <n v="1"/>
    <n v="1"/>
    <x v="0"/>
  </r>
  <r>
    <x v="201"/>
    <n v="600004072991"/>
    <n v="1"/>
    <s v="E36"/>
    <s v="EQDENOM_36"/>
    <x v="35"/>
    <s v="WM06"/>
    <s v="SECTOR_36"/>
    <s v="PLANTA_2"/>
    <s v="PRENSA"/>
    <s v="VAPOR"/>
    <s v="NUCLEO"/>
    <x v="8"/>
    <x v="1"/>
    <d v="2022-11-11T00:00:00"/>
    <x v="5"/>
    <x v="1"/>
    <n v="1"/>
    <d v="1899-12-30T10:30:00"/>
    <d v="1899-12-30T11:30:00"/>
    <n v="1"/>
    <n v="1"/>
    <n v="1"/>
    <x v="0"/>
  </r>
  <r>
    <x v="201"/>
    <n v="600004072990"/>
    <n v="1"/>
    <s v="E64"/>
    <s v="EQDENOM_63"/>
    <x v="63"/>
    <s v="WM06"/>
    <s v="SECTOR_64"/>
    <s v="PLANTA_2"/>
    <s v="PRENSA"/>
    <s v="VAPOR "/>
    <s v="NUCLEO"/>
    <x v="8"/>
    <x v="1"/>
    <d v="2022-11-11T00:00:00"/>
    <x v="5"/>
    <x v="1"/>
    <n v="1"/>
    <d v="1899-12-30T12:00:00"/>
    <d v="1899-12-30T12:30:00"/>
    <s v="0,5"/>
    <n v="0.5"/>
    <n v="1"/>
    <x v="0"/>
  </r>
  <r>
    <x v="201"/>
    <n v="600004072988"/>
    <n v="1"/>
    <s v="E24"/>
    <s v="EQDENOM_24"/>
    <x v="23"/>
    <s v="WM06"/>
    <s v="SECTOR_24"/>
    <s v="PLANTA_2"/>
    <s v="PRENSA"/>
    <s v="VAPOR"/>
    <s v="NUCLEO"/>
    <x v="166"/>
    <x v="1"/>
    <d v="2022-11-11T00:00:00"/>
    <x v="5"/>
    <x v="1"/>
    <n v="1"/>
    <d v="1899-12-30T13:00:00"/>
    <d v="1899-12-30T14:00:00"/>
    <n v="1"/>
    <n v="1"/>
    <n v="1"/>
    <x v="0"/>
  </r>
  <r>
    <x v="202"/>
    <n v="600004073607"/>
    <n v="1"/>
    <s v="E82"/>
    <s v="EQDENOM_80"/>
    <x v="81"/>
    <s v="WM06"/>
    <s v="SECTOR_82"/>
    <s v="PLANTA_2"/>
    <s v="PULIDORA"/>
    <s v="UNIDAD NEUMATICA"/>
    <s v="CONEXIÓN"/>
    <x v="14"/>
    <x v="1"/>
    <d v="2022-11-12T00:00:00"/>
    <x v="4"/>
    <x v="1"/>
    <n v="2"/>
    <d v="1899-12-30T12:00:00"/>
    <d v="1899-12-30T13:00:00"/>
    <n v="1"/>
    <n v="1"/>
    <n v="2"/>
    <x v="0"/>
  </r>
  <r>
    <x v="202"/>
    <n v="600004073678"/>
    <n v="1"/>
    <s v="E67"/>
    <s v="EQDENOM_66"/>
    <x v="66"/>
    <s v="WM06"/>
    <s v="SECTOR_67"/>
    <s v="PLANTA_2"/>
    <s v="PRENSA"/>
    <s v="UNIDAD HIDRAULICA"/>
    <s v="PLATO"/>
    <x v="14"/>
    <x v="1"/>
    <d v="2022-11-14T00:00:00"/>
    <x v="7"/>
    <x v="1"/>
    <n v="2"/>
    <d v="1899-12-30T15:00:00"/>
    <d v="1899-12-30T16:00:00"/>
    <n v="1"/>
    <n v="1"/>
    <n v="2"/>
    <x v="0"/>
  </r>
  <r>
    <x v="203"/>
    <n v="600004073827"/>
    <n v="1"/>
    <s v="E67"/>
    <s v="EQDENOM_66"/>
    <x v="66"/>
    <s v="WM06"/>
    <s v="SECTOR_67"/>
    <s v="PLANTA_2"/>
    <s v="PRENSA"/>
    <s v="UNIDAD HIDRAULICA"/>
    <s v="PLATO "/>
    <x v="14"/>
    <x v="0"/>
    <d v="2022-11-17T00:00:00"/>
    <x v="7"/>
    <x v="1"/>
    <n v="2"/>
    <d v="1899-12-30T15:00:00"/>
    <d v="1899-12-30T16:00:00"/>
    <n v="1"/>
    <n v="1"/>
    <n v="2"/>
    <x v="0"/>
  </r>
  <r>
    <x v="204"/>
    <n v="600004074546"/>
    <n v="1"/>
    <s v="E82"/>
    <s v="EQDENOM_80"/>
    <x v="81"/>
    <s v="WM06"/>
    <s v="SECTOR_82"/>
    <s v="PLANTA_2"/>
    <s v="PULIDORA"/>
    <s v="TRANSMISION"/>
    <s v="CADENA"/>
    <x v="41"/>
    <x v="0"/>
    <d v="2022-11-17T00:00:00"/>
    <x v="4"/>
    <x v="1"/>
    <n v="2"/>
    <d v="1899-12-30T07:30:00"/>
    <d v="1899-12-30T08:30:00"/>
    <n v="1"/>
    <n v="1"/>
    <n v="2"/>
    <x v="0"/>
  </r>
  <r>
    <x v="205"/>
    <n v="600004077845"/>
    <n v="1"/>
    <s v="E44"/>
    <s v="EQDENOM_44"/>
    <x v="43"/>
    <s v="WM06"/>
    <s v="SECTOR_44"/>
    <s v="PLANTA_2"/>
    <s v="CABINA DE PINTADO"/>
    <s v="SUJECION"/>
    <s v="NORIA"/>
    <x v="150"/>
    <x v="0"/>
    <d v="2022-12-01T00:00:00"/>
    <x v="7"/>
    <x v="1"/>
    <n v="3"/>
    <d v="1899-12-30T15:00:00"/>
    <d v="1899-12-30T16:00:00"/>
    <n v="1"/>
    <n v="1"/>
    <n v="3"/>
    <x v="0"/>
  </r>
  <r>
    <x v="206"/>
    <n v="600004078414"/>
    <n v="1"/>
    <s v="E34"/>
    <s v="EQDENOM_34"/>
    <x v="33"/>
    <s v="WM06"/>
    <s v="SECTOR_34"/>
    <s v="PLANTA_2"/>
    <s v="TRANSPORT. PINTURA"/>
    <s v="UNIDAD NEUMATICA"/>
    <s v="MANOMETRO"/>
    <x v="52"/>
    <x v="0"/>
    <d v="2022-12-05T00:00:00"/>
    <x v="5"/>
    <x v="1"/>
    <n v="2"/>
    <d v="1899-12-30T07:30:00"/>
    <d v="1899-12-30T08:00:00"/>
    <n v="0.5"/>
    <n v="0.5"/>
    <n v="1"/>
    <x v="0"/>
  </r>
  <r>
    <x v="207"/>
    <n v="600004078735"/>
    <n v="1"/>
    <s v="E12"/>
    <s v="EQDENOM_12"/>
    <x v="11"/>
    <s v="WM06"/>
    <s v="SECTOR_12"/>
    <s v="PLANTA_2"/>
    <s v="PRENSA"/>
    <s v="PLATO"/>
    <s v="PISTON"/>
    <x v="16"/>
    <x v="0"/>
    <d v="2022-12-06T00:00:00"/>
    <x v="5"/>
    <x v="1"/>
    <n v="2"/>
    <d v="1899-12-30T07:30:00"/>
    <d v="1899-12-30T09:00:00"/>
    <n v="1.5"/>
    <n v="1.5"/>
    <n v="3"/>
    <x v="0"/>
  </r>
  <r>
    <x v="207"/>
    <n v="600004078728"/>
    <n v="1"/>
    <s v="E01"/>
    <s v="EQDENOM_01"/>
    <x v="0"/>
    <s v="WM01"/>
    <s v="SECTOR_01"/>
    <s v="PLANTA_1"/>
    <s v="REACTOR"/>
    <s v="DESCARGA"/>
    <s v="SERPENTINA"/>
    <x v="52"/>
    <x v="0"/>
    <d v="2022-12-06T00:00:00"/>
    <x v="1"/>
    <x v="1"/>
    <n v="1"/>
    <d v="1899-12-30T12:00:00"/>
    <d v="1899-12-30T16:00:00"/>
    <n v="4"/>
    <n v="4"/>
    <n v="4"/>
    <x v="3"/>
  </r>
  <r>
    <x v="207"/>
    <n v="600004078783"/>
    <n v="1"/>
    <s v="E57"/>
    <s v="EQDENOM_56"/>
    <x v="56"/>
    <s v="WM06"/>
    <s v="SECTOR_57"/>
    <s v="PLANTA_2"/>
    <s v="PRENSA"/>
    <s v="MOLDE"/>
    <s v="BANDEJA"/>
    <x v="153"/>
    <x v="0"/>
    <d v="2022-12-06T00:00:00"/>
    <x v="4"/>
    <x v="1"/>
    <n v="2"/>
    <d v="1899-12-30T13:30:00"/>
    <d v="1899-12-30T14:30:00"/>
    <n v="1"/>
    <n v="1"/>
    <n v="2"/>
    <x v="0"/>
  </r>
  <r>
    <x v="207"/>
    <n v="600004078750"/>
    <n v="1"/>
    <s v="E15"/>
    <s v="EQDENOM_15"/>
    <x v="14"/>
    <s v="WM06"/>
    <s v="SECTOR_15"/>
    <s v="PLANTA_2"/>
    <s v="PRENSA"/>
    <s v="ALIMENTACION"/>
    <s v="RODILLO"/>
    <x v="55"/>
    <x v="0"/>
    <d v="2022-12-06T00:00:00"/>
    <x v="4"/>
    <x v="1"/>
    <n v="2"/>
    <d v="1899-12-30T10:00:00"/>
    <d v="1899-12-30T11:00:00"/>
    <n v="1"/>
    <n v="1"/>
    <n v="2"/>
    <x v="0"/>
  </r>
  <r>
    <x v="207"/>
    <n v="600004078786"/>
    <n v="1"/>
    <s v="E15"/>
    <s v="EQDENOM_15"/>
    <x v="14"/>
    <s v="WM06"/>
    <s v="SECTOR_15"/>
    <s v="PLANTA_2"/>
    <s v="PRENSA"/>
    <s v="INSTALACION ELECTRICA"/>
    <s v="REGLA "/>
    <x v="31"/>
    <x v="0"/>
    <d v="2022-12-06T00:00:00"/>
    <x v="6"/>
    <x v="0"/>
    <n v="2"/>
    <d v="1899-12-30T15:00:00"/>
    <d v="1899-12-30T16:00:00"/>
    <n v="1"/>
    <n v="1"/>
    <n v="2"/>
    <x v="0"/>
  </r>
  <r>
    <x v="207"/>
    <n v="600004078696"/>
    <n v="1"/>
    <s v="E48"/>
    <s v="EQDENOM_48"/>
    <x v="47"/>
    <s v="WM06"/>
    <s v="SECTOR_48"/>
    <s v="PLANTA_1"/>
    <s v="PRENSA"/>
    <s v="INSTALACION ELECTRICA"/>
    <s v="TEMPERATURA"/>
    <x v="89"/>
    <x v="0"/>
    <d v="2022-12-06T00:00:00"/>
    <x v="6"/>
    <x v="0"/>
    <n v="2"/>
    <d v="1899-12-30T09:30:00"/>
    <d v="1899-12-30T11:30:00"/>
    <n v="2"/>
    <n v="2"/>
    <n v="4"/>
    <x v="0"/>
  </r>
  <r>
    <x v="208"/>
    <n v="600004079892"/>
    <n v="1"/>
    <s v="E67"/>
    <s v="EQDENOM_66"/>
    <x v="66"/>
    <s v="WM06"/>
    <s v="SECTOR_67"/>
    <s v="PLANTA_2"/>
    <s v="PRENSA"/>
    <s v="VAPOR"/>
    <s v="LINEA DE PURGA"/>
    <x v="8"/>
    <x v="0"/>
    <d v="2022-12-12T00:00:00"/>
    <x v="4"/>
    <x v="1"/>
    <n v="2"/>
    <d v="1899-12-30T09:00:00"/>
    <d v="1899-12-30T10:30:00"/>
    <n v="1.5"/>
    <n v="1.5"/>
    <n v="3"/>
    <x v="0"/>
  </r>
  <r>
    <x v="208"/>
    <n v="600004079986"/>
    <n v="1"/>
    <s v="E67"/>
    <s v="EQDENOM_66"/>
    <x v="66"/>
    <s v="WM06"/>
    <s v="SECTOR_67"/>
    <s v="PLANTA_2"/>
    <s v="PRENSA"/>
    <s v="VAPOR"/>
    <s v="MOLDE INFERIOR"/>
    <x v="8"/>
    <x v="1"/>
    <d v="2022-12-12T00:00:00"/>
    <x v="5"/>
    <x v="1"/>
    <n v="2"/>
    <d v="1899-12-30T12:30:00"/>
    <d v="1899-12-30T13:30:00"/>
    <n v="1"/>
    <n v="1"/>
    <n v="2"/>
    <x v="0"/>
  </r>
  <r>
    <x v="208"/>
    <n v="600004079985"/>
    <n v="1"/>
    <s v="E24"/>
    <s v="EQDENOM_24"/>
    <x v="23"/>
    <s v="WM06"/>
    <s v="SECTOR_24"/>
    <s v="PLANTA_2"/>
    <s v="PRENSA"/>
    <s v="VAPOR "/>
    <s v="MOLDE INFERIOR"/>
    <x v="8"/>
    <x v="1"/>
    <d v="2022-12-12T00:00:00"/>
    <x v="5"/>
    <x v="1"/>
    <n v="2"/>
    <d v="1899-12-30T10:30:00"/>
    <d v="1899-12-30T11:30:00"/>
    <n v="1"/>
    <n v="1"/>
    <n v="2"/>
    <x v="0"/>
  </r>
  <r>
    <x v="208"/>
    <n v="600004079987"/>
    <n v="1"/>
    <s v="E48"/>
    <s v="EQDENOM_48"/>
    <x v="47"/>
    <s v="WM06"/>
    <s v="SECTOR_48"/>
    <s v="PLANTA_1"/>
    <s v="PRENSA"/>
    <s v="VAPOR "/>
    <s v="MOLDE INFERIOR"/>
    <x v="8"/>
    <x v="1"/>
    <d v="2022-12-12T00:00:00"/>
    <x v="5"/>
    <x v="1"/>
    <n v="2"/>
    <d v="1899-12-30T14:00:00"/>
    <d v="1899-12-30T15:00:00"/>
    <n v="1"/>
    <n v="1"/>
    <n v="2"/>
    <x v="0"/>
  </r>
  <r>
    <x v="208"/>
    <n v="600004079990"/>
    <n v="1"/>
    <s v="E15"/>
    <s v="EQDENOM_15"/>
    <x v="14"/>
    <s v="WM06"/>
    <s v="SECTOR_15"/>
    <s v="PLANTA_2"/>
    <s v="PRENSA"/>
    <s v="VAPOR"/>
    <s v="MOLDE SUPERIOR"/>
    <x v="8"/>
    <x v="1"/>
    <d v="2022-12-12T00:00:00"/>
    <x v="4"/>
    <x v="1"/>
    <n v="2"/>
    <d v="1899-12-30T13:30:00"/>
    <d v="1899-12-30T14:30:00"/>
    <n v="1"/>
    <n v="1"/>
    <n v="2"/>
    <x v="0"/>
  </r>
  <r>
    <x v="209"/>
    <n v="600004080142"/>
    <n v="1"/>
    <s v="E08"/>
    <s v="EQDENOM_08"/>
    <x v="7"/>
    <s v="WM06"/>
    <s v="SECTOR_08"/>
    <s v="PLANTA_2"/>
    <s v="PRENSA"/>
    <s v="UNIDAD HIDRAULICA"/>
    <s v="PLATO"/>
    <x v="14"/>
    <x v="0"/>
    <d v="2022-12-13T00:00:00"/>
    <x v="5"/>
    <x v="1"/>
    <n v="2"/>
    <d v="1899-12-30T06:30:00"/>
    <d v="1899-12-30T08:00:00"/>
    <n v="1.5"/>
    <n v="1.5"/>
    <n v="3"/>
    <x v="0"/>
  </r>
  <r>
    <x v="210"/>
    <n v="600004080525"/>
    <n v="1"/>
    <s v="E48"/>
    <s v="EQDENOM_48"/>
    <x v="47"/>
    <s v="WM06"/>
    <s v="SECTOR_48"/>
    <s v="PLANTA_1"/>
    <s v="PRENSA"/>
    <s v="ACCESORIOS"/>
    <s v="VAPOR"/>
    <x v="8"/>
    <x v="0"/>
    <d v="2022-12-14T00:00:00"/>
    <x v="5"/>
    <x v="1"/>
    <n v="2"/>
    <d v="1899-12-30T09:00:00"/>
    <d v="1899-12-30T10:00:00"/>
    <n v="1"/>
    <n v="1"/>
    <n v="2"/>
    <x v="0"/>
  </r>
  <r>
    <x v="210"/>
    <n v="600004080551"/>
    <n v="1"/>
    <s v="E26"/>
    <s v="EQDENOM_26"/>
    <x v="25"/>
    <s v="WM06"/>
    <s v="SECTOR_26"/>
    <s v="PLANTA_2"/>
    <s v="PRENSA"/>
    <s v="UNIDAD HIDRAULICA"/>
    <s v="PLATO"/>
    <x v="16"/>
    <x v="0"/>
    <d v="2022-12-14T00:00:00"/>
    <x v="7"/>
    <x v="1"/>
    <n v="1"/>
    <d v="1899-12-30T15:00:00"/>
    <d v="1899-12-30T16:00:00"/>
    <n v="1"/>
    <n v="1"/>
    <n v="1"/>
    <x v="0"/>
  </r>
  <r>
    <x v="210"/>
    <n v="600004080530"/>
    <n v="1"/>
    <s v="E63"/>
    <s v="EQDENOM_62"/>
    <x v="62"/>
    <s v="WM06"/>
    <s v="SECTOR_63"/>
    <s v="PLANTA_2"/>
    <s v="HORNO"/>
    <s v="ACCESORIOS"/>
    <s v="VAPOR"/>
    <x v="8"/>
    <x v="0"/>
    <d v="2022-12-16T00:00:00"/>
    <x v="4"/>
    <x v="1"/>
    <n v="1"/>
    <d v="1899-12-30T13:30:00"/>
    <d v="1899-12-30T14:30:00"/>
    <n v="1"/>
    <n v="1"/>
    <n v="1"/>
    <x v="0"/>
  </r>
  <r>
    <x v="211"/>
    <n v="600004080921"/>
    <n v="1"/>
    <s v="E31"/>
    <s v="EQDENOM_31"/>
    <x v="30"/>
    <s v="WM06"/>
    <s v="SECTOR_31"/>
    <s v="PLANTA_2"/>
    <s v="PULIDORA"/>
    <s v="INSTALACION ELECTRICA"/>
    <s v="BRAZO"/>
    <x v="31"/>
    <x v="0"/>
    <d v="2022-12-15T00:00:00"/>
    <x v="3"/>
    <x v="0"/>
    <n v="2"/>
    <d v="1899-12-30T12:00:00"/>
    <d v="1899-12-30T13:30:00"/>
    <n v="1.5"/>
    <n v="1.5"/>
    <n v="3"/>
    <x v="0"/>
  </r>
  <r>
    <x v="212"/>
    <n v="600004081819"/>
    <n v="1"/>
    <s v="E47"/>
    <s v="EQDENOM_47"/>
    <x v="46"/>
    <s v="WM06"/>
    <s v="SECTOR_47"/>
    <s v="PLANTA_2"/>
    <s v="CALDERA"/>
    <s v="INSTALACION ELECTRICA"/>
    <s v="LLAMA"/>
    <x v="31"/>
    <x v="0"/>
    <d v="2022-12-19T00:00:00"/>
    <x v="3"/>
    <x v="0"/>
    <n v="1"/>
    <d v="1899-12-30T07:30:00"/>
    <d v="1899-12-30T08:30:00"/>
    <n v="1"/>
    <n v="1"/>
    <n v="1"/>
    <x v="0"/>
  </r>
  <r>
    <x v="213"/>
    <n v="600004082556"/>
    <n v="1"/>
    <s v="E15"/>
    <s v="EQDENOM_15"/>
    <x v="14"/>
    <s v="WM06"/>
    <s v="SECTOR_15"/>
    <s v="PLANTA_2"/>
    <s v="PRENSA"/>
    <s v="INSTALACION ELECTRICA"/>
    <s v="MESA "/>
    <x v="31"/>
    <x v="0"/>
    <d v="2022-12-23T00:00:00"/>
    <x v="3"/>
    <x v="0"/>
    <n v="2"/>
    <d v="1899-12-30T13:00:00"/>
    <d v="1899-12-30T14:00:00"/>
    <n v="1"/>
    <n v="1"/>
    <n v="2"/>
    <x v="0"/>
  </r>
  <r>
    <x v="214"/>
    <n v="600004099296"/>
    <n v="1"/>
    <s v="E87"/>
    <s v="EQDENOM_85"/>
    <x v="86"/>
    <s v="WM10"/>
    <s v="SECTOR_87"/>
    <s v="PLANTA_1"/>
    <s v="DISPERSORA"/>
    <s v="TRANSMISION"/>
    <s v="EJE"/>
    <x v="3"/>
    <x v="1"/>
    <d v="2023-01-07T00:00:00"/>
    <x v="2"/>
    <x v="1"/>
    <n v="2"/>
    <d v="1899-12-30T06:00:00"/>
    <d v="1899-12-30T12:00:00"/>
    <n v="6"/>
    <n v="6"/>
    <n v="12"/>
    <x v="3"/>
  </r>
  <r>
    <x v="215"/>
    <n v="600004103617"/>
    <n v="1"/>
    <s v="E67"/>
    <s v="EQDENOM_66"/>
    <x v="66"/>
    <s v="WM06"/>
    <s v="SECTOR_67"/>
    <s v="PLANTA_2"/>
    <s v="PRENSA"/>
    <s v="UNIDAD HIDRAULICA"/>
    <s v="PLATO"/>
    <x v="117"/>
    <x v="0"/>
    <d v="2023-01-04T00:00:00"/>
    <x v="5"/>
    <x v="1"/>
    <n v="1"/>
    <d v="1899-12-30T14:30:00"/>
    <d v="1899-12-30T15:00:00"/>
    <n v="0.5"/>
    <n v="0.5"/>
    <n v="0.5"/>
    <x v="0"/>
  </r>
  <r>
    <x v="216"/>
    <n v="600004110543"/>
    <n v="1"/>
    <s v="E05"/>
    <s v="EQDENOM_05"/>
    <x v="4"/>
    <s v="WM01"/>
    <s v="SECTOR_05"/>
    <s v="PLANTA_2"/>
    <s v="SECADOR"/>
    <s v="TRANSMISION"/>
    <s v="DISCO"/>
    <x v="13"/>
    <x v="1"/>
    <d v="2023-01-06T00:00:00"/>
    <x v="2"/>
    <x v="1"/>
    <n v="2"/>
    <d v="1899-12-30T06:00:00"/>
    <d v="1899-12-30T15:00:00"/>
    <n v="9"/>
    <n v="9"/>
    <n v="18"/>
    <x v="1"/>
  </r>
  <r>
    <x v="216"/>
    <n v="600004110477"/>
    <n v="1"/>
    <s v="E60"/>
    <s v="EQDENOM_59"/>
    <x v="59"/>
    <s v="WM08"/>
    <s v="SECTOR_60"/>
    <s v="PLANTA_1"/>
    <s v="FILTRO"/>
    <s v="ACCESORIOS"/>
    <s v="TOLVA"/>
    <x v="167"/>
    <x v="0"/>
    <d v="2023-01-06T00:00:00"/>
    <x v="9"/>
    <x v="1"/>
    <n v="1"/>
    <d v="1899-12-30T07:00:00"/>
    <d v="1899-12-30T09:00:00"/>
    <n v="2"/>
    <n v="2"/>
    <n v="2"/>
    <x v="0"/>
  </r>
  <r>
    <x v="217"/>
    <n v="600004110742"/>
    <n v="1"/>
    <s v="E08"/>
    <s v="EQDENOM_08"/>
    <x v="7"/>
    <s v="WM06"/>
    <s v="SECTOR_08"/>
    <s v="PLANTA_2"/>
    <s v="PRENSA"/>
    <s v="UNIDAD HIDRAULICA"/>
    <s v="PLATO"/>
    <x v="14"/>
    <x v="1"/>
    <d v="2023-01-06T00:00:00"/>
    <x v="7"/>
    <x v="1"/>
    <n v="3"/>
    <d v="1899-12-30T10:00:00"/>
    <d v="1899-12-30T11:00:00"/>
    <n v="1"/>
    <n v="1"/>
    <n v="3"/>
    <x v="0"/>
  </r>
  <r>
    <x v="218"/>
    <n v="600004111292"/>
    <n v="1"/>
    <s v="E82"/>
    <s v="EQDENOM_80"/>
    <x v="81"/>
    <s v="WM06"/>
    <s v="SECTOR_82"/>
    <s v="PLANTA_2"/>
    <s v="PULIDORA"/>
    <s v="TRANSMISION"/>
    <s v="CADENA"/>
    <x v="61"/>
    <x v="0"/>
    <d v="2023-01-09T00:00:00"/>
    <x v="5"/>
    <x v="1"/>
    <n v="2"/>
    <d v="1899-12-30T10:30:00"/>
    <d v="1899-12-30T11:30:00"/>
    <n v="1"/>
    <n v="1"/>
    <n v="2"/>
    <x v="0"/>
  </r>
  <r>
    <x v="218"/>
    <n v="600004111306"/>
    <n v="1"/>
    <s v="E20"/>
    <s v="EQDENOM_20"/>
    <x v="19"/>
    <s v="WM01"/>
    <s v="SECTOR_20"/>
    <s v="PLANTA_1"/>
    <s v="REACTOR"/>
    <s v="ACCESORIOS"/>
    <s v="TANQUE"/>
    <x v="168"/>
    <x v="0"/>
    <d v="2023-01-10T00:00:00"/>
    <x v="9"/>
    <x v="1"/>
    <n v="1"/>
    <d v="1899-12-30T09:30:00"/>
    <d v="1899-12-30T11:00:00"/>
    <n v="1.5"/>
    <n v="1.5"/>
    <n v="1.5"/>
    <x v="0"/>
  </r>
  <r>
    <x v="219"/>
    <n v="600004111996"/>
    <n v="1"/>
    <s v="E14"/>
    <s v="EQDENOM_14"/>
    <x v="13"/>
    <s v="WM01"/>
    <s v="SECTOR_14"/>
    <s v="PLANTA_1"/>
    <s v="REACTOR"/>
    <s v="VAPOR"/>
    <s v="EXTRACCION "/>
    <x v="14"/>
    <x v="0"/>
    <d v="2023-01-13T00:00:00"/>
    <x v="2"/>
    <x v="1"/>
    <n v="1"/>
    <d v="1899-12-30T07:30:00"/>
    <d v="1899-12-30T08:30:00"/>
    <n v="1"/>
    <n v="1"/>
    <n v="1"/>
    <x v="0"/>
  </r>
  <r>
    <x v="219"/>
    <n v="600004111995"/>
    <n v="1"/>
    <s v="E20"/>
    <s v="EQDENOM_20"/>
    <x v="19"/>
    <s v="WM01"/>
    <s v="SECTOR_20"/>
    <s v="PLANTA_1"/>
    <s v="REACTOR"/>
    <s v="VAPOR"/>
    <s v="EXTRACCION "/>
    <x v="14"/>
    <x v="0"/>
    <d v="2023-01-13T00:00:00"/>
    <x v="2"/>
    <x v="1"/>
    <n v="1"/>
    <d v="1899-12-30T06:30:00"/>
    <d v="1899-12-30T07:30:00"/>
    <n v="1"/>
    <n v="1"/>
    <n v="1"/>
    <x v="0"/>
  </r>
  <r>
    <x v="219"/>
    <n v="600004111984"/>
    <n v="1"/>
    <s v="E25"/>
    <s v="EQDENOM_25"/>
    <x v="24"/>
    <s v="WM06"/>
    <s v="SECTOR_25"/>
    <s v="PLANTA_2"/>
    <s v="PRENSA"/>
    <s v="INSTALACION ELECTRICA"/>
    <s v="MESA"/>
    <x v="169"/>
    <x v="0"/>
    <d v="2023-01-11T00:00:00"/>
    <x v="6"/>
    <x v="0"/>
    <n v="1"/>
    <d v="1899-12-30T09:00:00"/>
    <d v="1899-12-30T10:00:00"/>
    <n v="1"/>
    <n v="1"/>
    <n v="1"/>
    <x v="0"/>
  </r>
  <r>
    <x v="220"/>
    <n v="600004112559"/>
    <n v="1"/>
    <s v="E88"/>
    <s v="EQDENOM_86"/>
    <x v="87"/>
    <s v="WM06"/>
    <s v="SECTOR_88"/>
    <s v="PLANTA_2"/>
    <s v="CABINA DE ENFRIAMIENTO"/>
    <s v="INSTALACION ELECTRICA"/>
    <s v="ACCESORIOS"/>
    <x v="170"/>
    <x v="0"/>
    <d v="2023-01-17T00:00:00"/>
    <x v="6"/>
    <x v="0"/>
    <n v="1"/>
    <d v="1899-12-30T09:30:00"/>
    <d v="1899-12-30T11:30:00"/>
    <n v="2"/>
    <n v="2"/>
    <n v="2"/>
    <x v="0"/>
  </r>
  <r>
    <x v="220"/>
    <n v="600004112555"/>
    <n v="1"/>
    <s v="E75"/>
    <s v="EQDENOM_73"/>
    <x v="74"/>
    <s v="WM01"/>
    <s v="SECTOR_75"/>
    <s v="PLANTA_1"/>
    <s v="DISPERSORA"/>
    <s v="SEGURIDAD "/>
    <s v="ACCESORIOS"/>
    <x v="171"/>
    <x v="0"/>
    <d v="2023-01-12T00:00:00"/>
    <x v="9"/>
    <x v="1"/>
    <n v="1"/>
    <d v="1899-12-30T09:30:00"/>
    <d v="1899-12-30T12:00:00"/>
    <n v="2.5"/>
    <n v="2.5"/>
    <n v="2.5"/>
    <x v="3"/>
  </r>
  <r>
    <x v="221"/>
    <n v="600004113774"/>
    <n v="1"/>
    <s v="E82"/>
    <s v="EQDENOM_80"/>
    <x v="81"/>
    <s v="WM06"/>
    <s v="SECTOR_82"/>
    <s v="PLANTA_2"/>
    <s v="PULIDORA"/>
    <s v="UNIDAD NEUMATICA"/>
    <s v="ACCESORIOS"/>
    <x v="14"/>
    <x v="0"/>
    <d v="2023-01-16T00:00:00"/>
    <x v="3"/>
    <x v="1"/>
    <n v="1"/>
    <d v="1899-12-30T07:30:00"/>
    <d v="1899-12-30T08:30:00"/>
    <n v="1"/>
    <n v="1"/>
    <n v="1"/>
    <x v="0"/>
  </r>
  <r>
    <x v="221"/>
    <n v="600004113776"/>
    <n v="1"/>
    <s v="E25"/>
    <s v="EQDENOM_25"/>
    <x v="24"/>
    <s v="WM06"/>
    <s v="SECTOR_25"/>
    <s v="PLANTA_2"/>
    <s v="PRENSA"/>
    <s v="UNIDAD HIDRAULICA"/>
    <s v="PLATO"/>
    <x v="117"/>
    <x v="1"/>
    <d v="2023-01-16T00:00:00"/>
    <x v="3"/>
    <x v="1"/>
    <n v="1"/>
    <d v="1899-12-30T10:00:00"/>
    <d v="1899-12-30T11:30:00"/>
    <n v="1.5"/>
    <n v="1.5"/>
    <n v="1.5"/>
    <x v="0"/>
  </r>
  <r>
    <x v="221"/>
    <n v="600004113632"/>
    <n v="1"/>
    <s v="E48"/>
    <s v="EQDENOM_48"/>
    <x v="47"/>
    <s v="WM06"/>
    <s v="SECTOR_48"/>
    <s v="PLANTA_1"/>
    <s v="PRENSA"/>
    <s v="INSTALACION ELECTRICA"/>
    <s v="SEGURIDAD "/>
    <x v="117"/>
    <x v="1"/>
    <d v="2023-01-16T00:00:00"/>
    <x v="6"/>
    <x v="0"/>
    <n v="1"/>
    <d v="1899-12-30T10:30:00"/>
    <d v="1899-12-30T11:30:00"/>
    <n v="1"/>
    <n v="1"/>
    <n v="1"/>
    <x v="0"/>
  </r>
  <r>
    <x v="222"/>
    <n v="600004114023"/>
    <n v="1"/>
    <s v="E31"/>
    <s v="EQDENOM_31"/>
    <x v="30"/>
    <s v="WM06"/>
    <s v="SECTOR_31"/>
    <s v="PLANTA_2"/>
    <s v="PULIDORA"/>
    <s v="TRANSMISION"/>
    <s v="CADENA"/>
    <x v="61"/>
    <x v="1"/>
    <d v="2023-01-17T00:00:00"/>
    <x v="5"/>
    <x v="1"/>
    <n v="1"/>
    <d v="1899-12-30T14:00:00"/>
    <d v="1899-12-30T15:00:00"/>
    <n v="1"/>
    <n v="1"/>
    <n v="1"/>
    <x v="0"/>
  </r>
  <r>
    <x v="222"/>
    <n v="600004114027"/>
    <n v="1"/>
    <s v="E44"/>
    <s v="EQDENOM_44"/>
    <x v="43"/>
    <s v="WM06"/>
    <s v="SECTOR_44"/>
    <s v="PLANTA_2"/>
    <s v="CABINA DE PINTADO"/>
    <s v="UNIDAD NEUMATICA"/>
    <s v="ACCESORIOS"/>
    <x v="14"/>
    <x v="1"/>
    <d v="2023-01-17T00:00:00"/>
    <x v="7"/>
    <x v="1"/>
    <n v="2"/>
    <d v="1899-12-30T12:30:00"/>
    <d v="1899-12-30T13:30:00"/>
    <n v="1"/>
    <n v="1"/>
    <n v="2"/>
    <x v="0"/>
  </r>
  <r>
    <x v="222"/>
    <n v="600004114063"/>
    <n v="1"/>
    <s v="E30"/>
    <s v="EQDENOM_30"/>
    <x v="29"/>
    <s v="WM06"/>
    <s v="SECTOR_30"/>
    <s v="PLANTA_2"/>
    <s v="PRENSA"/>
    <s v="VAPOR"/>
    <s v="MOLDE"/>
    <x v="8"/>
    <x v="1"/>
    <d v="2023-01-19T00:00:00"/>
    <x v="7"/>
    <x v="1"/>
    <n v="2"/>
    <d v="1899-12-30T15:00:00"/>
    <d v="1899-12-30T16:00:00"/>
    <n v="1"/>
    <n v="1"/>
    <n v="2"/>
    <x v="0"/>
  </r>
  <r>
    <x v="222"/>
    <n v="600004114064"/>
    <n v="1"/>
    <s v="E08"/>
    <s v="EQDENOM_08"/>
    <x v="7"/>
    <s v="WM06"/>
    <s v="SECTOR_08"/>
    <s v="PLANTA_2"/>
    <s v="PRENSA"/>
    <s v="VAPOR"/>
    <s v="MOLDE"/>
    <x v="60"/>
    <x v="1"/>
    <d v="2023-01-17T00:00:00"/>
    <x v="5"/>
    <x v="1"/>
    <n v="1"/>
    <d v="1899-12-30T12:30:00"/>
    <d v="1899-12-30T13:30:00"/>
    <n v="1"/>
    <n v="1"/>
    <n v="1"/>
    <x v="0"/>
  </r>
  <r>
    <x v="223"/>
    <n v="600004114348"/>
    <n v="1"/>
    <s v="E24"/>
    <s v="EQDENOM_24"/>
    <x v="23"/>
    <s v="WM06"/>
    <s v="SECTOR_24"/>
    <s v="PLANTA_2"/>
    <s v="PRENSA"/>
    <s v="UNIDAD HIDRAULICA"/>
    <s v="ACCESORIOS"/>
    <x v="14"/>
    <x v="1"/>
    <d v="2023-01-20T00:00:00"/>
    <x v="7"/>
    <x v="1"/>
    <n v="2"/>
    <d v="1899-12-30T10:00:00"/>
    <d v="1899-12-30T11:00:00"/>
    <n v="1"/>
    <n v="1"/>
    <n v="2"/>
    <x v="0"/>
  </r>
  <r>
    <x v="223"/>
    <n v="600004114349"/>
    <n v="1"/>
    <s v="E31"/>
    <s v="EQDENOM_31"/>
    <x v="30"/>
    <s v="WM06"/>
    <s v="SECTOR_31"/>
    <s v="PLANTA_2"/>
    <s v="PULIDORA"/>
    <s v="UNIDAD NEUMATICA"/>
    <s v="REGLA"/>
    <x v="117"/>
    <x v="1"/>
    <d v="2023-01-18T00:00:00"/>
    <x v="5"/>
    <x v="1"/>
    <n v="2"/>
    <d v="1899-12-30T13:00:00"/>
    <d v="1899-12-30T13:30:00"/>
    <n v="0.5"/>
    <n v="0.5"/>
    <n v="1"/>
    <x v="0"/>
  </r>
  <r>
    <x v="224"/>
    <n v="600004114497"/>
    <n v="1"/>
    <s v="E19"/>
    <s v="EQDENOM_19"/>
    <x v="18"/>
    <s v="WM06"/>
    <s v="SECTOR_19"/>
    <s v="PLANTA_2"/>
    <s v="PRENSA"/>
    <s v="VAPOR"/>
    <s v="NUCLEO"/>
    <x v="63"/>
    <x v="1"/>
    <d v="2023-01-19T00:00:00"/>
    <x v="5"/>
    <x v="1"/>
    <n v="2"/>
    <d v="1899-12-30T10:00:00"/>
    <d v="1899-12-30T11:00:00"/>
    <n v="1"/>
    <n v="1"/>
    <n v="2"/>
    <x v="0"/>
  </r>
  <r>
    <x v="224"/>
    <n v="600004114509"/>
    <n v="1"/>
    <s v="E66"/>
    <s v="EQDENOM_65"/>
    <x v="65"/>
    <s v="WM06"/>
    <s v="SECTOR_66"/>
    <s v="PLANTA_2"/>
    <s v="HORNO"/>
    <s v="INSTALACION ELECTRICA"/>
    <s v="ACCESORIOS"/>
    <x v="172"/>
    <x v="1"/>
    <d v="2023-01-19T00:00:00"/>
    <x v="3"/>
    <x v="0"/>
    <n v="1"/>
    <d v="1899-12-30T08:00:00"/>
    <d v="1899-12-30T09:00:00"/>
    <n v="1"/>
    <n v="1"/>
    <n v="1"/>
    <x v="0"/>
  </r>
  <r>
    <x v="224"/>
    <n v="600004114496"/>
    <n v="1"/>
    <s v="E47"/>
    <s v="EQDENOM_47"/>
    <x v="46"/>
    <s v="WM06"/>
    <s v="SECTOR_47"/>
    <s v="PLANTA_2"/>
    <s v="CALDERA"/>
    <s v="ACCESORIOS"/>
    <s v="NIVEL"/>
    <x v="173"/>
    <x v="1"/>
    <d v="2023-01-19T00:00:00"/>
    <x v="5"/>
    <x v="1"/>
    <n v="4"/>
    <d v="1899-12-30T12:00:00"/>
    <d v="1899-12-30T15:00:00"/>
    <n v="3"/>
    <n v="3"/>
    <n v="12"/>
    <x v="3"/>
  </r>
  <r>
    <x v="225"/>
    <n v="600004114650"/>
    <n v="1"/>
    <s v="E54"/>
    <s v="EQDENOM_54"/>
    <x v="53"/>
    <s v="WM07"/>
    <s v="SECTOR_54"/>
    <s v="PLANTA_2"/>
    <s v="CORTADORA"/>
    <s v="ACCESORIOS"/>
    <s v="FLOTANTE"/>
    <x v="174"/>
    <x v="1"/>
    <d v="2023-01-20T00:00:00"/>
    <x v="3"/>
    <x v="1"/>
    <n v="1"/>
    <d v="1899-12-30T09:00:00"/>
    <d v="1899-12-30T09:30:00"/>
    <n v="0.5"/>
    <n v="0.5"/>
    <n v="0.5"/>
    <x v="0"/>
  </r>
  <r>
    <x v="226"/>
    <n v="600004115082"/>
    <n v="1"/>
    <s v="E18"/>
    <s v="EQDENOM_18"/>
    <x v="17"/>
    <s v="WM06"/>
    <s v="SECTOR_18"/>
    <s v="PLANTA_2"/>
    <s v="PRENSA"/>
    <s v="PLATINA"/>
    <s v="ACCESORIOS"/>
    <x v="55"/>
    <x v="0"/>
    <d v="2023-01-21T00:00:00"/>
    <x v="7"/>
    <x v="1"/>
    <n v="2"/>
    <d v="1899-12-30T09:00:00"/>
    <d v="1899-12-30T10:00:00"/>
    <n v="1"/>
    <n v="1"/>
    <n v="2"/>
    <x v="0"/>
  </r>
  <r>
    <x v="227"/>
    <n v="600004115316"/>
    <n v="1"/>
    <s v="E66"/>
    <s v="EQDENOM_65"/>
    <x v="65"/>
    <s v="WM06"/>
    <s v="SECTOR_66"/>
    <s v="PLANTA_2"/>
    <s v="HORNO"/>
    <s v="PUERTA "/>
    <s v="PANEL "/>
    <x v="55"/>
    <x v="0"/>
    <d v="2023-01-24T00:00:00"/>
    <x v="7"/>
    <x v="1"/>
    <n v="2"/>
    <d v="1899-12-30T08:30:00"/>
    <d v="1899-12-30T09:30:00"/>
    <n v="1"/>
    <n v="1"/>
    <n v="2"/>
    <x v="0"/>
  </r>
  <r>
    <x v="228"/>
    <n v="600004115502"/>
    <n v="1"/>
    <s v="E67"/>
    <s v="EQDENOM_66"/>
    <x v="66"/>
    <s v="WM06"/>
    <s v="SECTOR_67"/>
    <s v="PLANTA_2"/>
    <s v="PRENSA"/>
    <s v="UNIDAD HIDRAULICA"/>
    <s v="PLATO"/>
    <x v="117"/>
    <x v="0"/>
    <d v="2023-01-25T00:00:00"/>
    <x v="5"/>
    <x v="1"/>
    <n v="2"/>
    <d v="1899-12-30T14:00:00"/>
    <d v="1899-12-30T14:30:00"/>
    <n v="0.5"/>
    <n v="0.5"/>
    <n v="1"/>
    <x v="0"/>
  </r>
  <r>
    <x v="228"/>
    <n v="600004115513"/>
    <n v="1"/>
    <s v="E08"/>
    <s v="EQDENOM_08"/>
    <x v="7"/>
    <s v="WM06"/>
    <s v="SECTOR_08"/>
    <s v="PLANTA_2"/>
    <s v="PRENSA"/>
    <s v="PLATO"/>
    <s v="CILINDRO"/>
    <x v="16"/>
    <x v="0"/>
    <d v="2023-01-25T00:00:00"/>
    <x v="7"/>
    <x v="1"/>
    <n v="2"/>
    <d v="1899-12-30T07:00:00"/>
    <d v="1899-12-30T08:00:00"/>
    <n v="1"/>
    <n v="1"/>
    <n v="2"/>
    <x v="0"/>
  </r>
  <r>
    <x v="229"/>
    <n v="600004115785"/>
    <n v="1"/>
    <s v="E19"/>
    <s v="EQDENOM_19"/>
    <x v="18"/>
    <s v="WM06"/>
    <s v="SECTOR_19"/>
    <s v="PLANTA_2"/>
    <s v="PRENSA"/>
    <s v="VAPOR"/>
    <s v="POZO"/>
    <x v="63"/>
    <x v="0"/>
    <d v="2023-01-26T00:00:00"/>
    <x v="5"/>
    <x v="1"/>
    <n v="2"/>
    <d v="1899-12-30T09:30:00"/>
    <d v="1899-12-30T11:30:00"/>
    <n v="2"/>
    <n v="2"/>
    <n v="4"/>
    <x v="0"/>
  </r>
  <r>
    <x v="230"/>
    <n v="600004116088"/>
    <n v="1"/>
    <s v="E18"/>
    <s v="EQDENOM_18"/>
    <x v="17"/>
    <s v="WM06"/>
    <s v="SECTOR_18"/>
    <s v="PLANTA_2"/>
    <s v="PRENSA"/>
    <s v="PLATO"/>
    <s v="CILINDRO"/>
    <x v="16"/>
    <x v="0"/>
    <d v="2023-01-27T00:00:00"/>
    <x v="7"/>
    <x v="1"/>
    <n v="2"/>
    <d v="1899-12-30T09:00:00"/>
    <d v="1899-12-30T10:00:00"/>
    <n v="1"/>
    <n v="1"/>
    <n v="2"/>
    <x v="0"/>
  </r>
  <r>
    <x v="231"/>
    <n v="600004115195"/>
    <n v="1"/>
    <s v="E30"/>
    <s v="EQDENOM_30"/>
    <x v="29"/>
    <s v="WM06"/>
    <s v="SECTOR_30"/>
    <s v="PLANTA_2"/>
    <s v="PRENSA"/>
    <s v="UNIDAD HIDRAULICA"/>
    <s v="CILINDRO"/>
    <x v="66"/>
    <x v="1"/>
    <d v="2023-02-06T00:00:00"/>
    <x v="2"/>
    <x v="1"/>
    <n v="2"/>
    <d v="1899-12-30T06:00:00"/>
    <d v="1899-12-30T14:00:00"/>
    <n v="8"/>
    <n v="8"/>
    <n v="16"/>
    <x v="3"/>
  </r>
  <r>
    <x v="231"/>
    <n v="600004117872"/>
    <n v="1"/>
    <s v="E05"/>
    <s v="EQDENOM_05"/>
    <x v="4"/>
    <s v="WM01"/>
    <s v="SECTOR_05"/>
    <s v="PLANTA_2"/>
    <s v="SECADOR"/>
    <s v="UNIDAD HIDRAULICA"/>
    <s v="DEPOSITO "/>
    <x v="100"/>
    <x v="0"/>
    <d v="2023-02-03T00:00:00"/>
    <x v="2"/>
    <x v="1"/>
    <n v="1"/>
    <d v="1899-12-30T06:00:00"/>
    <d v="1899-12-30T09:00:00"/>
    <n v="3"/>
    <n v="3"/>
    <n v="3"/>
    <x v="3"/>
  </r>
  <r>
    <x v="231"/>
    <n v="600004117915"/>
    <n v="1"/>
    <s v="E16"/>
    <s v="EQDENOM_16"/>
    <x v="15"/>
    <s v="WM07"/>
    <s v="SECTOR_16"/>
    <s v="PLANTA_2"/>
    <s v="CORTADORA"/>
    <s v="INSTALACION ELECTRICA"/>
    <s v="TABLERO"/>
    <x v="123"/>
    <x v="1"/>
    <d v="2023-02-03T00:00:00"/>
    <x v="6"/>
    <x v="0"/>
    <n v="3"/>
    <d v="1899-12-30T06:30:00"/>
    <d v="1899-12-30T14:30:00"/>
    <n v="8"/>
    <n v="8"/>
    <n v="24"/>
    <x v="3"/>
  </r>
  <r>
    <x v="232"/>
    <n v="600004118049"/>
    <n v="1"/>
    <s v="E89"/>
    <s v="EQDENOM_87"/>
    <x v="88"/>
    <s v="WM07"/>
    <s v="SECTOR_89"/>
    <s v="PLANTA_2"/>
    <s v="EQUIPO DE FRIO"/>
    <s v="ENFRIAMIENTO"/>
    <s v="AGUA"/>
    <x v="175"/>
    <x v="1"/>
    <d v="2023-02-06T00:00:00"/>
    <x v="0"/>
    <x v="2"/>
    <n v="1"/>
    <d v="1899-12-30T07:00:00"/>
    <d v="1899-12-30T14:00:00"/>
    <n v="7"/>
    <n v="7"/>
    <n v="7"/>
    <x v="3"/>
  </r>
  <r>
    <x v="233"/>
    <n v="600004119137"/>
    <n v="1"/>
    <s v="E24"/>
    <s v="EQDENOM_24"/>
    <x v="23"/>
    <s v="WM06"/>
    <s v="SECTOR_24"/>
    <s v="PLANTA_2"/>
    <s v="PRENSA"/>
    <s v="UNIDAD HIDRAULICA"/>
    <s v="CILINDRO"/>
    <x v="16"/>
    <x v="1"/>
    <d v="2023-02-09T00:00:00"/>
    <x v="2"/>
    <x v="1"/>
    <n v="2"/>
    <d v="1899-12-30T07:00:00"/>
    <d v="1899-12-30T12:30:00"/>
    <n v="5.5"/>
    <n v="5.5"/>
    <n v="11"/>
    <x v="3"/>
  </r>
  <r>
    <x v="233"/>
    <n v="600004119135"/>
    <n v="1"/>
    <s v="E90"/>
    <s v="EQDENOM_88"/>
    <x v="89"/>
    <s v="WM10"/>
    <s v="SECTOR_90"/>
    <s v="PLANTA_1"/>
    <s v="AGITADOR"/>
    <s v="ACCESORIOS"/>
    <s v="AGITADOR"/>
    <x v="176"/>
    <x v="0"/>
    <d v="2023-02-17T00:00:00"/>
    <x v="1"/>
    <x v="1"/>
    <n v="1"/>
    <d v="1899-12-30T06:00:00"/>
    <d v="1899-12-30T11:00:00"/>
    <n v="5"/>
    <n v="5"/>
    <n v="5"/>
    <x v="3"/>
  </r>
  <r>
    <x v="234"/>
    <n v="600004119621"/>
    <n v="1"/>
    <s v="E36"/>
    <s v="EQDENOM_36"/>
    <x v="35"/>
    <s v="WM06"/>
    <s v="SECTOR_36"/>
    <s v="PLANTA_2"/>
    <s v="PRENSA"/>
    <s v="INSTALACION ELECTRICA"/>
    <s v="ACCESORIOS"/>
    <x v="80"/>
    <x v="1"/>
    <d v="2023-02-12T00:00:00"/>
    <x v="6"/>
    <x v="0"/>
    <n v="2"/>
    <d v="1899-12-30T07:00:00"/>
    <d v="1899-12-30T10:00:00"/>
    <n v="3"/>
    <n v="3"/>
    <n v="6"/>
    <x v="3"/>
  </r>
  <r>
    <x v="234"/>
    <n v="600004119622"/>
    <n v="1"/>
    <s v="E15"/>
    <s v="EQDENOM_15"/>
    <x v="14"/>
    <s v="WM06"/>
    <s v="SECTOR_15"/>
    <s v="PLANTA_2"/>
    <s v="PRENSA"/>
    <s v="INSTALACION ELECTRICA"/>
    <s v="ACCESORIOS"/>
    <x v="80"/>
    <x v="1"/>
    <d v="2023-02-12T00:00:00"/>
    <x v="6"/>
    <x v="0"/>
    <n v="2"/>
    <d v="1899-12-30T10:00:00"/>
    <d v="1899-12-30T13:00:00"/>
    <n v="3"/>
    <n v="3"/>
    <n v="6"/>
    <x v="3"/>
  </r>
  <r>
    <x v="235"/>
    <n v="600004120043"/>
    <n v="1"/>
    <s v="E91"/>
    <s v="EQDENOM_89"/>
    <x v="90"/>
    <s v="WM02"/>
    <s v="SECTOR_91"/>
    <s v="PLANTA_1"/>
    <s v="MEZCLADORA"/>
    <s v="INSTALACION ELECTRICA"/>
    <s v="ACCESORIOS"/>
    <x v="78"/>
    <x v="1"/>
    <d v="2023-02-13T00:00:00"/>
    <x v="6"/>
    <x v="0"/>
    <n v="2"/>
    <d v="1899-12-30T12:30:00"/>
    <d v="1899-12-30T14:00:00"/>
    <n v="1.5"/>
    <n v="1.5"/>
    <n v="3"/>
    <x v="0"/>
  </r>
  <r>
    <x v="236"/>
    <n v="600004122226"/>
    <n v="1"/>
    <s v="E67"/>
    <s v="EQDENOM_66"/>
    <x v="66"/>
    <s v="WM06"/>
    <s v="SECTOR_67"/>
    <s v="PLANTA_2"/>
    <s v="PRENSA"/>
    <s v="PLATO"/>
    <s v="PISTON"/>
    <x v="16"/>
    <x v="1"/>
    <d v="2023-02-22T00:00:00"/>
    <x v="4"/>
    <x v="1"/>
    <n v="3"/>
    <d v="1899-12-30T08:00:00"/>
    <d v="1899-12-30T09:00:00"/>
    <n v="1"/>
    <n v="1"/>
    <n v="3"/>
    <x v="0"/>
  </r>
  <r>
    <x v="236"/>
    <n v="600004122228"/>
    <n v="1"/>
    <s v="E78"/>
    <s v="EQDENOM_76"/>
    <x v="77"/>
    <s v="WM04"/>
    <s v="SECTOR_78"/>
    <s v="PLANTA_2"/>
    <s v="TRANSPORT. PINTURA"/>
    <s v="TRANSMISION"/>
    <s v="NORIA"/>
    <x v="177"/>
    <x v="1"/>
    <d v="2023-02-22T00:00:00"/>
    <x v="4"/>
    <x v="1"/>
    <n v="3"/>
    <d v="1899-12-30T09:30:00"/>
    <d v="1899-12-30T11:00:00"/>
    <n v="1.5"/>
    <n v="1.5"/>
    <n v="4.5"/>
    <x v="0"/>
  </r>
  <r>
    <x v="237"/>
    <n v="600004122441"/>
    <n v="1"/>
    <s v="E92"/>
    <s v="EQDENOM_90"/>
    <x v="91"/>
    <s v="WM11"/>
    <s v="SECTOR_92"/>
    <s v="PLANTA_2"/>
    <s v="PRENSA"/>
    <s v="ACCESORIOS"/>
    <s v="PLATINA"/>
    <x v="178"/>
    <x v="1"/>
    <d v="2023-02-23T00:00:00"/>
    <x v="6"/>
    <x v="0"/>
    <n v="1"/>
    <d v="1899-12-30T07:00:00"/>
    <d v="1899-12-30T11:30:00"/>
    <n v="4.5"/>
    <n v="4.5"/>
    <n v="4.5"/>
    <x v="3"/>
  </r>
  <r>
    <x v="238"/>
    <n v="600004122798"/>
    <n v="1"/>
    <s v="E67"/>
    <s v="EQDENOM_66"/>
    <x v="66"/>
    <s v="WM06"/>
    <s v="SECTOR_67"/>
    <s v="PLANTA_2"/>
    <s v="PRENSA"/>
    <s v="UNIDAD HIDRAULICA"/>
    <s v="NUCLEO"/>
    <x v="16"/>
    <x v="1"/>
    <d v="2023-02-24T00:00:00"/>
    <x v="6"/>
    <x v="1"/>
    <n v="2"/>
    <d v="1899-12-30T10:00:00"/>
    <d v="1899-12-30T15:00:00"/>
    <n v="5"/>
    <n v="5"/>
    <n v="10"/>
    <x v="3"/>
  </r>
  <r>
    <x v="239"/>
    <n v="600004123531"/>
    <n v="1"/>
    <s v="E26"/>
    <s v="EQDENOM_26"/>
    <x v="25"/>
    <s v="WM06"/>
    <s v="SECTOR_26"/>
    <s v="PLANTA_2"/>
    <s v="PRENSA"/>
    <s v="VAPOR"/>
    <s v="MOLDE SUPERIOR"/>
    <x v="52"/>
    <x v="0"/>
    <d v="2023-02-27T00:00:00"/>
    <x v="7"/>
    <x v="1"/>
    <n v="2"/>
    <d v="1899-12-30T10:30:00"/>
    <d v="1899-12-30T11:30:00"/>
    <n v="1"/>
    <n v="1"/>
    <n v="2"/>
    <x v="0"/>
  </r>
  <r>
    <x v="239"/>
    <n v="600004123533"/>
    <n v="1"/>
    <s v="E48"/>
    <s v="EQDENOM_48"/>
    <x v="47"/>
    <s v="WM06"/>
    <s v="SECTOR_48"/>
    <s v="PLANTA_2"/>
    <s v="PRENSA"/>
    <s v="SEGURIDAD "/>
    <s v="PUERTA "/>
    <x v="179"/>
    <x v="0"/>
    <d v="2023-03-02T00:00:00"/>
    <x v="4"/>
    <x v="1"/>
    <n v="1"/>
    <d v="1899-12-30T12:30:00"/>
    <d v="1899-12-30T13:30:00"/>
    <n v="1"/>
    <n v="1"/>
    <n v="1"/>
    <x v="0"/>
  </r>
  <r>
    <x v="240"/>
    <n v="600004124235"/>
    <n v="1"/>
    <s v="E31"/>
    <s v="EQDENOM_31"/>
    <x v="30"/>
    <s v="WM06"/>
    <s v="SECTOR_31"/>
    <s v="PLANTA_2"/>
    <s v="PULIDORA"/>
    <s v="FRENO"/>
    <s v="PALANCA"/>
    <x v="180"/>
    <x v="0"/>
    <d v="2023-03-01T00:00:00"/>
    <x v="7"/>
    <x v="1"/>
    <n v="2"/>
    <d v="1899-12-30T09:30:00"/>
    <d v="1899-12-30T10:30:00"/>
    <n v="1"/>
    <n v="1"/>
    <n v="2"/>
    <x v="0"/>
  </r>
  <r>
    <x v="240"/>
    <n v="600004124228"/>
    <n v="1"/>
    <s v="E46"/>
    <s v="EQDENOM_46"/>
    <x v="45"/>
    <s v="WM06"/>
    <s v="SECTOR_46"/>
    <s v="PLANTA_2"/>
    <s v="PRENSA"/>
    <s v="MOLDE"/>
    <s v="MESA"/>
    <x v="160"/>
    <x v="0"/>
    <d v="2023-03-01T00:00:00"/>
    <x v="3"/>
    <x v="0"/>
    <n v="1"/>
    <d v="1899-12-30T07:00:00"/>
    <d v="1899-12-30T09:00:00"/>
    <n v="2"/>
    <n v="2"/>
    <n v="2"/>
    <x v="0"/>
  </r>
  <r>
    <x v="240"/>
    <n v="600004124280"/>
    <n v="1"/>
    <s v="E31"/>
    <s v="EQDENOM_31"/>
    <x v="30"/>
    <s v="WM06"/>
    <s v="SECTOR_31"/>
    <s v="PLANTA_2"/>
    <s v="PULIDORA"/>
    <s v="ACCESORIOS"/>
    <s v="RUEDA"/>
    <x v="69"/>
    <x v="0"/>
    <d v="2023-03-02T00:00:00"/>
    <x v="4"/>
    <x v="1"/>
    <n v="1"/>
    <d v="1899-12-30T07:30:00"/>
    <d v="1899-12-30T08:30:00"/>
    <n v="1"/>
    <n v="1"/>
    <n v="1"/>
    <x v="0"/>
  </r>
  <r>
    <x v="241"/>
    <n v="600004124468"/>
    <n v="1"/>
    <s v="E16"/>
    <s v="EQDENOM_16"/>
    <x v="15"/>
    <s v="WM07"/>
    <s v="SECTOR_16"/>
    <s v="PLANTA_2"/>
    <s v="CORTADORA"/>
    <s v="EXTRUSION"/>
    <s v="FEED FOLL"/>
    <x v="19"/>
    <x v="0"/>
    <d v="2023-03-02T00:00:00"/>
    <x v="7"/>
    <x v="1"/>
    <n v="1"/>
    <d v="1899-12-30T15:00:00"/>
    <d v="1899-12-30T16:00:00"/>
    <n v="1"/>
    <n v="1"/>
    <n v="1"/>
    <x v="0"/>
  </r>
  <r>
    <x v="242"/>
    <n v="600004124699"/>
    <n v="1"/>
    <s v="E26"/>
    <s v="EQDENOM_26"/>
    <x v="25"/>
    <s v="WM06"/>
    <s v="SECTOR_26"/>
    <s v="PLANTA_2"/>
    <s v="PRENSA"/>
    <s v="PLATO"/>
    <s v="PISTON"/>
    <x v="16"/>
    <x v="0"/>
    <d v="2023-03-03T00:00:00"/>
    <x v="7"/>
    <x v="1"/>
    <n v="2"/>
    <d v="1899-12-30T12:30:00"/>
    <d v="1899-12-30T14:30:00"/>
    <n v="2"/>
    <n v="2"/>
    <n v="4"/>
    <x v="0"/>
  </r>
  <r>
    <x v="243"/>
    <n v="600004125305"/>
    <n v="1"/>
    <s v="E67"/>
    <s v="EQDENOM_66"/>
    <x v="66"/>
    <s v="WM06"/>
    <s v="SECTOR_67"/>
    <s v="PLANTA_2"/>
    <s v="PRENSA"/>
    <s v="INSTALACION ELECTRICA"/>
    <s v="ACCESORIOS"/>
    <x v="31"/>
    <x v="0"/>
    <d v="2023-03-06T00:00:00"/>
    <x v="3"/>
    <x v="0"/>
    <n v="1"/>
    <d v="1899-12-30T07:30:00"/>
    <d v="1899-12-30T09:00:00"/>
    <n v="1.5"/>
    <n v="1.5"/>
    <n v="1.5"/>
    <x v="0"/>
  </r>
  <r>
    <x v="243"/>
    <n v="600004125328"/>
    <n v="1"/>
    <s v="E56"/>
    <s v="EQDENOM_47"/>
    <x v="55"/>
    <s v="WM06"/>
    <s v="SECTOR_56"/>
    <s v="PLANTA_2"/>
    <s v="CALDERA"/>
    <s v="INSTALACION ELECTRICA"/>
    <s v="ACCESORIOS"/>
    <x v="37"/>
    <x v="0"/>
    <d v="2023-03-06T00:00:00"/>
    <x v="3"/>
    <x v="0"/>
    <n v="1"/>
    <d v="1899-12-30T07:00:00"/>
    <d v="1899-12-30T08:00:00"/>
    <n v="1"/>
    <n v="1"/>
    <n v="1"/>
    <x v="0"/>
  </r>
  <r>
    <x v="244"/>
    <n v="600004125611"/>
    <n v="1"/>
    <s v="E34"/>
    <s v="EQDENOM_34"/>
    <x v="33"/>
    <s v="WM06"/>
    <s v="SECTOR_34"/>
    <s v="PLANTA_2"/>
    <s v="TRANSPORT. PINTURA"/>
    <s v="SEGURIDAD "/>
    <s v="CABINA"/>
    <x v="171"/>
    <x v="0"/>
    <d v="2023-03-07T00:00:00"/>
    <x v="4"/>
    <x v="1"/>
    <n v="2"/>
    <d v="1899-12-30T15:00:00"/>
    <d v="1899-12-30T16:00:00"/>
    <n v="1"/>
    <n v="0"/>
    <n v="2"/>
    <x v="2"/>
  </r>
  <r>
    <x v="244"/>
    <n v="600004125530"/>
    <n v="1"/>
    <s v="E12"/>
    <s v="EQDENOM_12"/>
    <x v="11"/>
    <s v="WM06"/>
    <s v="SECTOR_12"/>
    <s v="PLANTA_2"/>
    <s v="PRENSA"/>
    <s v="PLATO "/>
    <s v="CILINDRO"/>
    <x v="16"/>
    <x v="0"/>
    <d v="2023-03-07T00:00:00"/>
    <x v="7"/>
    <x v="1"/>
    <n v="3"/>
    <d v="1899-12-30T10:00:00"/>
    <d v="1899-12-30T11:30:00"/>
    <n v="1.5"/>
    <n v="1.5"/>
    <n v="4.5"/>
    <x v="0"/>
  </r>
  <r>
    <x v="244"/>
    <n v="600004125519"/>
    <n v="1"/>
    <s v="E19"/>
    <s v="EQDENOM_19"/>
    <x v="18"/>
    <s v="WM06"/>
    <s v="SECTOR_19"/>
    <s v="PLANTA_2"/>
    <s v="PRENSA"/>
    <s v="CONTRAPRESION"/>
    <s v="NUCLEO"/>
    <x v="117"/>
    <x v="0"/>
    <d v="2023-03-07T00:00:00"/>
    <x v="7"/>
    <x v="1"/>
    <n v="2"/>
    <d v="1899-12-30T15:00:00"/>
    <d v="1899-12-30T16:00:00"/>
    <n v="1"/>
    <n v="1"/>
    <n v="2"/>
    <x v="0"/>
  </r>
  <r>
    <x v="245"/>
    <n v="600004125782"/>
    <n v="1"/>
    <s v="E24"/>
    <s v="EQDENOM_24"/>
    <x v="23"/>
    <s v="WM06"/>
    <s v="SECTOR_24"/>
    <s v="PLANTA_2"/>
    <s v="PRENSA"/>
    <s v="MESA "/>
    <s v="PLATINA"/>
    <x v="14"/>
    <x v="0"/>
    <d v="2023-03-08T00:00:00"/>
    <x v="7"/>
    <x v="1"/>
    <n v="2"/>
    <d v="1899-12-30T09:30:00"/>
    <d v="1899-12-30T11:30:00"/>
    <n v="2"/>
    <n v="2"/>
    <n v="4"/>
    <x v="0"/>
  </r>
  <r>
    <x v="245"/>
    <n v="600004125788"/>
    <n v="1"/>
    <s v="E08"/>
    <s v="EQDENOM_08"/>
    <x v="7"/>
    <s v="WM06"/>
    <s v="SECTOR_08"/>
    <s v="PLANTA_2"/>
    <s v="PRENSA"/>
    <s v="PLATO"/>
    <s v="CILINDRO"/>
    <x v="14"/>
    <x v="0"/>
    <d v="2023-03-08T00:00:00"/>
    <x v="7"/>
    <x v="1"/>
    <n v="2"/>
    <d v="1899-12-30T07:00:00"/>
    <d v="1899-12-30T08:00:00"/>
    <n v="1"/>
    <n v="1"/>
    <n v="2"/>
    <x v="0"/>
  </r>
  <r>
    <x v="194"/>
    <n v="600004069548"/>
    <n v="1"/>
    <s v="E15"/>
    <s v="EQDENOM_15"/>
    <x v="14"/>
    <s v="WM06"/>
    <s v="SECTOR_15"/>
    <s v="PLANTA_2"/>
    <s v="PRENSA"/>
    <s v="UNIDAD HIDRAULICA"/>
    <s v="CILINDRO"/>
    <x v="16"/>
    <x v="0"/>
    <d v="2023-10-25T00:00:00"/>
    <x v="7"/>
    <x v="1"/>
    <n v="3"/>
    <d v="1899-12-30T09:00:00"/>
    <d v="1899-12-30T16:00:00"/>
    <n v="7"/>
    <n v="7"/>
    <n v="21"/>
    <x v="3"/>
  </r>
  <r>
    <x v="246"/>
    <n v="600004116866"/>
    <n v="1"/>
    <s v="E75"/>
    <s v="EQDENOM_73"/>
    <x v="74"/>
    <s v="WM01"/>
    <s v="SECTOR_75"/>
    <s v="PLANTA_1"/>
    <s v="DISPERSORA"/>
    <s v="TRANSMISION"/>
    <s v="EJE"/>
    <x v="57"/>
    <x v="0"/>
    <d v="2023-02-28T00:00:00"/>
    <x v="1"/>
    <x v="1"/>
    <n v="3"/>
    <d v="1899-12-30T06:00:00"/>
    <d v="1899-12-30T16:00:00"/>
    <n v="10"/>
    <n v="10"/>
    <n v="30"/>
    <x v="1"/>
  </r>
  <r>
    <x v="247"/>
    <n v="600004126698"/>
    <n v="1"/>
    <s v="E57"/>
    <s v="EQDENOM_56"/>
    <x v="56"/>
    <s v="WM06"/>
    <s v="SECTOR_57"/>
    <s v="PLANTA_2"/>
    <s v="PRENSA"/>
    <s v="VAPOR"/>
    <s v="MOLDE INFERIOR"/>
    <x v="23"/>
    <x v="0"/>
    <d v="2023-03-11T00:00:00"/>
    <x v="7"/>
    <x v="1"/>
    <n v="2"/>
    <d v="1899-12-30T06:00:00"/>
    <d v="1899-12-30T07:00:00"/>
    <n v="1"/>
    <n v="1"/>
    <n v="2"/>
    <x v="0"/>
  </r>
  <r>
    <x v="248"/>
    <n v="600004126110"/>
    <n v="1"/>
    <s v="E31"/>
    <s v="EQDENOM_31"/>
    <x v="30"/>
    <s v="WM06"/>
    <s v="SECTOR_31"/>
    <s v="PLANTA_2"/>
    <s v="PULIDORA"/>
    <s v="TRANSMISION"/>
    <s v="MOTOR"/>
    <x v="35"/>
    <x v="0"/>
    <d v="2023-03-10T00:00:00"/>
    <x v="7"/>
    <x v="1"/>
    <n v="2"/>
    <d v="1899-12-30T15:00:00"/>
    <d v="1899-12-30T16:00:00"/>
    <n v="1"/>
    <n v="1"/>
    <n v="2"/>
    <x v="0"/>
  </r>
  <r>
    <x v="247"/>
    <n v="600004126754"/>
    <n v="1"/>
    <s v="E56"/>
    <s v="EQDENOM_47"/>
    <x v="55"/>
    <s v="WM06"/>
    <s v="SECTOR_56"/>
    <s v="PLANTA_2"/>
    <s v="CALDERA"/>
    <s v="INSTALACION ELECTRICA"/>
    <s v="BOMBA"/>
    <x v="181"/>
    <x v="0"/>
    <d v="2023-03-13T00:00:00"/>
    <x v="3"/>
    <x v="0"/>
    <n v="1"/>
    <d v="1899-12-30T10:00:00"/>
    <d v="1899-12-30T11:00:00"/>
    <n v="1"/>
    <n v="11"/>
    <n v="1"/>
    <x v="1"/>
  </r>
  <r>
    <x v="249"/>
    <n v="600004126258"/>
    <n v="1"/>
    <s v="E51"/>
    <s v="EQDENOM_51"/>
    <x v="50"/>
    <s v="WM06"/>
    <s v="SECTOR_51"/>
    <s v="PLANTA_2"/>
    <s v="PRENSA"/>
    <s v="CILINDRO"/>
    <s v="GUIA"/>
    <x v="150"/>
    <x v="0"/>
    <d v="2023-03-10T00:00:00"/>
    <x v="7"/>
    <x v="1"/>
    <n v="2"/>
    <d v="1899-12-30T07:00:00"/>
    <d v="1899-12-30T08:00:00"/>
    <n v="1"/>
    <n v="1"/>
    <n v="2"/>
    <x v="0"/>
  </r>
  <r>
    <x v="248"/>
    <n v="600004126082"/>
    <n v="1"/>
    <s v="E19"/>
    <s v="EQDENOM_19"/>
    <x v="18"/>
    <s v="WM06"/>
    <s v="SECTOR_19"/>
    <s v="PLANTA_2"/>
    <s v="PRENSA"/>
    <s v="PLATO"/>
    <s v="PISTON"/>
    <x v="16"/>
    <x v="0"/>
    <d v="2023-03-09T00:00:00"/>
    <x v="7"/>
    <x v="1"/>
    <n v="2"/>
    <d v="1899-12-30T09:00:00"/>
    <d v="1899-12-30T10:00:00"/>
    <n v="1"/>
    <n v="1"/>
    <n v="2"/>
    <x v="0"/>
  </r>
  <r>
    <x v="245"/>
    <n v="600004125861"/>
    <n v="1"/>
    <s v="E16"/>
    <s v="EQDENOM_16"/>
    <x v="15"/>
    <s v="WM07"/>
    <s v="SECTOR_16"/>
    <s v="PLANTA_2"/>
    <s v="CORTADORA"/>
    <s v="CONTENCION"/>
    <s v="TOLVA"/>
    <x v="182"/>
    <x v="0"/>
    <d v="2023-03-08T00:00:00"/>
    <x v="7"/>
    <x v="1"/>
    <n v="1"/>
    <d v="1899-12-30T15:00:00"/>
    <d v="1899-12-30T16:00:00"/>
    <n v="1"/>
    <n v="1"/>
    <n v="1"/>
    <x v="0"/>
  </r>
  <r>
    <x v="250"/>
    <n v="600004127282"/>
    <n v="1"/>
    <s v="E57"/>
    <s v="EQDENOM_56"/>
    <x v="56"/>
    <s v="WM06"/>
    <s v="SECTOR_57"/>
    <s v="PLANTA_2"/>
    <s v="PRENSA"/>
    <s v="VAPOR"/>
    <s v="MOLDE INFERIOR"/>
    <x v="8"/>
    <x v="1"/>
    <d v="2023-03-15T00:00:00"/>
    <x v="5"/>
    <x v="1"/>
    <n v="1"/>
    <d v="1899-12-30T13:00:00"/>
    <d v="1899-12-30T14:00:00"/>
    <n v="1"/>
    <n v="1"/>
    <n v="1"/>
    <x v="0"/>
  </r>
  <r>
    <x v="232"/>
    <n v="600004118057"/>
    <n v="1"/>
    <s v="E93"/>
    <s v="EQDENOM_91"/>
    <x v="92"/>
    <s v="WM07"/>
    <s v="SECTOR_93"/>
    <s v="PLANTA_2"/>
    <s v="TRANSP. ENF TIRAS"/>
    <s v="TRANSMISION"/>
    <s v="RODILLO"/>
    <x v="13"/>
    <x v="1"/>
    <d v="2023-03-14T00:00:00"/>
    <x v="5"/>
    <x v="1"/>
    <n v="3"/>
    <d v="1899-12-30T08:00:00"/>
    <d v="1899-12-30T16:00:00"/>
    <n v="8"/>
    <n v="8"/>
    <n v="24"/>
    <x v="3"/>
  </r>
  <r>
    <x v="250"/>
    <n v="600004127234"/>
    <n v="1"/>
    <s v="E12"/>
    <s v="EQDENOM_12"/>
    <x v="11"/>
    <s v="WM06"/>
    <s v="SECTOR_12"/>
    <s v="PLANTA_2"/>
    <s v="PRENSA"/>
    <s v="UNIDAD HIDRAULICA"/>
    <s v="BOMBA"/>
    <x v="169"/>
    <x v="0"/>
    <d v="2023-03-15T00:00:00"/>
    <x v="7"/>
    <x v="1"/>
    <n v="2"/>
    <d v="1899-12-30T07:00:00"/>
    <d v="1899-12-30T08:00:00"/>
    <n v="1"/>
    <n v="1"/>
    <n v="2"/>
    <x v="0"/>
  </r>
  <r>
    <x v="250"/>
    <n v="600004127292"/>
    <n v="1"/>
    <s v="E71"/>
    <s v="EQDENOM_69"/>
    <x v="70"/>
    <s v="WM08"/>
    <s v="SECTOR_71"/>
    <s v="PLANTA_1"/>
    <s v="ENVASADORA"/>
    <s v="INSTALACION ELECTRICA"/>
    <s v="BORNERA "/>
    <x v="1"/>
    <x v="0"/>
    <d v="2023-03-15T00:00:00"/>
    <x v="3"/>
    <x v="0"/>
    <n v="1"/>
    <d v="1899-12-30T07:00:00"/>
    <d v="1899-12-30T10:00:00"/>
    <n v="3"/>
    <n v="3"/>
    <n v="3"/>
    <x v="3"/>
  </r>
  <r>
    <x v="250"/>
    <n v="600004127296"/>
    <n v="1"/>
    <s v="E94"/>
    <s v="EQDENOM_92"/>
    <x v="93"/>
    <s v="WM06"/>
    <s v="SECTOR_94"/>
    <s v="PLANTA_2"/>
    <s v="ABLANDADOR"/>
    <s v="TRANSMISION"/>
    <s v="BOMBA"/>
    <x v="183"/>
    <x v="1"/>
    <d v="2023-03-16T00:00:00"/>
    <x v="3"/>
    <x v="0"/>
    <n v="2"/>
    <d v="1899-12-30T09:40:00"/>
    <d v="1899-12-30T10:40:00"/>
    <n v="1"/>
    <n v="1"/>
    <n v="2"/>
    <x v="0"/>
  </r>
  <r>
    <x v="250"/>
    <n v="600004127235"/>
    <n v="1"/>
    <s v="E18"/>
    <s v="EQDENOM_18"/>
    <x v="17"/>
    <s v="WM06"/>
    <s v="SECTOR_18"/>
    <s v="PLANTA_2"/>
    <s v="PRENSA"/>
    <s v="VAPOR"/>
    <s v="PURGA"/>
    <x v="11"/>
    <x v="0"/>
    <d v="2023-03-15T00:00:00"/>
    <x v="5"/>
    <x v="1"/>
    <n v="2"/>
    <d v="1899-12-30T09:30:00"/>
    <d v="1899-12-30T10:30:00"/>
    <n v="1"/>
    <n v="1"/>
    <n v="2"/>
    <x v="0"/>
  </r>
  <r>
    <x v="248"/>
    <n v="600004126043"/>
    <n v="1"/>
    <s v="E24"/>
    <s v="EQDENOM_24"/>
    <x v="23"/>
    <s v="WM06"/>
    <s v="SECTOR_24"/>
    <s v="PLANTA_2"/>
    <s v="PRENSA"/>
    <s v="PLATO"/>
    <s v="PISTON"/>
    <x v="16"/>
    <x v="0"/>
    <d v="2023-03-10T00:00:00"/>
    <x v="7"/>
    <x v="1"/>
    <n v="2"/>
    <d v="1899-12-30T13:30:00"/>
    <d v="1899-12-30T15:00:00"/>
    <n v="1.5"/>
    <n v="1.5"/>
    <n v="3"/>
    <x v="0"/>
  </r>
  <r>
    <x v="247"/>
    <n v="600004126776"/>
    <n v="1"/>
    <s v="E54"/>
    <s v="EQDENOM_54"/>
    <x v="53"/>
    <s v="WM07"/>
    <s v="SECTOR_54"/>
    <s v="PLANTA_2"/>
    <s v="CORTADORA"/>
    <s v="INSTALACION ELECTRICA"/>
    <s v="TANQUE"/>
    <x v="31"/>
    <x v="0"/>
    <d v="2023-03-13T00:00:00"/>
    <x v="3"/>
    <x v="0"/>
    <n v="2"/>
    <d v="1899-12-30T10:30:00"/>
    <d v="1899-12-30T14:30:00"/>
    <n v="4"/>
    <n v="4"/>
    <n v="8"/>
    <x v="3"/>
  </r>
  <r>
    <x v="251"/>
    <n v="600004126985"/>
    <n v="1"/>
    <s v="E66"/>
    <s v="EQDENOM_65"/>
    <x v="65"/>
    <s v="WM06"/>
    <s v="SECTOR_66"/>
    <s v="PLANTA_2"/>
    <s v="HORNO"/>
    <s v="ACCESORIOS"/>
    <s v="PUERTA "/>
    <x v="34"/>
    <x v="0"/>
    <d v="2023-03-14T00:00:00"/>
    <x v="5"/>
    <x v="1"/>
    <n v="2"/>
    <d v="1899-12-30T07:00:00"/>
    <d v="1899-12-30T08:00:00"/>
    <n v="1"/>
    <n v="1"/>
    <n v="2"/>
    <x v="0"/>
  </r>
  <r>
    <x v="249"/>
    <n v="600004126346"/>
    <n v="1"/>
    <s v="E16"/>
    <s v="EQDENOM_16"/>
    <x v="15"/>
    <s v="WM07"/>
    <s v="SECTOR_16"/>
    <s v="PLANTA_2"/>
    <s v="CORTADORA"/>
    <s v="ACCESORIOS"/>
    <s v="CONTENCION"/>
    <x v="184"/>
    <x v="0"/>
    <d v="2023-03-13T00:00:00"/>
    <x v="5"/>
    <x v="1"/>
    <n v="1"/>
    <d v="1899-12-30T09:00:00"/>
    <d v="1899-12-30T09:30:00"/>
    <n v="0.5"/>
    <n v="0.5"/>
    <n v="0.5"/>
    <x v="0"/>
  </r>
  <r>
    <x v="252"/>
    <n v="600004127503"/>
    <n v="1"/>
    <s v="E23"/>
    <s v="EQDENOM_23"/>
    <x v="22"/>
    <s v="WM06"/>
    <s v="SECTOR_23"/>
    <s v="PLANTA_2"/>
    <s v="PRENSA"/>
    <s v="INSTALACION ELECTRICA"/>
    <s v="ZOCALO"/>
    <x v="123"/>
    <x v="0"/>
    <d v="2023-03-16T00:00:00"/>
    <x v="3"/>
    <x v="0"/>
    <n v="1"/>
    <d v="1899-12-30T14:00:00"/>
    <d v="1899-12-30T15:30:00"/>
    <n v="1.5"/>
    <n v="1.5"/>
    <n v="1.5"/>
    <x v="0"/>
  </r>
  <r>
    <x v="242"/>
    <n v="600004124697"/>
    <n v="1"/>
    <s v="E31"/>
    <s v="EQDENOM_31"/>
    <x v="30"/>
    <s v="WM06"/>
    <s v="SECTOR_31"/>
    <s v="PLANTA_2"/>
    <s v="PULIDORA"/>
    <s v="UNIDAD NEUMATICA"/>
    <s v="AIRE"/>
    <x v="52"/>
    <x v="0"/>
    <d v="2023-03-03T00:00:00"/>
    <x v="4"/>
    <x v="1"/>
    <n v="1"/>
    <d v="1899-12-30T15:30:00"/>
    <d v="1899-12-30T16:00:00"/>
    <n v="0.5"/>
    <n v="0.5"/>
    <n v="0.5"/>
    <x v="0"/>
  </r>
  <r>
    <x v="253"/>
    <n v="600004128067"/>
    <n v="1"/>
    <s v="E47"/>
    <s v="EQDENOM_47"/>
    <x v="46"/>
    <s v="WM06"/>
    <s v="SECTOR_47"/>
    <s v="PLANTA_2"/>
    <s v="CALDERA"/>
    <s v="ACCESORIOS"/>
    <s v="NIVEL"/>
    <x v="185"/>
    <x v="1"/>
    <d v="2023-03-18T00:00:00"/>
    <x v="5"/>
    <x v="1"/>
    <n v="2"/>
    <d v="1899-12-30T09:00:00"/>
    <d v="1899-12-30T10:00:00"/>
    <n v="1"/>
    <n v="1"/>
    <n v="2"/>
    <x v="0"/>
  </r>
  <r>
    <x v="254"/>
    <n v="600004128610"/>
    <n v="1"/>
    <s v="E19"/>
    <s v="EQDENOM_19"/>
    <x v="18"/>
    <s v="WM06"/>
    <s v="SECTOR_19"/>
    <s v="PLANTA_2"/>
    <s v="PRENSA"/>
    <s v="PLATO"/>
    <s v="CILINDRO"/>
    <x v="14"/>
    <x v="0"/>
    <d v="2023-03-22T00:00:00"/>
    <x v="7"/>
    <x v="1"/>
    <n v="1"/>
    <d v="1899-12-30T07:00:00"/>
    <d v="1899-12-30T08:00:00"/>
    <n v="1"/>
    <n v="1"/>
    <n v="1"/>
    <x v="0"/>
  </r>
  <r>
    <x v="254"/>
    <n v="600004128553"/>
    <n v="1"/>
    <s v="E36"/>
    <s v="EQDENOM_36"/>
    <x v="35"/>
    <s v="WM06"/>
    <s v="SECTOR_36"/>
    <s v="PLANTA_2"/>
    <s v="PRENSA"/>
    <s v="UNIDAD HIDRAULICA"/>
    <s v="MANIFOLD"/>
    <x v="14"/>
    <x v="0"/>
    <d v="2023-03-21T00:00:00"/>
    <x v="7"/>
    <x v="1"/>
    <n v="2"/>
    <d v="1899-12-30T10:30:00"/>
    <d v="1899-12-30T11:30:00"/>
    <n v="1"/>
    <n v="1"/>
    <n v="2"/>
    <x v="0"/>
  </r>
  <r>
    <x v="250"/>
    <n v="600004127281"/>
    <n v="1"/>
    <s v="E36"/>
    <s v="EQDENOM_36"/>
    <x v="35"/>
    <s v="WM06"/>
    <s v="SECTOR_36"/>
    <s v="PLANTA_2"/>
    <s v="PRENSA"/>
    <s v="VAPOR"/>
    <s v="NUCLEO"/>
    <x v="8"/>
    <x v="1"/>
    <d v="2023-03-15T00:00:00"/>
    <x v="7"/>
    <x v="1"/>
    <n v="1"/>
    <d v="1899-12-30T15:00:00"/>
    <d v="1899-12-30T16:00:00"/>
    <n v="1"/>
    <n v="1"/>
    <n v="1"/>
    <x v="0"/>
  </r>
  <r>
    <x v="255"/>
    <n v="600004121551"/>
    <n v="1"/>
    <s v="E77"/>
    <s v="EQDENOM_75"/>
    <x v="76"/>
    <s v="WM11"/>
    <s v="SECTOR_77"/>
    <s v="PLANTA_2"/>
    <s v="PRENSA"/>
    <s v="UNIDAD HIDRAULICA"/>
    <s v="CILINDRO"/>
    <x v="74"/>
    <x v="1"/>
    <d v="2023-03-17T00:00:00"/>
    <x v="7"/>
    <x v="1"/>
    <n v="2"/>
    <d v="1899-12-30T07:00:00"/>
    <d v="1899-12-30T11:00:00"/>
    <n v="4"/>
    <n v="4"/>
    <n v="8"/>
    <x v="3"/>
  </r>
  <r>
    <x v="247"/>
    <n v="600004126701"/>
    <n v="1"/>
    <s v="E67"/>
    <s v="EQDENOM_66"/>
    <x v="66"/>
    <s v="WM06"/>
    <s v="SECTOR_67"/>
    <s v="PLANTA_2"/>
    <s v="PRENSA"/>
    <s v="UNIDAD HIDRAULICA"/>
    <s v="PRESOSTATO"/>
    <x v="117"/>
    <x v="0"/>
    <d v="2023-03-13T00:00:00"/>
    <x v="7"/>
    <x v="1"/>
    <n v="1"/>
    <d v="1899-12-30T07:00:00"/>
    <d v="1899-12-30T07:30:00"/>
    <n v="0.5"/>
    <n v="0.5"/>
    <n v="0.5"/>
    <x v="0"/>
  </r>
  <r>
    <x v="253"/>
    <n v="600004128006"/>
    <n v="1"/>
    <s v="E12"/>
    <s v="EQDENOM_12"/>
    <x v="11"/>
    <s v="WM06"/>
    <s v="SECTOR_12"/>
    <s v="PLANTA_2"/>
    <s v="PRENSA"/>
    <s v="MESA"/>
    <s v="PISTON"/>
    <x v="52"/>
    <x v="0"/>
    <d v="2023-03-17T00:00:00"/>
    <x v="4"/>
    <x v="1"/>
    <n v="1"/>
    <d v="1899-12-30T12:30:00"/>
    <d v="1899-12-30T14:00:00"/>
    <n v="1.5"/>
    <n v="1.5"/>
    <n v="1.5"/>
    <x v="0"/>
  </r>
  <r>
    <x v="253"/>
    <n v="600004128007"/>
    <n v="1"/>
    <s v="E34"/>
    <s v="EQDENOM_34"/>
    <x v="33"/>
    <s v="WM06"/>
    <s v="SECTOR_34"/>
    <s v="PLANTA_2"/>
    <s v="TRANSPORT. PINTURA"/>
    <s v="TRANSMISION"/>
    <s v="GRIP"/>
    <x v="56"/>
    <x v="0"/>
    <d v="2023-03-17T00:00:00"/>
    <x v="4"/>
    <x v="1"/>
    <n v="3"/>
    <d v="1899-12-30T10:00:00"/>
    <d v="1899-12-30T11:30:00"/>
    <n v="1.5"/>
    <n v="1.5"/>
    <n v="4.5"/>
    <x v="0"/>
  </r>
  <r>
    <x v="256"/>
    <n v="600004128720"/>
    <n v="1"/>
    <s v="E65"/>
    <s v="EQDENOM_64"/>
    <x v="64"/>
    <s v="WM02"/>
    <s v="SECTOR_65"/>
    <s v="PLANTA_1"/>
    <s v="DISPERSORA"/>
    <s v="UNIDAD HIDRAULICA"/>
    <s v="PISTON"/>
    <x v="74"/>
    <x v="0"/>
    <d v="2023-03-27T00:00:00"/>
    <x v="9"/>
    <x v="1"/>
    <n v="1"/>
    <d v="1899-12-30T09:30:00"/>
    <d v="1899-12-30T11:00:00"/>
    <n v="1.5"/>
    <n v="1.5"/>
    <n v="1.5"/>
    <x v="0"/>
  </r>
  <r>
    <x v="257"/>
    <n v="600004132023"/>
    <n v="1"/>
    <s v="E11"/>
    <s v="EQDENOM_11"/>
    <x v="10"/>
    <s v="WM01"/>
    <s v="SECTOR_11"/>
    <s v="PLANTA_1"/>
    <s v="FILTRO"/>
    <s v="ACCESORIOS"/>
    <s v="MANGA"/>
    <x v="115"/>
    <x v="0"/>
    <d v="2023-04-04T00:00:00"/>
    <x v="2"/>
    <x v="1"/>
    <n v="4"/>
    <d v="1899-12-30T07:00:00"/>
    <d v="1899-12-30T10:30:00"/>
    <n v="3.5"/>
    <n v="3.5"/>
    <n v="14"/>
    <x v="3"/>
  </r>
  <r>
    <x v="257"/>
    <n v="600004132031"/>
    <n v="1"/>
    <s v="E95"/>
    <s v="EQDENOM_93"/>
    <x v="94"/>
    <s v="WM04"/>
    <s v="SECTOR_95"/>
    <s v="PLANTA_2"/>
    <s v="ROBOT"/>
    <s v="INSTALACION ELECTRICA"/>
    <s v="FLUJO"/>
    <x v="31"/>
    <x v="0"/>
    <d v="2023-04-04T00:00:00"/>
    <x v="6"/>
    <x v="0"/>
    <n v="2"/>
    <d v="1899-12-30T09:00:00"/>
    <d v="1899-12-30T10:30:00"/>
    <n v="1.5"/>
    <n v="1.5"/>
    <n v="3"/>
    <x v="0"/>
  </r>
  <r>
    <x v="257"/>
    <n v="600004132060"/>
    <n v="1"/>
    <s v="E88"/>
    <s v="EQDENOM_86"/>
    <x v="87"/>
    <s v="WM06"/>
    <s v="SECTOR_88"/>
    <s v="PLANTA_2"/>
    <s v="CABINA DE ENFRIAMIENTO"/>
    <s v="ACCESORIOS"/>
    <s v="HORNO"/>
    <x v="34"/>
    <x v="0"/>
    <d v="2023-04-04T00:00:00"/>
    <x v="7"/>
    <x v="1"/>
    <n v="2"/>
    <d v="1899-12-30T09:00:00"/>
    <d v="1899-12-30T10:00:00"/>
    <n v="1"/>
    <n v="1"/>
    <n v="2"/>
    <x v="0"/>
  </r>
  <r>
    <x v="257"/>
    <n v="600004132061"/>
    <n v="1"/>
    <s v="E88"/>
    <s v="EQDENOM_86"/>
    <x v="87"/>
    <s v="WM06"/>
    <s v="SECTOR_88"/>
    <s v="PLANTA_2"/>
    <s v="CABINA DE ENFRIAMIENTO"/>
    <s v="ACCESORIOS"/>
    <s v="HORNO"/>
    <x v="48"/>
    <x v="0"/>
    <d v="2023-04-04T00:00:00"/>
    <x v="3"/>
    <x v="1"/>
    <n v="1"/>
    <d v="1899-12-30T09:00:00"/>
    <d v="1899-12-30T10:00:00"/>
    <n v="1"/>
    <n v="1"/>
    <n v="1"/>
    <x v="0"/>
  </r>
  <r>
    <x v="257"/>
    <n v="600004132025"/>
    <n v="1"/>
    <s v="E31"/>
    <s v="EQDENOM_31"/>
    <x v="30"/>
    <s v="WM06"/>
    <s v="SECTOR_31"/>
    <s v="PLANTA_2"/>
    <s v="PULIDORA"/>
    <s v="UNIDAD NEUMATICA"/>
    <s v="VALVULA"/>
    <x v="186"/>
    <x v="0"/>
    <d v="2023-04-03T00:00:00"/>
    <x v="5"/>
    <x v="1"/>
    <n v="2"/>
    <d v="1899-12-30T14:30:00"/>
    <d v="1899-12-30T15:00:00"/>
    <n v="0.5"/>
    <n v="0.5"/>
    <n v="1"/>
    <x v="0"/>
  </r>
  <r>
    <x v="258"/>
    <n v="600004132936"/>
    <n v="1"/>
    <s v="E26"/>
    <s v="EQDENOM_26"/>
    <x v="25"/>
    <s v="WM06"/>
    <s v="SECTOR_26"/>
    <s v="PLANTA_2"/>
    <s v="PRENSA"/>
    <s v="VAPOR"/>
    <s v="CAÑERIA"/>
    <x v="166"/>
    <x v="0"/>
    <d v="2023-04-10T00:00:00"/>
    <x v="4"/>
    <x v="1"/>
    <n v="1"/>
    <d v="1899-12-30T10:30:00"/>
    <d v="1899-12-30T11:30:00"/>
    <n v="1"/>
    <n v="1"/>
    <n v="1"/>
    <x v="0"/>
  </r>
  <r>
    <x v="258"/>
    <n v="600004132937"/>
    <n v="1"/>
    <s v="E47"/>
    <s v="EQDENOM_47"/>
    <x v="46"/>
    <s v="WM06"/>
    <s v="SECTOR_47"/>
    <s v="PLANTA_2"/>
    <s v="CALDERA"/>
    <s v="ACCESORIOS"/>
    <s v="NIVEL"/>
    <x v="173"/>
    <x v="0"/>
    <d v="2023-04-11T00:00:00"/>
    <x v="7"/>
    <x v="1"/>
    <n v="3"/>
    <d v="1899-12-30T08:00:00"/>
    <d v="1899-12-30T11:00:00"/>
    <n v="3"/>
    <n v="3"/>
    <n v="9"/>
    <x v="3"/>
  </r>
  <r>
    <x v="259"/>
    <n v="600004133337"/>
    <n v="1"/>
    <s v="E34"/>
    <s v="EQDENOM_34"/>
    <x v="33"/>
    <s v="WM06"/>
    <s v="SECTOR_34"/>
    <s v="PLANTA_2"/>
    <s v="TRANSPORT. PINTURA"/>
    <s v="TRANSMISION"/>
    <s v="GRIP"/>
    <x v="187"/>
    <x v="0"/>
    <d v="2023-04-12T00:00:00"/>
    <x v="7"/>
    <x v="1"/>
    <n v="3"/>
    <d v="1899-12-30T13:00:00"/>
    <d v="1899-12-30T15:00:00"/>
    <n v="2"/>
    <n v="2"/>
    <n v="6"/>
    <x v="0"/>
  </r>
  <r>
    <x v="260"/>
    <n v="600004133693"/>
    <n v="1"/>
    <s v="E78"/>
    <s v="EQDENOM_76"/>
    <x v="77"/>
    <s v="WM04"/>
    <s v="SECTOR_78"/>
    <s v="PLANTA_2"/>
    <s v="TRANSPORT. PINTURA"/>
    <s v="UNIDAD NEUMATICA"/>
    <s v="CAÑERIA"/>
    <x v="108"/>
    <x v="0"/>
    <d v="2023-04-13T00:00:00"/>
    <x v="3"/>
    <x v="1"/>
    <n v="1"/>
    <d v="1899-12-30T06:30:00"/>
    <d v="1899-12-30T08:30:00"/>
    <n v="2"/>
    <n v="2"/>
    <n v="2"/>
    <x v="0"/>
  </r>
  <r>
    <x v="259"/>
    <n v="600004133282"/>
    <n v="1"/>
    <s v="E12"/>
    <s v="EQDENOM_12"/>
    <x v="11"/>
    <s v="WM06"/>
    <s v="SECTOR_12"/>
    <s v="PLANTA_2"/>
    <s v="PRENSA"/>
    <s v="UNIDAD HIDRAULICA"/>
    <s v="PLATINA"/>
    <x v="84"/>
    <x v="0"/>
    <d v="2023-04-12T00:00:00"/>
    <x v="5"/>
    <x v="1"/>
    <n v="2"/>
    <d v="1899-12-30T07:30:00"/>
    <d v="1899-12-30T11:00:00"/>
    <n v="3.5"/>
    <n v="3.5"/>
    <n v="7"/>
    <x v="3"/>
  </r>
  <r>
    <x v="261"/>
    <n v="600004133898"/>
    <n v="1"/>
    <s v="E05"/>
    <s v="EQDENOM_05"/>
    <x v="4"/>
    <s v="WM01"/>
    <s v="SECTOR_05"/>
    <s v="PLANTA_2"/>
    <s v="SECADOR"/>
    <s v="CICLON"/>
    <s v="MOTOR"/>
    <x v="13"/>
    <x v="0"/>
    <d v="2023-04-21T00:00:00"/>
    <x v="2"/>
    <x v="1"/>
    <n v="3"/>
    <d v="1899-12-30T06:00:00"/>
    <d v="1899-12-30T15:00:00"/>
    <n v="9"/>
    <n v="9"/>
    <n v="27"/>
    <x v="1"/>
  </r>
  <r>
    <x v="262"/>
    <n v="600004135182"/>
    <n v="1"/>
    <s v="E64"/>
    <s v="EQDENOM_63"/>
    <x v="63"/>
    <s v="WM06"/>
    <s v="SECTOR_64"/>
    <s v="PLANTA_2"/>
    <s v="PRENSA"/>
    <s v="NUCLEO"/>
    <s v="POZO"/>
    <x v="89"/>
    <x v="0"/>
    <d v="2023-04-19T00:00:00"/>
    <x v="7"/>
    <x v="1"/>
    <n v="1"/>
    <d v="1899-12-30T12:00:00"/>
    <d v="1899-12-30T14:00:00"/>
    <n v="2"/>
    <n v="2"/>
    <n v="2"/>
    <x v="0"/>
  </r>
  <r>
    <x v="263"/>
    <n v="600004135965"/>
    <n v="1"/>
    <s v="E64"/>
    <s v="EQDENOM_63"/>
    <x v="63"/>
    <s v="WM06"/>
    <s v="SECTOR_64"/>
    <s v="PLANTA_2"/>
    <s v="PRENSA"/>
    <s v="NUCLEO"/>
    <s v="COLUMNA"/>
    <x v="16"/>
    <x v="0"/>
    <d v="2023-04-24T00:00:00"/>
    <x v="7"/>
    <x v="1"/>
    <n v="3"/>
    <d v="1899-12-30T07:00:00"/>
    <d v="1899-12-30T09:00:00"/>
    <n v="2"/>
    <n v="2"/>
    <n v="6"/>
    <x v="0"/>
  </r>
  <r>
    <x v="264"/>
    <n v="600004136302"/>
    <n v="1"/>
    <s v="E46"/>
    <s v="EQDENOM_46"/>
    <x v="45"/>
    <s v="WM06"/>
    <s v="SECTOR_46"/>
    <s v="PLANTA_2"/>
    <s v="PRENSA"/>
    <s v="VACIO"/>
    <s v="BOMBA"/>
    <x v="37"/>
    <x v="1"/>
    <d v="2023-04-25T00:00:00"/>
    <x v="7"/>
    <x v="1"/>
    <n v="3"/>
    <d v="1899-12-30T12:30:00"/>
    <d v="1899-12-30T13:30:00"/>
    <n v="1"/>
    <n v="1"/>
    <n v="3"/>
    <x v="0"/>
  </r>
  <r>
    <x v="265"/>
    <n v="600004134881"/>
    <n v="1"/>
    <s v="E23"/>
    <s v="EQDENOM_23"/>
    <x v="22"/>
    <s v="WM06"/>
    <s v="SECTOR_23"/>
    <s v="PLANTA_2"/>
    <s v="PRENSA"/>
    <s v="VAPOR"/>
    <s v="MOLDE"/>
    <x v="60"/>
    <x v="1"/>
    <d v="2023-04-19T00:00:00"/>
    <x v="4"/>
    <x v="1"/>
    <n v="1"/>
    <d v="1899-12-30T12:30:00"/>
    <d v="1899-12-30T13:30:00"/>
    <n v="1"/>
    <n v="1"/>
    <n v="1"/>
    <x v="0"/>
  </r>
  <r>
    <x v="266"/>
    <n v="600004134598"/>
    <n v="1"/>
    <s v="E48"/>
    <s v="EQDENOM_48"/>
    <x v="47"/>
    <s v="WM06"/>
    <s v="SECTOR_48"/>
    <s v="PLANTA_1"/>
    <s v="PRENSA"/>
    <s v="INSTALACION ELECTRICA"/>
    <s v="CONEXIÓN"/>
    <x v="188"/>
    <x v="0"/>
    <d v="2023-04-20T00:00:00"/>
    <x v="3"/>
    <x v="0"/>
    <n v="2"/>
    <d v="1899-12-30T12:00:00"/>
    <d v="1899-12-30T15:30:00"/>
    <n v="3.5"/>
    <n v="3.5"/>
    <n v="7"/>
    <x v="3"/>
  </r>
  <r>
    <x v="262"/>
    <n v="600004135183"/>
    <n v="1"/>
    <s v="E18"/>
    <s v="EQDENOM_18"/>
    <x v="17"/>
    <s v="WM06"/>
    <s v="SECTOR_18"/>
    <s v="PLANTA_2"/>
    <s v="PRENSA"/>
    <s v="SEGURIDAD "/>
    <s v="ACCESORIOS"/>
    <x v="189"/>
    <x v="0"/>
    <d v="2023-04-19T00:00:00"/>
    <x v="4"/>
    <x v="1"/>
    <n v="2"/>
    <d v="1899-12-30T14:30:00"/>
    <d v="1899-12-30T15:30:00"/>
    <n v="1"/>
    <n v="1"/>
    <n v="2"/>
    <x v="0"/>
  </r>
  <r>
    <x v="263"/>
    <n v="600004136024"/>
    <n v="1"/>
    <s v="E26"/>
    <s v="EQDENOM_26"/>
    <x v="25"/>
    <s v="WM06"/>
    <s v="SECTOR_26"/>
    <s v="PLANTA_2"/>
    <s v="PRENSA"/>
    <s v="UNIDAD HIDRAULICA"/>
    <s v="PLATO "/>
    <x v="190"/>
    <x v="0"/>
    <d v="2023-04-24T00:00:00"/>
    <x v="5"/>
    <x v="1"/>
    <n v="1"/>
    <d v="1899-12-30T12:30:00"/>
    <d v="1899-12-30T13:00:00"/>
    <n v="0.5"/>
    <n v="0.5"/>
    <n v="0.5"/>
    <x v="0"/>
  </r>
  <r>
    <x v="264"/>
    <n v="600004136236"/>
    <n v="1"/>
    <s v="E18"/>
    <s v="EQDENOM_18"/>
    <x v="17"/>
    <s v="WM06"/>
    <s v="SECTOR_18"/>
    <s v="PLANTA_2"/>
    <s v="PRENSA"/>
    <s v="UNIDAD HIDRAULICA"/>
    <s v="BOMBA"/>
    <x v="191"/>
    <x v="0"/>
    <d v="2023-04-25T00:00:00"/>
    <x v="6"/>
    <x v="0"/>
    <n v="1"/>
    <d v="1899-12-30T10:00:00"/>
    <d v="1899-12-30T11:00:00"/>
    <n v="1"/>
    <n v="1"/>
    <n v="1"/>
    <x v="0"/>
  </r>
  <r>
    <x v="267"/>
    <n v="600004136565"/>
    <n v="1"/>
    <s v="E26"/>
    <s v="EQDENOM_26"/>
    <x v="25"/>
    <s v="WM06"/>
    <s v="SECTOR_26"/>
    <s v="PLANTA_2"/>
    <s v="PRENSA"/>
    <s v="INSTALACION ELECTRICA"/>
    <s v="ILUMINACION"/>
    <x v="80"/>
    <x v="0"/>
    <d v="2023-04-26T00:00:00"/>
    <x v="6"/>
    <x v="0"/>
    <n v="1"/>
    <d v="1899-12-30T09:00:00"/>
    <d v="1899-12-30T11:00:00"/>
    <n v="2"/>
    <n v="2"/>
    <n v="2"/>
    <x v="0"/>
  </r>
  <r>
    <x v="264"/>
    <n v="600004136237"/>
    <n v="1"/>
    <s v="E96"/>
    <s v="EQDENOM_94"/>
    <x v="95"/>
    <s v="WM07"/>
    <s v="SECTOR_96"/>
    <s v="PLANTA_2"/>
    <s v="TREN ENFRIAMIENTO"/>
    <s v="INSTALACION ELECTRICA"/>
    <s v="PROTECCION"/>
    <x v="14"/>
    <x v="1"/>
    <d v="2023-04-25T00:00:00"/>
    <x v="3"/>
    <x v="0"/>
    <n v="1"/>
    <d v="1899-12-30T07:30:00"/>
    <d v="1899-12-30T09:30:00"/>
    <n v="2"/>
    <n v="2"/>
    <n v="2"/>
    <x v="0"/>
  </r>
  <r>
    <x v="265"/>
    <n v="600004134884"/>
    <n v="1"/>
    <s v="E64"/>
    <s v="EQDENOM_63"/>
    <x v="63"/>
    <s v="WM06"/>
    <s v="SECTOR_64"/>
    <s v="PLANTA_2"/>
    <s v="PRENSA"/>
    <s v="VAPOR"/>
    <s v="NUCLEO"/>
    <x v="8"/>
    <x v="1"/>
    <d v="2023-04-19T00:00:00"/>
    <x v="4"/>
    <x v="1"/>
    <n v="2"/>
    <d v="1899-12-30T10:30:00"/>
    <d v="1899-12-30T11:30:00"/>
    <n v="1"/>
    <n v="1"/>
    <n v="2"/>
    <x v="0"/>
  </r>
  <r>
    <x v="261"/>
    <n v="600004133881"/>
    <n v="1"/>
    <s v="E48"/>
    <s v="EQDENOM_48"/>
    <x v="47"/>
    <s v="WM06"/>
    <s v="SECTOR_48"/>
    <s v="PLANTA_1"/>
    <s v="PRENSA"/>
    <s v="ACCESORIOS"/>
    <s v="PLATINA"/>
    <x v="31"/>
    <x v="0"/>
    <d v="2023-04-14T00:00:00"/>
    <x v="6"/>
    <x v="0"/>
    <n v="1"/>
    <d v="1899-12-30T14:00:00"/>
    <d v="1899-12-30T16:00:00"/>
    <n v="2"/>
    <n v="2"/>
    <n v="2"/>
    <x v="0"/>
  </r>
  <r>
    <x v="260"/>
    <n v="600004133711"/>
    <n v="1"/>
    <s v="E23"/>
    <s v="EQDENOM_23"/>
    <x v="22"/>
    <s v="WM06"/>
    <s v="SECTOR_23"/>
    <s v="PLANTA_2"/>
    <s v="PRENSA"/>
    <s v="VAPOR"/>
    <s v="POZO"/>
    <x v="89"/>
    <x v="0"/>
    <d v="2023-04-13T00:00:00"/>
    <x v="6"/>
    <x v="0"/>
    <n v="2"/>
    <d v="1899-12-30T13:00:00"/>
    <d v="1899-12-30T14:00:00"/>
    <n v="1"/>
    <n v="1"/>
    <n v="2"/>
    <x v="0"/>
  </r>
  <r>
    <x v="266"/>
    <n v="600004134628"/>
    <n v="1"/>
    <s v="E23"/>
    <s v="EQDENOM_23"/>
    <x v="22"/>
    <s v="WM06"/>
    <s v="SECTOR_23"/>
    <s v="PLANTA_2"/>
    <s v="PRENSA"/>
    <s v="INSTALACION ELECTRICA"/>
    <s v="ACCESORIOS"/>
    <x v="80"/>
    <x v="0"/>
    <d v="2023-04-17T00:00:00"/>
    <x v="6"/>
    <x v="0"/>
    <n v="2"/>
    <d v="1899-12-30T09:00:00"/>
    <d v="1899-12-30T10:00:00"/>
    <n v="1"/>
    <n v="1"/>
    <n v="2"/>
    <x v="0"/>
  </r>
  <r>
    <x v="268"/>
    <n v="600004137675"/>
    <n v="1"/>
    <s v="E30"/>
    <s v="EQDENOM_30"/>
    <x v="29"/>
    <s v="WM06"/>
    <s v="SECTOR_30"/>
    <s v="PLANTA_2"/>
    <s v="PRENSA"/>
    <s v="UNIDAD HIDRAULICA"/>
    <s v="CILINDRO"/>
    <x v="192"/>
    <x v="0"/>
    <d v="2023-05-02T00:00:00"/>
    <x v="7"/>
    <x v="1"/>
    <n v="2"/>
    <d v="1899-12-30T07:00:00"/>
    <d v="1899-12-30T08:00:00"/>
    <n v="1"/>
    <n v="1"/>
    <n v="2"/>
    <x v="0"/>
  </r>
  <r>
    <x v="269"/>
    <n v="600004137133"/>
    <n v="1"/>
    <s v="E95"/>
    <s v="EQDENOM_93"/>
    <x v="94"/>
    <s v="WM04"/>
    <s v="SECTOR_95"/>
    <s v="PLANTA_2"/>
    <s v="ROBOT"/>
    <s v="UNIDAD NEUMATICA"/>
    <s v="LINEA DE AIRE"/>
    <x v="143"/>
    <x v="0"/>
    <d v="2023-04-28T00:00:00"/>
    <x v="3"/>
    <x v="1"/>
    <n v="1"/>
    <d v="1899-12-30T07:00:00"/>
    <d v="1899-12-30T09:30:00"/>
    <n v="2.5"/>
    <n v="2.5"/>
    <n v="2.5"/>
    <x v="3"/>
  </r>
  <r>
    <x v="270"/>
    <n v="600004137885"/>
    <n v="1"/>
    <s v="E97"/>
    <s v="EQDENOM_95"/>
    <x v="96"/>
    <s v="WM07"/>
    <s v="SECTOR_97"/>
    <s v="PLANTA_2"/>
    <s v="EXTRUSORA"/>
    <s v="UNIDAD NEUMATICA"/>
    <s v="ACCESORIOS"/>
    <x v="14"/>
    <x v="1"/>
    <d v="2023-05-03T00:00:00"/>
    <x v="3"/>
    <x v="1"/>
    <n v="2"/>
    <d v="1899-12-30T13:00:00"/>
    <d v="1899-12-30T14:00:00"/>
    <n v="1"/>
    <n v="1"/>
    <n v="2"/>
    <x v="0"/>
  </r>
  <r>
    <x v="267"/>
    <n v="600004136649"/>
    <n v="1"/>
    <s v="E26"/>
    <s v="EQDENOM_26"/>
    <x v="25"/>
    <s v="WM06"/>
    <s v="SECTOR_26"/>
    <s v="PLANTA_2"/>
    <s v="PRENSA"/>
    <s v="UNIDAD HIDRAULICA"/>
    <s v="PLATO"/>
    <x v="14"/>
    <x v="0"/>
    <d v="2023-04-27T00:00:00"/>
    <x v="5"/>
    <x v="1"/>
    <n v="3"/>
    <d v="1899-12-30T08:30:00"/>
    <d v="1899-12-30T10:00:00"/>
    <n v="1.5"/>
    <n v="1.5"/>
    <n v="4.5"/>
    <x v="0"/>
  </r>
  <r>
    <x v="267"/>
    <n v="600004136564"/>
    <n v="1"/>
    <s v="E12"/>
    <s v="EQDENOM_12"/>
    <x v="11"/>
    <s v="WM06"/>
    <s v="SECTOR_12"/>
    <s v="PLANTA_2"/>
    <s v="PRENSA"/>
    <s v="UNIDAD NEUMATICA"/>
    <s v="ACCESORIOS"/>
    <x v="193"/>
    <x v="0"/>
    <d v="2023-04-26T00:00:00"/>
    <x v="5"/>
    <x v="1"/>
    <n v="1"/>
    <d v="1899-12-30T07:00:00"/>
    <d v="1899-12-30T07:30:00"/>
    <n v="0.5"/>
    <n v="0.5"/>
    <n v="0.5"/>
    <x v="0"/>
  </r>
  <r>
    <x v="270"/>
    <n v="600004137859"/>
    <n v="1"/>
    <s v="E57"/>
    <s v="EQDENOM_56"/>
    <x v="56"/>
    <s v="WM06"/>
    <s v="SECTOR_57"/>
    <s v="PLANTA_2"/>
    <s v="PRENSA"/>
    <s v="ACCESORIOS"/>
    <s v="BANDEJA"/>
    <x v="153"/>
    <x v="0"/>
    <d v="2023-05-03T00:00:00"/>
    <x v="3"/>
    <x v="1"/>
    <n v="3"/>
    <d v="1899-12-30T07:00:00"/>
    <d v="1899-12-30T10:30:00"/>
    <n v="3.5"/>
    <n v="3.5"/>
    <n v="10.5"/>
    <x v="3"/>
  </r>
  <r>
    <x v="270"/>
    <n v="600004137858"/>
    <n v="1"/>
    <s v="E12"/>
    <s v="EQDENOM_12"/>
    <x v="11"/>
    <s v="WM06"/>
    <s v="SECTOR_12"/>
    <s v="PLANTA_2"/>
    <s v="PRENSA"/>
    <s v="UNIDAD HIDRAULICA"/>
    <s v="PLATO "/>
    <x v="84"/>
    <x v="0"/>
    <d v="2023-05-03T00:00:00"/>
    <x v="5"/>
    <x v="1"/>
    <n v="3"/>
    <d v="1899-12-30T07:00:00"/>
    <d v="1899-12-30T09:00:00"/>
    <n v="2"/>
    <n v="2"/>
    <n v="6"/>
    <x v="0"/>
  </r>
  <r>
    <x v="271"/>
    <n v="600004139931"/>
    <n v="1"/>
    <s v="E16"/>
    <s v="EQDENOM_16"/>
    <x v="15"/>
    <s v="WM07"/>
    <s v="SECTOR_16"/>
    <s v="PLANTA_2"/>
    <s v="CORTADORA"/>
    <s v="INSTALACION ELECTRICA"/>
    <s v="ILUMINACION"/>
    <x v="194"/>
    <x v="0"/>
    <d v="2023-05-12T00:00:00"/>
    <x v="3"/>
    <x v="0"/>
    <n v="2"/>
    <d v="1899-12-30T07:00:00"/>
    <d v="1899-12-30T08:30:00"/>
    <n v="1.5"/>
    <n v="1.5"/>
    <n v="3"/>
    <x v="0"/>
  </r>
  <r>
    <x v="272"/>
    <n v="600004139735"/>
    <n v="1"/>
    <s v="E01"/>
    <s v="EQDENOM_01"/>
    <x v="0"/>
    <s v="WM01"/>
    <s v="SECTOR_01"/>
    <s v="PLANTA_1"/>
    <s v="REACTOR"/>
    <s v="INSTALACION ELECTRICA"/>
    <s v="CONEXIÓN"/>
    <x v="123"/>
    <x v="0"/>
    <d v="2023-05-10T00:00:00"/>
    <x v="2"/>
    <x v="0"/>
    <n v="1"/>
    <d v="1899-12-30T14:00:00"/>
    <d v="1899-12-30T15:00:00"/>
    <n v="1"/>
    <n v="1"/>
    <n v="1"/>
    <x v="0"/>
  </r>
  <r>
    <x v="273"/>
    <n v="600004139418"/>
    <n v="1"/>
    <s v="E49"/>
    <s v="EQDENOM_49"/>
    <x v="48"/>
    <s v="WM06"/>
    <s v="SECTOR_49"/>
    <s v="PLANTA_2"/>
    <s v="RECORTADORA"/>
    <s v="ACCESORIOS"/>
    <s v="AGUA"/>
    <x v="60"/>
    <x v="0"/>
    <d v="2023-05-09T00:00:00"/>
    <x v="5"/>
    <x v="1"/>
    <n v="1"/>
    <d v="1899-12-30T14:30:00"/>
    <d v="1899-12-30T15:30:00"/>
    <n v="1"/>
    <n v="1"/>
    <n v="1"/>
    <x v="0"/>
  </r>
  <r>
    <x v="274"/>
    <n v="600004139119"/>
    <n v="1"/>
    <s v="E26"/>
    <s v="EQDENOM_26"/>
    <x v="25"/>
    <s v="WM06"/>
    <s v="SECTOR_26"/>
    <s v="PLANTA_2"/>
    <s v="PRENSA"/>
    <s v="UNIDAD HIDRAULICA"/>
    <s v="PLATO"/>
    <x v="14"/>
    <x v="0"/>
    <d v="2023-05-08T00:00:00"/>
    <x v="5"/>
    <x v="1"/>
    <n v="2"/>
    <d v="1899-12-30T07:30:00"/>
    <d v="1899-12-30T09:00:00"/>
    <n v="1.5"/>
    <n v="1.5"/>
    <n v="3"/>
    <x v="0"/>
  </r>
  <r>
    <x v="268"/>
    <n v="600004137677"/>
    <n v="1"/>
    <s v="E15"/>
    <s v="EQDENOM_15"/>
    <x v="14"/>
    <s v="WM06"/>
    <s v="SECTOR_15"/>
    <s v="PLANTA_2"/>
    <s v="PRENSA"/>
    <s v="INSTALACION ELECTRICA"/>
    <s v="MESA"/>
    <x v="31"/>
    <x v="0"/>
    <d v="2023-05-02T00:00:00"/>
    <x v="6"/>
    <x v="0"/>
    <n v="1"/>
    <d v="1899-12-30T08:00:00"/>
    <d v="1899-12-30T10:00:00"/>
    <n v="2"/>
    <n v="2"/>
    <n v="2"/>
    <x v="0"/>
  </r>
  <r>
    <x v="268"/>
    <n v="600004137676"/>
    <n v="1"/>
    <s v="E26"/>
    <s v="EQDENOM_26"/>
    <x v="25"/>
    <s v="WM06"/>
    <s v="SECTOR_26"/>
    <s v="PLANTA_2"/>
    <s v="PRENSA"/>
    <s v="ACCESORIOS"/>
    <s v="PROTECCION"/>
    <x v="143"/>
    <x v="0"/>
    <d v="2023-05-02T00:00:00"/>
    <x v="4"/>
    <x v="1"/>
    <n v="1"/>
    <d v="1899-12-30T09:00:00"/>
    <d v="1899-12-30T10:00:00"/>
    <n v="1"/>
    <n v="1"/>
    <n v="1"/>
    <x v="0"/>
  </r>
  <r>
    <x v="275"/>
    <n v="600004138078"/>
    <n v="1"/>
    <s v="E13"/>
    <s v="EQDENOM_13"/>
    <x v="12"/>
    <s v="WM06"/>
    <s v="SECTOR_13"/>
    <s v="PLANTA_2"/>
    <s v="PRENSA"/>
    <s v="ACCESORIOS"/>
    <s v="MOTOR"/>
    <x v="23"/>
    <x v="0"/>
    <d v="2023-05-04T00:00:00"/>
    <x v="5"/>
    <x v="1"/>
    <n v="1"/>
    <d v="1899-12-30T07:00:00"/>
    <d v="1899-12-30T08:00:00"/>
    <n v="1"/>
    <n v="1"/>
    <n v="1"/>
    <x v="0"/>
  </r>
  <r>
    <x v="272"/>
    <n v="600004139720"/>
    <n v="1"/>
    <s v="E31"/>
    <s v="EQDENOM_31"/>
    <x v="30"/>
    <s v="WM06"/>
    <s v="SECTOR_31"/>
    <s v="PLANTA_2"/>
    <s v="PULIDORA"/>
    <s v="ACCESORIOS"/>
    <s v="PULSADOR"/>
    <x v="19"/>
    <x v="1"/>
    <d v="2023-05-10T00:00:00"/>
    <x v="3"/>
    <x v="0"/>
    <n v="1"/>
    <d v="1899-12-30T10:00:00"/>
    <d v="1899-12-30T11:00:00"/>
    <n v="1"/>
    <n v="1"/>
    <n v="1"/>
    <x v="0"/>
  </r>
  <r>
    <x v="276"/>
    <n v="600004141048"/>
    <n v="1"/>
    <s v="E47"/>
    <s v="EQDENOM_47"/>
    <x v="46"/>
    <s v="WM06"/>
    <s v="SECTOR_47"/>
    <s v="PLANTA_2"/>
    <s v="CALDERA"/>
    <s v="INSTALACION ELECTRICA"/>
    <s v="ACCESORIOS"/>
    <x v="181"/>
    <x v="1"/>
    <d v="2023-05-16T00:00:00"/>
    <x v="3"/>
    <x v="0"/>
    <n v="1"/>
    <d v="1899-12-30T13:00:00"/>
    <d v="1899-12-30T13:30:00"/>
    <n v="0.5"/>
    <n v="0.5"/>
    <n v="0.5"/>
    <x v="0"/>
  </r>
  <r>
    <x v="277"/>
    <n v="600004138469"/>
    <n v="1"/>
    <s v="E34"/>
    <s v="EQDENOM_34"/>
    <x v="33"/>
    <s v="WM06"/>
    <s v="SECTOR_34"/>
    <s v="PLANTA_2"/>
    <s v="TRANSPORT. PINTURA"/>
    <s v="NORIA"/>
    <s v="PIÑON"/>
    <x v="150"/>
    <x v="0"/>
    <d v="2023-05-05T00:00:00"/>
    <x v="7"/>
    <x v="1"/>
    <n v="3"/>
    <d v="1899-12-30T09:30:00"/>
    <d v="1899-12-30T10:30:00"/>
    <n v="1"/>
    <n v="1"/>
    <n v="3"/>
    <x v="0"/>
  </r>
  <r>
    <x v="276"/>
    <n v="600004141047"/>
    <n v="1"/>
    <s v="E41"/>
    <s v="EQDENOM_41"/>
    <x v="40"/>
    <s v="WM07"/>
    <s v="SECTOR_41"/>
    <s v="PLANTA_2"/>
    <s v="TREN ENFRIAMIENTO"/>
    <s v="INSTALACION ELECTRICA"/>
    <s v="TABLERO"/>
    <x v="195"/>
    <x v="0"/>
    <d v="2023-05-16T00:00:00"/>
    <x v="3"/>
    <x v="0"/>
    <n v="2"/>
    <d v="1899-12-30T06:00:00"/>
    <d v="1899-12-30T07:00:00"/>
    <n v="1"/>
    <n v="1"/>
    <n v="2"/>
    <x v="0"/>
  </r>
  <r>
    <x v="278"/>
    <n v="600004141655"/>
    <n v="1"/>
    <s v="E13"/>
    <s v="EQDENOM_13"/>
    <x v="12"/>
    <s v="WM06"/>
    <s v="SECTOR_13"/>
    <s v="PLANTA_2"/>
    <s v="PRENSA"/>
    <s v="INSTALACION ELECTRICA"/>
    <s v="MESA"/>
    <x v="31"/>
    <x v="0"/>
    <d v="2023-05-18T00:00:00"/>
    <x v="3"/>
    <x v="0"/>
    <n v="2"/>
    <d v="1899-12-30T13:00:00"/>
    <d v="1899-12-30T14:00:00"/>
    <n v="1"/>
    <n v="2"/>
    <n v="2"/>
    <x v="0"/>
  </r>
  <r>
    <x v="276"/>
    <n v="600004141142"/>
    <n v="1"/>
    <s v="E57"/>
    <s v="EQDENOM_56"/>
    <x v="56"/>
    <s v="WM06"/>
    <s v="SECTOR_57"/>
    <s v="PLANTA_2"/>
    <s v="PRENSA"/>
    <s v="VAPOR"/>
    <s v="MOLDE"/>
    <x v="8"/>
    <x v="1"/>
    <d v="2023-05-17T00:00:00"/>
    <x v="5"/>
    <x v="1"/>
    <n v="1"/>
    <d v="1899-12-30T09:00:00"/>
    <d v="1899-12-30T10:00:00"/>
    <n v="1"/>
    <n v="1"/>
    <n v="1"/>
    <x v="0"/>
  </r>
  <r>
    <x v="272"/>
    <n v="600004139736"/>
    <n v="1"/>
    <s v="E20"/>
    <s v="EQDENOM_20"/>
    <x v="19"/>
    <s v="WM01"/>
    <s v="SECTOR_20"/>
    <s v="PLANTA_1"/>
    <s v="REACTOR"/>
    <s v="VAPOR"/>
    <s v="EXTRACCION "/>
    <x v="14"/>
    <x v="1"/>
    <d v="2023-05-10T00:00:00"/>
    <x v="9"/>
    <x v="1"/>
    <n v="1"/>
    <d v="1899-12-30T15:00:00"/>
    <d v="1899-12-30T16:00:00"/>
    <n v="1"/>
    <n v="1"/>
    <n v="1"/>
    <x v="0"/>
  </r>
  <r>
    <x v="279"/>
    <n v="600004140139"/>
    <n v="1"/>
    <s v="E01"/>
    <s v="EQDENOM_01"/>
    <x v="0"/>
    <s v="WM01"/>
    <s v="SECTOR_01"/>
    <s v="PLANTA_1"/>
    <s v="REACTOR"/>
    <s v="TRANSMISION"/>
    <s v="TRASVASE"/>
    <x v="37"/>
    <x v="1"/>
    <d v="2023-05-12T00:00:00"/>
    <x v="1"/>
    <x v="1"/>
    <n v="2"/>
    <d v="1899-12-30T06:00:00"/>
    <d v="1899-12-30T13:00:00"/>
    <n v="7"/>
    <n v="7"/>
    <n v="14"/>
    <x v="3"/>
  </r>
  <r>
    <x v="280"/>
    <n v="600004141805"/>
    <n v="1"/>
    <s v="E87"/>
    <s v="EQDENOM_85"/>
    <x v="86"/>
    <s v="WM10"/>
    <s v="SECTOR_87"/>
    <s v="PLANTA_1"/>
    <s v="DISPERSORA"/>
    <s v="TRANSMISION"/>
    <s v="EJE"/>
    <x v="196"/>
    <x v="0"/>
    <d v="2023-05-19T00:00:00"/>
    <x v="1"/>
    <x v="1"/>
    <n v="2"/>
    <d v="1899-12-30T13:00:00"/>
    <d v="1899-12-30T16:00:00"/>
    <n v="3"/>
    <n v="3"/>
    <n v="6"/>
    <x v="3"/>
  </r>
  <r>
    <x v="273"/>
    <n v="600004139458"/>
    <n v="1"/>
    <s v="E01"/>
    <s v="EQDENOM_01"/>
    <x v="0"/>
    <s v="WM01"/>
    <s v="SECTOR_01"/>
    <s v="PLANTA_1"/>
    <s v="REACTOR"/>
    <s v="TRANSMISION"/>
    <s v="TOLVA"/>
    <x v="149"/>
    <x v="0"/>
    <d v="2023-05-11T00:00:00"/>
    <x v="2"/>
    <x v="1"/>
    <n v="3"/>
    <d v="1899-12-30T12:00:00"/>
    <d v="1899-12-30T15:00:00"/>
    <n v="3"/>
    <n v="3"/>
    <n v="9"/>
    <x v="3"/>
  </r>
  <r>
    <x v="281"/>
    <n v="600004140741"/>
    <n v="1"/>
    <s v="E76"/>
    <s v="EQDENOM_74"/>
    <x v="75"/>
    <s v="WM02"/>
    <s v="SECTOR_76"/>
    <s v="PLANTA_1"/>
    <s v="MEZCLADORA"/>
    <s v="TRANSMISION"/>
    <s v="MOTOR"/>
    <x v="197"/>
    <x v="1"/>
    <d v="2023-05-24T00:00:00"/>
    <x v="1"/>
    <x v="1"/>
    <n v="3"/>
    <d v="1899-12-30T06:00:00"/>
    <d v="1899-12-30T16:00:00"/>
    <n v="10"/>
    <n v="10"/>
    <n v="30"/>
    <x v="1"/>
  </r>
  <r>
    <x v="282"/>
    <n v="600004142460"/>
    <n v="1"/>
    <s v="E46"/>
    <s v="EQDENOM_46"/>
    <x v="45"/>
    <s v="WM06"/>
    <s v="SECTOR_46"/>
    <s v="PLANTA_2"/>
    <s v="PRENSA"/>
    <s v="INSTALACION ELECTRICA"/>
    <s v="ACCESORIOS"/>
    <x v="83"/>
    <x v="0"/>
    <d v="2023-05-23T00:00:00"/>
    <x v="3"/>
    <x v="0"/>
    <n v="1"/>
    <d v="1899-12-30T10:00:00"/>
    <d v="1899-12-30T11:00:00"/>
    <n v="1"/>
    <n v="1"/>
    <n v="1"/>
    <x v="0"/>
  </r>
  <r>
    <x v="282"/>
    <n v="600004142511"/>
    <n v="1"/>
    <s v="E37"/>
    <s v="EQDENOM_37"/>
    <x v="36"/>
    <s v="WM06"/>
    <s v="SECTOR_37"/>
    <s v="PLANTA_2"/>
    <s v="HORNO"/>
    <s v="VAPOR"/>
    <s v="ACCESORIOS"/>
    <x v="166"/>
    <x v="0"/>
    <d v="2023-05-23T00:00:00"/>
    <x v="7"/>
    <x v="1"/>
    <n v="2"/>
    <d v="1899-12-30T10:00:00"/>
    <d v="1899-12-30T11:00:00"/>
    <n v="1"/>
    <n v="1"/>
    <n v="2"/>
    <x v="0"/>
  </r>
  <r>
    <x v="278"/>
    <n v="600004141670"/>
    <n v="1"/>
    <s v="E75"/>
    <s v="EQDENOM_73"/>
    <x v="74"/>
    <s v="WM01"/>
    <s v="SECTOR_75"/>
    <s v="PLANTA_1"/>
    <s v="DISPERSORA"/>
    <s v="INSTALACION ELECTRICA"/>
    <s v="ACCESORIOS"/>
    <x v="78"/>
    <x v="0"/>
    <d v="2023-05-23T00:00:00"/>
    <x v="3"/>
    <x v="0"/>
    <n v="2"/>
    <d v="1899-12-30T08:30:00"/>
    <d v="1899-12-30T10:30:00"/>
    <n v="2"/>
    <n v="2"/>
    <n v="4"/>
    <x v="0"/>
  </r>
  <r>
    <x v="282"/>
    <n v="600004142517"/>
    <n v="1"/>
    <s v="E12"/>
    <s v="EQDENOM_12"/>
    <x v="11"/>
    <s v="WM06"/>
    <s v="SECTOR_12"/>
    <s v="PLANTA_2"/>
    <s v="PRENSA"/>
    <s v="UNIDAD HIDRAULICA"/>
    <s v="PLATO"/>
    <x v="14"/>
    <x v="0"/>
    <d v="2023-05-24T00:00:00"/>
    <x v="5"/>
    <x v="1"/>
    <n v="2"/>
    <d v="1899-12-30T08:30:00"/>
    <d v="1899-12-30T10:00:00"/>
    <n v="1.5"/>
    <n v="1.5"/>
    <n v="3"/>
    <x v="0"/>
  </r>
  <r>
    <x v="283"/>
    <n v="600004146531"/>
    <n v="1"/>
    <s v="E34"/>
    <s v="EQDENOM_34"/>
    <x v="33"/>
    <s v="WM06"/>
    <s v="SECTOR_34"/>
    <s v="PLANTA_2"/>
    <s v="TRANSPORT. PINTURA"/>
    <s v="TRANSMISION"/>
    <s v="GRIP"/>
    <x v="120"/>
    <x v="0"/>
    <d v="2023-06-10T00:00:00"/>
    <x v="5"/>
    <x v="1"/>
    <n v="1"/>
    <d v="1899-12-30T06:30:00"/>
    <d v="1899-12-30T09:00:00"/>
    <n v="2.5"/>
    <n v="2.5"/>
    <n v="2.5"/>
    <x v="3"/>
  </r>
  <r>
    <x v="284"/>
    <n v="600004146012"/>
    <n v="1"/>
    <s v="E12"/>
    <s v="EQDENOM_12"/>
    <x v="11"/>
    <s v="WM06"/>
    <s v="SECTOR_12"/>
    <s v="PLANTA_2"/>
    <s v="PRENSA"/>
    <s v="UNIDAD HIDRAULICA"/>
    <s v="MANIFOLD"/>
    <x v="14"/>
    <x v="0"/>
    <d v="2023-06-08T00:00:00"/>
    <x v="4"/>
    <x v="1"/>
    <n v="1"/>
    <d v="1899-12-30T12:30:00"/>
    <d v="1899-12-30T13:30:00"/>
    <n v="1"/>
    <n v="1"/>
    <n v="1"/>
    <x v="0"/>
  </r>
  <r>
    <x v="285"/>
    <n v="600004145647"/>
    <n v="1"/>
    <s v="E44"/>
    <s v="EQDENOM_44"/>
    <x v="43"/>
    <s v="WM06"/>
    <s v="SECTOR_44"/>
    <s v="PLANTA_2"/>
    <s v="CABINA DE PINTADO"/>
    <s v="CABINA"/>
    <s v="PUERTA"/>
    <x v="11"/>
    <x v="0"/>
    <d v="2023-06-06T00:00:00"/>
    <x v="3"/>
    <x v="0"/>
    <n v="1"/>
    <d v="1899-12-30T07:30:00"/>
    <d v="1899-12-30T09:30:00"/>
    <n v="2"/>
    <n v="2"/>
    <n v="2"/>
    <x v="0"/>
  </r>
  <r>
    <x v="286"/>
    <n v="600004145905"/>
    <n v="1"/>
    <s v="E44"/>
    <s v="EQDENOM_44"/>
    <x v="43"/>
    <s v="WM06"/>
    <s v="SECTOR_44"/>
    <s v="PLANTA_2"/>
    <s v="CABINA DE PINTADO"/>
    <s v="UNIDAD NEUMATICA"/>
    <s v="VALVULA"/>
    <x v="166"/>
    <x v="0"/>
    <d v="2023-06-07T00:00:00"/>
    <x v="3"/>
    <x v="0"/>
    <n v="1"/>
    <d v="1899-12-30T07:10:00"/>
    <d v="1899-12-30T08:10:00"/>
    <n v="1"/>
    <n v="1"/>
    <n v="1"/>
    <x v="0"/>
  </r>
  <r>
    <x v="285"/>
    <n v="600004145696"/>
    <n v="1"/>
    <s v="E12"/>
    <s v="EQDENOM_12"/>
    <x v="11"/>
    <s v="WM06"/>
    <s v="SECTOR_12"/>
    <s v="PLANTA_2"/>
    <s v="PRENSA"/>
    <s v="UNIDAD HIDRAULICA"/>
    <s v="MANIFOLD"/>
    <x v="52"/>
    <x v="0"/>
    <d v="2023-06-06T00:00:00"/>
    <x v="5"/>
    <x v="1"/>
    <n v="2"/>
    <d v="1899-12-30T12:30:00"/>
    <d v="1899-12-30T14:00:00"/>
    <n v="1.5"/>
    <n v="1.5"/>
    <n v="3"/>
    <x v="0"/>
  </r>
  <r>
    <x v="287"/>
    <n v="600004144588"/>
    <n v="1"/>
    <s v="E95"/>
    <s v="EQDENOM_93"/>
    <x v="94"/>
    <s v="WM04"/>
    <s v="SECTOR_95"/>
    <s v="PLANTA_2"/>
    <s v="ROBOT"/>
    <s v="UNIDAD HIDRAULICA"/>
    <s v="VALVULA"/>
    <x v="190"/>
    <x v="0"/>
    <d v="2023-06-01T00:00:00"/>
    <x v="3"/>
    <x v="1"/>
    <n v="1"/>
    <d v="1899-12-30T09:00:00"/>
    <d v="1899-12-30T10:00:00"/>
    <n v="1"/>
    <n v="1"/>
    <n v="1"/>
    <x v="0"/>
  </r>
  <r>
    <x v="288"/>
    <n v="600004144928"/>
    <n v="1"/>
    <s v="E31"/>
    <s v="EQDENOM_31"/>
    <x v="30"/>
    <s v="WM06"/>
    <s v="SECTOR_31"/>
    <s v="PLANTA_2"/>
    <s v="PULIDORA"/>
    <s v="INSTALACION ELECTRICA"/>
    <s v="PLATO"/>
    <x v="97"/>
    <x v="0"/>
    <d v="2023-06-02T00:00:00"/>
    <x v="3"/>
    <x v="0"/>
    <n v="2"/>
    <d v="1899-12-30T08:00:00"/>
    <d v="1899-12-30T10:00:00"/>
    <n v="2"/>
    <n v="2"/>
    <n v="4"/>
    <x v="0"/>
  </r>
  <r>
    <x v="289"/>
    <n v="600004146990"/>
    <n v="1"/>
    <s v="E73"/>
    <s v="EQDENOM_71"/>
    <x v="72"/>
    <s v="WM08"/>
    <s v="SECTOR_73"/>
    <s v="PLANTA_1"/>
    <s v="DISPERSORA"/>
    <s v="ACCESORIOS"/>
    <s v="SUJECION"/>
    <x v="198"/>
    <x v="1"/>
    <d v="2023-06-13T00:00:00"/>
    <x v="8"/>
    <x v="1"/>
    <n v="2"/>
    <d v="1899-12-30T13:30:00"/>
    <d v="1899-12-30T14:30:00"/>
    <n v="1"/>
    <n v="1"/>
    <n v="2"/>
    <x v="0"/>
  </r>
  <r>
    <x v="288"/>
    <n v="600004144938"/>
    <n v="1"/>
    <s v="E02"/>
    <s v="EQDENOM_02"/>
    <x v="1"/>
    <s v="WM02"/>
    <s v="SECTOR_02"/>
    <s v="PLANTA_1"/>
    <s v="MEZCLADORA"/>
    <s v="TRANSMISION"/>
    <s v="BOMBA"/>
    <x v="150"/>
    <x v="1"/>
    <d v="2023-06-03T00:00:00"/>
    <x v="2"/>
    <x v="1"/>
    <n v="2"/>
    <d v="1899-12-30T09:30:00"/>
    <d v="1899-12-30T11:30:00"/>
    <n v="2"/>
    <n v="2"/>
    <n v="4"/>
    <x v="0"/>
  </r>
  <r>
    <x v="285"/>
    <n v="600004145677"/>
    <n v="1"/>
    <s v="E01"/>
    <s v="EQDENOM_01"/>
    <x v="0"/>
    <s v="WM01"/>
    <s v="SECTOR_01"/>
    <s v="PLANTA_1"/>
    <s v="REACTOR"/>
    <s v="ACCESORIOS"/>
    <s v="BOMBA"/>
    <x v="74"/>
    <x v="1"/>
    <d v="2023-06-07T00:00:00"/>
    <x v="2"/>
    <x v="1"/>
    <n v="2"/>
    <d v="1899-12-30T11:00:00"/>
    <d v="1899-12-30T14:00:00"/>
    <n v="3"/>
    <n v="3"/>
    <n v="6"/>
    <x v="3"/>
  </r>
  <r>
    <x v="290"/>
    <n v="600004147863"/>
    <n v="1"/>
    <s v="E44"/>
    <s v="EQDENOM_44"/>
    <x v="43"/>
    <s v="WM06"/>
    <s v="SECTOR_44"/>
    <s v="PLANTA_2"/>
    <s v="CABINA DE PINTADO"/>
    <s v="BANDEJA"/>
    <s v="SOPORTE"/>
    <x v="199"/>
    <x v="1"/>
    <d v="2023-06-16T00:00:00"/>
    <x v="3"/>
    <x v="0"/>
    <n v="1"/>
    <d v="1899-12-30T12:00:00"/>
    <d v="1899-12-30T13:30:00"/>
    <n v="1.5"/>
    <n v="0"/>
    <n v="1.5"/>
    <x v="2"/>
  </r>
  <r>
    <x v="289"/>
    <n v="600004146579"/>
    <n v="1"/>
    <s v="E78"/>
    <s v="EQDENOM_76"/>
    <x v="77"/>
    <s v="WM04"/>
    <s v="SECTOR_78"/>
    <s v="PLANTA_2"/>
    <s v="TRANSPORT. PINTURA"/>
    <s v="TRANSMISION"/>
    <s v="NORIA"/>
    <x v="200"/>
    <x v="1"/>
    <d v="2023-06-12T00:00:00"/>
    <x v="5"/>
    <x v="1"/>
    <n v="1"/>
    <d v="1899-12-30T09:30:00"/>
    <d v="1899-12-30T10:30:00"/>
    <n v="1"/>
    <n v="1"/>
    <n v="1"/>
    <x v="0"/>
  </r>
  <r>
    <x v="290"/>
    <n v="600004147839"/>
    <n v="1"/>
    <s v="E12"/>
    <s v="EQDENOM_12"/>
    <x v="11"/>
    <s v="WM06"/>
    <s v="SECTOR_12"/>
    <s v="PLANTA_2"/>
    <s v="PRENSA"/>
    <s v="PLC"/>
    <s v="PANEL"/>
    <x v="160"/>
    <x v="0"/>
    <d v="2023-06-16T00:00:00"/>
    <x v="3"/>
    <x v="0"/>
    <n v="1"/>
    <d v="1899-12-30T07:30:00"/>
    <d v="1899-12-30T09:30:00"/>
    <n v="2"/>
    <n v="2"/>
    <n v="2"/>
    <x v="0"/>
  </r>
  <r>
    <x v="289"/>
    <n v="600004146800"/>
    <n v="1"/>
    <s v="E78"/>
    <s v="EQDENOM_76"/>
    <x v="77"/>
    <s v="WM04"/>
    <s v="SECTOR_78"/>
    <s v="PLANTA_2"/>
    <s v="TRANSPORT. PINTURA"/>
    <s v="UNIDAD NEUMATICA"/>
    <s v="NORIA"/>
    <x v="52"/>
    <x v="0"/>
    <d v="2023-06-13T00:00:00"/>
    <x v="5"/>
    <x v="1"/>
    <n v="2"/>
    <d v="1899-12-30T07:00:00"/>
    <d v="1899-12-30T08:00:00"/>
    <n v="1"/>
    <n v="1"/>
    <n v="2"/>
    <x v="0"/>
  </r>
  <r>
    <x v="286"/>
    <n v="600004145864"/>
    <n v="1"/>
    <s v="E36"/>
    <s v="EQDENOM_36"/>
    <x v="35"/>
    <s v="WM06"/>
    <s v="SECTOR_36"/>
    <s v="PLANTA_2"/>
    <s v="PRENSA"/>
    <s v="UNIDAD HIDRAULICA"/>
    <s v="NUCLEO"/>
    <x v="84"/>
    <x v="1"/>
    <d v="2023-06-16T00:00:00"/>
    <x v="5"/>
    <x v="1"/>
    <n v="2"/>
    <d v="1899-12-30T07:00:00"/>
    <d v="1899-12-30T11:00:00"/>
    <n v="4"/>
    <n v="4"/>
    <n v="8"/>
    <x v="3"/>
  </r>
  <r>
    <x v="291"/>
    <n v="600004149300"/>
    <n v="1"/>
    <s v="E24"/>
    <s v="EQDENOM_24"/>
    <x v="23"/>
    <s v="WM06"/>
    <s v="SECTOR_24"/>
    <s v="PLANTA_2"/>
    <s v="PRENSA"/>
    <s v="INSTALACION ELECTRICA"/>
    <s v="NUCLEO"/>
    <x v="111"/>
    <x v="0"/>
    <d v="2023-06-23T00:00:00"/>
    <x v="3"/>
    <x v="0"/>
    <n v="1"/>
    <d v="1899-12-30T07:00:00"/>
    <d v="1899-12-30T08:00:00"/>
    <n v="1"/>
    <n v="1"/>
    <n v="1"/>
    <x v="0"/>
  </r>
  <r>
    <x v="292"/>
    <n v="600004148749"/>
    <n v="1"/>
    <s v="E34"/>
    <s v="EQDENOM_34"/>
    <x v="33"/>
    <s v="WM06"/>
    <s v="SECTOR_34"/>
    <s v="PLANTA_2"/>
    <s v="TRANSPORT. PINTURA"/>
    <s v="NORIA"/>
    <s v="ENGRANAJE"/>
    <x v="150"/>
    <x v="0"/>
    <d v="2023-06-21T00:00:00"/>
    <x v="5"/>
    <x v="1"/>
    <n v="2"/>
    <d v="1899-12-30T07:00:00"/>
    <d v="1899-12-30T08:00:00"/>
    <n v="1"/>
    <n v="1"/>
    <n v="2"/>
    <x v="0"/>
  </r>
  <r>
    <x v="289"/>
    <n v="600004146782"/>
    <n v="1"/>
    <s v="E12"/>
    <s v="EQDENOM_12"/>
    <x v="11"/>
    <s v="WM06"/>
    <s v="SECTOR_12"/>
    <s v="PLANTA_2"/>
    <s v="PRENSA"/>
    <s v="MESA"/>
    <s v="CILINDRO"/>
    <x v="74"/>
    <x v="0"/>
    <d v="2023-06-13T00:00:00"/>
    <x v="5"/>
    <x v="1"/>
    <n v="2"/>
    <d v="1899-12-30T08:30:00"/>
    <d v="1899-12-30T11:30:00"/>
    <n v="3"/>
    <n v="3"/>
    <n v="6"/>
    <x v="3"/>
  </r>
  <r>
    <x v="292"/>
    <n v="600004148748"/>
    <n v="1"/>
    <s v="E23"/>
    <s v="EQDENOM_23"/>
    <x v="22"/>
    <s v="WM06"/>
    <s v="SECTOR_23"/>
    <s v="PLANTA_2"/>
    <s v="PRENSA"/>
    <s v="UNIDAD HIDRAULICA"/>
    <s v="CILINDRO"/>
    <x v="74"/>
    <x v="0"/>
    <d v="2023-06-21T00:00:00"/>
    <x v="5"/>
    <x v="1"/>
    <n v="2"/>
    <d v="1899-12-30T09:30:00"/>
    <d v="1899-12-30T15:00:00"/>
    <n v="5.5"/>
    <n v="5.5"/>
    <n v="11"/>
    <x v="3"/>
  </r>
  <r>
    <x v="290"/>
    <n v="600004147861"/>
    <n v="1"/>
    <s v="E08"/>
    <s v="EQDENOM_08"/>
    <x v="7"/>
    <s v="WM06"/>
    <s v="SECTOR_08"/>
    <s v="PLANTA_2"/>
    <s v="PRENSA"/>
    <s v="UNIDAD HIDRAULICA"/>
    <s v="BRIDA"/>
    <x v="74"/>
    <x v="0"/>
    <d v="2023-06-16T00:00:00"/>
    <x v="5"/>
    <x v="1"/>
    <n v="2"/>
    <d v="1899-12-30T12:30:00"/>
    <d v="1899-12-30T14:30:00"/>
    <n v="2"/>
    <n v="2"/>
    <n v="4"/>
    <x v="0"/>
  </r>
  <r>
    <x v="293"/>
    <n v="600004147582"/>
    <n v="1"/>
    <s v="E13"/>
    <s v="EQDENOM_13"/>
    <x v="12"/>
    <s v="WM06"/>
    <s v="SECTOR_13"/>
    <s v="PLANTA_2"/>
    <s v="PRENSA"/>
    <s v="UNIDAD HIDRAULICA"/>
    <s v="MOTOR"/>
    <x v="14"/>
    <x v="1"/>
    <d v="2023-06-15T00:00:00"/>
    <x v="5"/>
    <x v="1"/>
    <n v="1"/>
    <d v="1899-12-30T09:00:00"/>
    <d v="1899-12-30T09:30:00"/>
    <n v="0.5"/>
    <n v="0.5"/>
    <n v="0.5"/>
    <x v="0"/>
  </r>
  <r>
    <x v="285"/>
    <n v="600004145669"/>
    <n v="1"/>
    <s v="E72"/>
    <s v="EQDENOM_70"/>
    <x v="71"/>
    <s v="WM08"/>
    <s v="SECTOR_72"/>
    <s v="PLANTA_1"/>
    <s v="BOMBA"/>
    <s v="INSTALACION ELECTRICA"/>
    <s v="CONEXIÓN"/>
    <x v="87"/>
    <x v="1"/>
    <d v="2023-06-08T00:00:00"/>
    <x v="8"/>
    <x v="0"/>
    <n v="1"/>
    <d v="1899-12-30T08:00:00"/>
    <d v="1899-12-30T09:00:00"/>
    <n v="1"/>
    <n v="1"/>
    <n v="1"/>
    <x v="0"/>
  </r>
  <r>
    <x v="294"/>
    <n v="600004151953"/>
    <n v="1"/>
    <s v="E48"/>
    <s v="EQDENOM_48"/>
    <x v="47"/>
    <s v="WM06"/>
    <s v="SECTOR_48"/>
    <s v="PLANTA_1"/>
    <s v="PRENSA"/>
    <s v="INSTALACION ELECTRICA"/>
    <s v="CONEXIÓN"/>
    <x v="87"/>
    <x v="0"/>
    <d v="2023-07-04T00:00:00"/>
    <x v="3"/>
    <x v="0"/>
    <n v="1"/>
    <d v="1899-12-30T07:30:00"/>
    <d v="1899-12-30T08:30:00"/>
    <n v="1"/>
    <n v="1"/>
    <n v="1"/>
    <x v="0"/>
  </r>
  <r>
    <x v="295"/>
    <n v="600004151658"/>
    <n v="1"/>
    <s v="E63"/>
    <s v="EQDENOM_62"/>
    <x v="62"/>
    <s v="WM06"/>
    <s v="SECTOR_63"/>
    <s v="PLANTA_2"/>
    <s v="HORNO"/>
    <s v="ACCESORIOS"/>
    <s v="VAPOR"/>
    <x v="52"/>
    <x v="1"/>
    <d v="2023-07-03T00:00:00"/>
    <x v="4"/>
    <x v="1"/>
    <n v="2"/>
    <d v="1899-12-30T09:00:00"/>
    <d v="1899-12-30T09:30:00"/>
    <n v="0.5"/>
    <n v="0.5"/>
    <n v="1"/>
    <x v="0"/>
  </r>
  <r>
    <x v="294"/>
    <n v="600004151978"/>
    <n v="1"/>
    <s v="E05"/>
    <s v="EQDENOM_05"/>
    <x v="4"/>
    <s v="WM01"/>
    <s v="SECTOR_05"/>
    <s v="PLANTA_2"/>
    <s v="SECADOR"/>
    <s v="ACCESORIOS"/>
    <s v="ATOMIZADOR"/>
    <x v="149"/>
    <x v="1"/>
    <d v="2023-07-06T00:00:00"/>
    <x v="1"/>
    <x v="1"/>
    <n v="3"/>
    <d v="1899-12-30T07:00:00"/>
    <d v="1899-12-30T14:00:00"/>
    <n v="7"/>
    <n v="7"/>
    <n v="21"/>
    <x v="3"/>
  </r>
  <r>
    <x v="296"/>
    <n v="600004154226"/>
    <n v="1"/>
    <s v="E51"/>
    <s v="EQDENOM_51"/>
    <x v="50"/>
    <s v="WM06"/>
    <s v="SECTOR_51"/>
    <s v="PLANTA_2"/>
    <s v="PRENSA"/>
    <s v="UNIDAD HIDRAULICA"/>
    <s v="CILINDRO"/>
    <x v="84"/>
    <x v="0"/>
    <d v="2023-07-13T00:00:00"/>
    <x v="5"/>
    <x v="1"/>
    <n v="1"/>
    <d v="1899-12-30T09:30:00"/>
    <d v="1899-12-30T10:00:00"/>
    <n v="0.5"/>
    <n v="0.5"/>
    <n v="0.5"/>
    <x v="0"/>
  </r>
  <r>
    <x v="297"/>
    <n v="600004153989"/>
    <n v="1"/>
    <s v="E13"/>
    <s v="EQDENOM_13"/>
    <x v="12"/>
    <s v="WM06"/>
    <s v="SECTOR_13"/>
    <s v="PLANTA_2"/>
    <s v="PRENSA"/>
    <s v="VACIO"/>
    <s v="BOMBA"/>
    <x v="176"/>
    <x v="0"/>
    <d v="2023-07-11T00:00:00"/>
    <x v="5"/>
    <x v="1"/>
    <n v="4"/>
    <d v="1899-12-30T12:30:00"/>
    <d v="1899-12-30T16:00:00"/>
    <n v="3.5"/>
    <n v="3.5"/>
    <n v="14"/>
    <x v="3"/>
  </r>
  <r>
    <x v="296"/>
    <n v="600004154227"/>
    <n v="1"/>
    <s v="E98"/>
    <s v="EQDENOM_96"/>
    <x v="97"/>
    <s v="WM06"/>
    <s v="SECTOR_98"/>
    <s v="PLANTA_2"/>
    <s v="PRENSA"/>
    <s v="UNIDAD HIDRAULICA"/>
    <s v="CILINDRO"/>
    <x v="84"/>
    <x v="0"/>
    <d v="2023-07-13T00:00:00"/>
    <x v="5"/>
    <x v="1"/>
    <n v="2"/>
    <d v="1899-12-30T09:00:00"/>
    <d v="1899-12-30T09:30:00"/>
    <n v="0.5"/>
    <n v="0.5"/>
    <n v="1"/>
    <x v="0"/>
  </r>
  <r>
    <x v="296"/>
    <n v="600004154200"/>
    <n v="1"/>
    <s v="E26"/>
    <s v="EQDENOM_26"/>
    <x v="25"/>
    <s v="WM06"/>
    <s v="SECTOR_26"/>
    <s v="PLANTA_2"/>
    <s v="PRENSA"/>
    <s v="UNIDAD HIDRAULICA"/>
    <s v="ACCESORIOS"/>
    <x v="14"/>
    <x v="0"/>
    <d v="2023-07-12T00:00:00"/>
    <x v="5"/>
    <x v="1"/>
    <n v="2"/>
    <d v="1899-12-30T08:00:00"/>
    <d v="1899-12-30T10:00:00"/>
    <n v="2"/>
    <n v="2"/>
    <n v="4"/>
    <x v="0"/>
  </r>
  <r>
    <x v="298"/>
    <n v="600004153442"/>
    <n v="1"/>
    <s v="E46"/>
    <s v="EQDENOM_46"/>
    <x v="45"/>
    <s v="WM06"/>
    <s v="SECTOR_46"/>
    <s v="PLANTA_2"/>
    <s v="PRENSA"/>
    <s v="SEGURIDAD "/>
    <s v="MOLDE"/>
    <x v="201"/>
    <x v="1"/>
    <d v="2023-07-10T00:00:00"/>
    <x v="5"/>
    <x v="1"/>
    <n v="3"/>
    <d v="1899-12-30T07:00:00"/>
    <d v="1899-12-30T11:30:00"/>
    <n v="4.5"/>
    <n v="4.5"/>
    <n v="13.5"/>
    <x v="3"/>
  </r>
  <r>
    <x v="299"/>
    <n v="600004152594"/>
    <n v="1"/>
    <s v="E57"/>
    <s v="EQDENOM_56"/>
    <x v="56"/>
    <s v="WM06"/>
    <s v="SECTOR_57"/>
    <s v="PLANTA_2"/>
    <s v="PRENSA"/>
    <s v="SEGURIDAD "/>
    <s v="BARRERA"/>
    <x v="32"/>
    <x v="0"/>
    <d v="2023-07-06T00:00:00"/>
    <x v="3"/>
    <x v="0"/>
    <n v="1"/>
    <d v="1899-12-30T09:00:00"/>
    <d v="1899-12-30T10:00:00"/>
    <n v="1"/>
    <n v="1"/>
    <n v="1"/>
    <x v="0"/>
  </r>
  <r>
    <x v="299"/>
    <n v="600004152592"/>
    <n v="1"/>
    <s v="E31"/>
    <s v="EQDENOM_31"/>
    <x v="30"/>
    <s v="WM06"/>
    <s v="SECTOR_31"/>
    <s v="PLANTA_2"/>
    <s v="PULIDORA"/>
    <s v="ACCESORIOS"/>
    <s v="PLATO"/>
    <x v="41"/>
    <x v="0"/>
    <d v="2023-07-06T00:00:00"/>
    <x v="5"/>
    <x v="1"/>
    <n v="2"/>
    <d v="1899-12-30T09:30:00"/>
    <d v="1899-12-30T11:00:00"/>
    <n v="1.5"/>
    <n v="1.5"/>
    <n v="3"/>
    <x v="0"/>
  </r>
  <r>
    <x v="300"/>
    <n v="600004155667"/>
    <n v="1"/>
    <s v="E45"/>
    <s v="EQDENOM_45"/>
    <x v="44"/>
    <s v="WM10"/>
    <s v="SECTOR_45"/>
    <s v="PLANTA_1"/>
    <s v="HORNO"/>
    <s v="INSTALACION ELECTRICA"/>
    <s v="TEMPERATURA"/>
    <x v="202"/>
    <x v="0"/>
    <d v="2023-07-19T00:00:00"/>
    <x v="6"/>
    <x v="0"/>
    <n v="3"/>
    <d v="1899-12-30T10:00:00"/>
    <d v="1899-12-30T14:30:00"/>
    <n v="4.5"/>
    <n v="4.5"/>
    <n v="13.5"/>
    <x v="3"/>
  </r>
  <r>
    <x v="301"/>
    <n v="600004154409"/>
    <n v="1"/>
    <s v="E05"/>
    <s v="EQDENOM_05"/>
    <x v="4"/>
    <s v="WM01"/>
    <s v="SECTOR_05"/>
    <s v="PLANTA_2"/>
    <s v="SECADOR"/>
    <s v="INSTALACION ELECTRICA"/>
    <s v="ACCESORIOS"/>
    <x v="5"/>
    <x v="1"/>
    <d v="2023-07-13T00:00:00"/>
    <x v="6"/>
    <x v="0"/>
    <n v="2"/>
    <d v="1899-12-30T12:30:00"/>
    <d v="1899-12-30T15:00:00"/>
    <n v="2.5"/>
    <n v="2.5"/>
    <n v="5"/>
    <x v="3"/>
  </r>
  <r>
    <x v="301"/>
    <n v="600004154437"/>
    <n v="1"/>
    <s v="E05"/>
    <s v="EQDENOM_05"/>
    <x v="4"/>
    <s v="WM01"/>
    <s v="SECTOR_05"/>
    <s v="PLANTA_2"/>
    <s v="SECADOR"/>
    <s v="ACCESORIOS"/>
    <s v="ATOMIZADOR"/>
    <x v="149"/>
    <x v="1"/>
    <d v="2023-07-13T00:00:00"/>
    <x v="0"/>
    <x v="1"/>
    <n v="2"/>
    <d v="1899-12-30T10:00:00"/>
    <d v="1899-12-30T14:00:00"/>
    <n v="4"/>
    <n v="4"/>
    <n v="8"/>
    <x v="3"/>
  </r>
  <r>
    <x v="302"/>
    <n v="600004158829"/>
    <n v="1"/>
    <s v="E96"/>
    <s v="EQDENOM_94"/>
    <x v="95"/>
    <s v="WM07"/>
    <s v="SECTOR_96"/>
    <s v="PLANTA_2"/>
    <s v="TREN ENFRIAMIENTO"/>
    <s v="INSTALACION ELECTRICA"/>
    <s v="FUENTE"/>
    <x v="117"/>
    <x v="0"/>
    <d v="2023-08-04T00:00:00"/>
    <x v="3"/>
    <x v="0"/>
    <n v="1"/>
    <d v="1899-12-30T10:00:00"/>
    <d v="1899-12-30T12:30:00"/>
    <n v="2.5"/>
    <n v="2.5"/>
    <n v="2.5"/>
    <x v="3"/>
  </r>
  <r>
    <x v="303"/>
    <n v="600004161078"/>
    <n v="1"/>
    <s v="E82"/>
    <s v="EQDENOM_80"/>
    <x v="81"/>
    <s v="WM06"/>
    <s v="SECTOR_82"/>
    <s v="PLANTA_2"/>
    <s v="PULIDORA"/>
    <s v="TRANSMISION"/>
    <s v="CADENA"/>
    <x v="203"/>
    <x v="0"/>
    <d v="2023-08-14T00:00:00"/>
    <x v="7"/>
    <x v="1"/>
    <n v="1"/>
    <d v="1899-12-30T07:00:00"/>
    <d v="1899-12-30T08:00:00"/>
    <n v="1"/>
    <n v="1"/>
    <n v="1"/>
    <x v="0"/>
  </r>
  <r>
    <x v="303"/>
    <n v="600004161077"/>
    <n v="1"/>
    <s v="E19"/>
    <s v="EQDENOM_19"/>
    <x v="18"/>
    <s v="WM06"/>
    <s v="SECTOR_19"/>
    <s v="PLANTA_2"/>
    <s v="PRENSA"/>
    <s v="UNIDAD HIDRAULICA"/>
    <s v="NUCLEO"/>
    <x v="84"/>
    <x v="0"/>
    <d v="2023-08-14T00:00:00"/>
    <x v="5"/>
    <x v="1"/>
    <n v="2"/>
    <d v="1899-12-30T07:30:00"/>
    <d v="1899-12-30T08:30:00"/>
    <n v="1"/>
    <n v="1"/>
    <n v="2"/>
    <x v="0"/>
  </r>
  <r>
    <x v="304"/>
    <n v="600004159644"/>
    <n v="1"/>
    <s v="E66"/>
    <s v="EQDENOM_65"/>
    <x v="65"/>
    <s v="WM06"/>
    <s v="SECTOR_66"/>
    <s v="PLANTA_2"/>
    <s v="HORNO"/>
    <s v="PUERTA "/>
    <s v="PANEL"/>
    <x v="150"/>
    <x v="1"/>
    <d v="2023-08-08T00:00:00"/>
    <x v="5"/>
    <x v="1"/>
    <n v="2"/>
    <d v="1899-12-30T09:00:00"/>
    <d v="1899-12-30T10:00:00"/>
    <n v="1"/>
    <n v="1"/>
    <n v="2"/>
    <x v="0"/>
  </r>
  <r>
    <x v="305"/>
    <n v="600004159987"/>
    <n v="1"/>
    <s v="E48"/>
    <s v="EQDENOM_48"/>
    <x v="47"/>
    <s v="WM06"/>
    <s v="SECTOR_48"/>
    <s v="PLANTA_1"/>
    <s v="PRENSA"/>
    <s v="INSTALACION ELECTRICA"/>
    <s v="MESA"/>
    <x v="31"/>
    <x v="0"/>
    <d v="2023-08-09T00:00:00"/>
    <x v="3"/>
    <x v="0"/>
    <n v="1"/>
    <d v="1899-12-30T07:00:00"/>
    <d v="1899-12-30T09:00:00"/>
    <n v="2"/>
    <n v="2"/>
    <n v="2"/>
    <x v="0"/>
  </r>
  <r>
    <x v="306"/>
    <n v="600004158433"/>
    <n v="1"/>
    <s v="E89"/>
    <s v="EQDENOM_87"/>
    <x v="88"/>
    <s v="WM07"/>
    <s v="SECTOR_89"/>
    <s v="PLANTA_2"/>
    <s v="EQUIPO DE FRIO"/>
    <s v="TRANSMISION"/>
    <s v="MOTOR"/>
    <x v="13"/>
    <x v="1"/>
    <d v="2023-08-02T00:00:00"/>
    <x v="3"/>
    <x v="1"/>
    <n v="1"/>
    <d v="1899-12-30T07:00:00"/>
    <d v="1899-12-30T15:30:00"/>
    <n v="8.5"/>
    <n v="8.5"/>
    <n v="8.5"/>
    <x v="1"/>
  </r>
  <r>
    <x v="304"/>
    <n v="600004159643"/>
    <n v="1"/>
    <s v="E19"/>
    <s v="EQDENOM_19"/>
    <x v="18"/>
    <s v="WM06"/>
    <s v="SECTOR_19"/>
    <s v="PLANTA_2"/>
    <s v="PRENSA"/>
    <s v="MOLDE"/>
    <s v="SUPLEMENTO"/>
    <x v="150"/>
    <x v="0"/>
    <d v="2023-08-08T00:00:00"/>
    <x v="7"/>
    <x v="1"/>
    <n v="2"/>
    <d v="1899-12-30T07:30:00"/>
    <d v="1899-12-30T08:30:00"/>
    <n v="1"/>
    <n v="1"/>
    <n v="2"/>
    <x v="0"/>
  </r>
  <r>
    <x v="307"/>
    <n v="600004159308"/>
    <n v="1"/>
    <s v="E99"/>
    <s v="EQDENOM_83"/>
    <x v="98"/>
    <s v="WM06"/>
    <s v="SECTOR_99"/>
    <s v="PLANTA_2"/>
    <s v="ASPIRADOR"/>
    <s v="INSTALACION ELECTRICA"/>
    <s v="MOTOR"/>
    <x v="69"/>
    <x v="0"/>
    <d v="2023-08-07T00:00:00"/>
    <x v="3"/>
    <x v="0"/>
    <n v="1"/>
    <d v="1899-12-30T07:00:00"/>
    <d v="1899-12-30T08:00:00"/>
    <n v="1"/>
    <n v="1"/>
    <n v="1"/>
    <x v="0"/>
  </r>
  <r>
    <x v="308"/>
    <n v="600004158602"/>
    <n v="1"/>
    <s v="E18"/>
    <s v="EQDENOM_18"/>
    <x v="17"/>
    <s v="WM06"/>
    <s v="SECTOR_18"/>
    <s v="PLANTA_2"/>
    <s v="PRENSA"/>
    <s v="INSTALACION ELECTRICA"/>
    <s v="MOTOR"/>
    <x v="104"/>
    <x v="0"/>
    <d v="2023-08-03T00:00:00"/>
    <x v="3"/>
    <x v="0"/>
    <n v="1"/>
    <d v="1899-12-30T07:00:00"/>
    <d v="1899-12-30T08:00:00"/>
    <n v="1"/>
    <n v="1"/>
    <n v="1"/>
    <x v="0"/>
  </r>
  <r>
    <x v="305"/>
    <n v="600004159983"/>
    <n v="1"/>
    <s v="E31"/>
    <s v="EQDENOM_31"/>
    <x v="30"/>
    <s v="WM06"/>
    <s v="SECTOR_31"/>
    <s v="PLANTA_2"/>
    <s v="PULIDORA"/>
    <s v="INSTALACION ELECTRICA"/>
    <s v="DISPLAY"/>
    <x v="1"/>
    <x v="1"/>
    <d v="2023-08-09T00:00:00"/>
    <x v="3"/>
    <x v="0"/>
    <n v="2"/>
    <d v="1899-12-30T10:00:00"/>
    <d v="1899-12-30T11:30:00"/>
    <n v="1.5"/>
    <n v="1.5"/>
    <n v="3"/>
    <x v="0"/>
  </r>
  <r>
    <x v="306"/>
    <n v="600004158430"/>
    <n v="1"/>
    <s v="E34"/>
    <s v="EQDENOM_34"/>
    <x v="33"/>
    <s v="WM06"/>
    <s v="SECTOR_34"/>
    <s v="PLANTA_2"/>
    <s v="TRANSPORT. PINTURA"/>
    <s v="CABINA"/>
    <s v="FILTRO"/>
    <x v="204"/>
    <x v="1"/>
    <d v="2023-08-22T00:00:00"/>
    <x v="4"/>
    <x v="1"/>
    <n v="1"/>
    <d v="1899-12-30T09:00:00"/>
    <d v="1899-12-30T10:30:00"/>
    <n v="1.5"/>
    <n v="0"/>
    <n v="1.5"/>
    <x v="2"/>
  </r>
  <r>
    <x v="303"/>
    <n v="600004161105"/>
    <n v="1"/>
    <s v="E13"/>
    <s v="EQDENOM_13"/>
    <x v="12"/>
    <s v="WM06"/>
    <s v="SECTOR_13"/>
    <s v="PLANTA_2"/>
    <s v="PRENSA"/>
    <s v="ACCESORIOS"/>
    <s v="PRESION"/>
    <x v="70"/>
    <x v="0"/>
    <d v="2023-08-14T00:00:00"/>
    <x v="3"/>
    <x v="1"/>
    <n v="1"/>
    <d v="1899-12-30T13:00:00"/>
    <d v="1899-12-30T14:00:00"/>
    <n v="1"/>
    <n v="1"/>
    <n v="1"/>
    <x v="0"/>
  </r>
  <r>
    <x v="309"/>
    <n v="600004160621"/>
    <n v="1"/>
    <s v="E44"/>
    <s v="EQDENOM_44"/>
    <x v="43"/>
    <s v="WM06"/>
    <s v="SECTOR_44"/>
    <s v="PLANTA_2"/>
    <s v="CABINA DE PINTADO"/>
    <s v="UNIDAD NEUMATICA"/>
    <s v="BOMBA"/>
    <x v="115"/>
    <x v="0"/>
    <d v="2023-08-11T00:00:00"/>
    <x v="7"/>
    <x v="1"/>
    <n v="2"/>
    <d v="1899-12-30T15:00:00"/>
    <d v="1899-12-30T16:00:00"/>
    <n v="1"/>
    <n v="1"/>
    <n v="2"/>
    <x v="0"/>
  </r>
  <r>
    <x v="303"/>
    <n v="600004161099"/>
    <n v="1"/>
    <s v="E36"/>
    <s v="EQDENOM_36"/>
    <x v="35"/>
    <s v="WM06"/>
    <s v="SECTOR_36"/>
    <s v="PLANTA_2"/>
    <s v="PRENSA"/>
    <s v="ACCESORIOS"/>
    <s v="VAPOR"/>
    <x v="63"/>
    <x v="0"/>
    <d v="2023-08-14T00:00:00"/>
    <x v="5"/>
    <x v="1"/>
    <n v="2"/>
    <d v="1899-12-30T10:30:00"/>
    <d v="1899-12-30T11:30:00"/>
    <n v="1"/>
    <n v="1"/>
    <n v="2"/>
    <x v="0"/>
  </r>
  <r>
    <x v="310"/>
    <n v="600004162030"/>
    <n v="1"/>
    <s v="E26"/>
    <s v="EQDENOM_26"/>
    <x v="25"/>
    <s v="WM06"/>
    <s v="SECTOR_26"/>
    <s v="PLANTA_2"/>
    <s v="PRENSA"/>
    <s v="UNIDAD HIDRAULICA"/>
    <s v="PRELLENADO"/>
    <x v="11"/>
    <x v="0"/>
    <d v="2023-08-18T00:00:00"/>
    <x v="7"/>
    <x v="1"/>
    <n v="2"/>
    <d v="1899-12-30T12:30:00"/>
    <d v="1899-12-30T13:30:00"/>
    <n v="1"/>
    <n v="1"/>
    <n v="2"/>
    <x v="0"/>
  </r>
  <r>
    <x v="310"/>
    <n v="600004161970"/>
    <n v="1"/>
    <s v="E34"/>
    <s v="EQDENOM_34"/>
    <x v="33"/>
    <s v="WM06"/>
    <s v="SECTOR_34"/>
    <s v="PLANTA_2"/>
    <s v="TRANSPORT. PINTURA"/>
    <s v="ACCESORIOS"/>
    <s v="VENTANA"/>
    <x v="205"/>
    <x v="1"/>
    <d v="2023-08-18T00:00:00"/>
    <x v="6"/>
    <x v="1"/>
    <n v="1"/>
    <d v="1899-12-30T08:00:00"/>
    <d v="1899-12-30T10:00:00"/>
    <n v="2"/>
    <n v="2"/>
    <n v="2"/>
    <x v="0"/>
  </r>
  <r>
    <x v="311"/>
    <n v="600004161219"/>
    <n v="1"/>
    <s v="E18"/>
    <s v="EQDENOM_18"/>
    <x v="17"/>
    <s v="WM06"/>
    <s v="SECTOR_18"/>
    <s v="PLANTA_2"/>
    <s v="PRENSA"/>
    <s v="INSTALACION ELECTRICA"/>
    <s v="PROTECCION"/>
    <x v="181"/>
    <x v="0"/>
    <d v="2023-08-15T00:00:00"/>
    <x v="6"/>
    <x v="0"/>
    <n v="1"/>
    <d v="1899-12-30T13:00:00"/>
    <d v="1899-12-30T15:00:00"/>
    <n v="2"/>
    <n v="2"/>
    <n v="2"/>
    <x v="0"/>
  </r>
  <r>
    <x v="312"/>
    <n v="600004161414"/>
    <n v="1"/>
    <s v="E51"/>
    <s v="EQDENOM_51"/>
    <x v="50"/>
    <s v="WM06"/>
    <s v="SECTOR_51"/>
    <s v="PLANTA_2"/>
    <s v="PRENSA"/>
    <s v="INSTALACION ELECTRICA"/>
    <s v="SENSOR"/>
    <x v="87"/>
    <x v="0"/>
    <d v="2023-08-16T00:00:00"/>
    <x v="6"/>
    <x v="0"/>
    <n v="1"/>
    <d v="1899-12-30T09:00:00"/>
    <d v="1899-12-30T11:30:00"/>
    <n v="2.5"/>
    <n v="2.5"/>
    <n v="2.5"/>
    <x v="3"/>
  </r>
  <r>
    <x v="313"/>
    <n v="600004163649"/>
    <n v="1"/>
    <s v="E46"/>
    <s v="EQDENOM_46"/>
    <x v="45"/>
    <s v="WM06"/>
    <s v="SECTOR_46"/>
    <s v="PLANTA_2"/>
    <s v="PRENSA"/>
    <s v="INSTALACION ELECTRICA"/>
    <s v="MESA"/>
    <x v="31"/>
    <x v="0"/>
    <d v="2023-08-25T00:00:00"/>
    <x v="3"/>
    <x v="0"/>
    <n v="1"/>
    <d v="1899-12-30T12:00:00"/>
    <d v="1899-12-30T12:30:00"/>
    <n v="0.5"/>
    <n v="0.5"/>
    <n v="0.5"/>
    <x v="0"/>
  </r>
  <r>
    <x v="314"/>
    <n v="600004162771"/>
    <n v="1"/>
    <s v="E18"/>
    <s v="EQDENOM_18"/>
    <x v="17"/>
    <s v="WM06"/>
    <s v="SECTOR_18"/>
    <s v="PLANTA_2"/>
    <s v="PRENSA"/>
    <s v="INSTALACION ELECTRICA"/>
    <s v="MOTOR"/>
    <x v="195"/>
    <x v="0"/>
    <d v="2023-08-22T00:00:00"/>
    <x v="3"/>
    <x v="0"/>
    <n v="1"/>
    <d v="1899-12-30T13:00:00"/>
    <d v="1899-12-30T13:30:00"/>
    <n v="0.5"/>
    <n v="0.5"/>
    <n v="0.5"/>
    <x v="0"/>
  </r>
  <r>
    <x v="315"/>
    <n v="600004165730"/>
    <n v="1"/>
    <s v="E33"/>
    <s v="EQDENOM_33"/>
    <x v="32"/>
    <s v="WM02"/>
    <s v="SECTOR_33"/>
    <s v="PLANTA_1"/>
    <s v="ENVASADORA"/>
    <s v="REGULACION"/>
    <s v="PRESION"/>
    <x v="150"/>
    <x v="0"/>
    <d v="2023-09-04T00:00:00"/>
    <x v="8"/>
    <x v="1"/>
    <n v="1"/>
    <d v="1899-12-30T10:00:00"/>
    <d v="1899-12-30T11:30:00"/>
    <n v="1.5"/>
    <n v="1.5"/>
    <n v="1.5"/>
    <x v="0"/>
  </r>
  <r>
    <x v="316"/>
    <n v="600004166214"/>
    <n v="1"/>
    <s v="E05"/>
    <s v="EQDENOM_05"/>
    <x v="4"/>
    <s v="WM01"/>
    <s v="SECTOR_05"/>
    <s v="PLANTA_2"/>
    <s v="SECADOR"/>
    <s v="ATOMIZADOR"/>
    <s v="ACCESORIOS"/>
    <x v="106"/>
    <x v="0"/>
    <d v="2023-09-06T00:00:00"/>
    <x v="8"/>
    <x v="1"/>
    <n v="2"/>
    <d v="1899-12-30T11:00:00"/>
    <d v="1899-12-30T14:00:00"/>
    <n v="3"/>
    <n v="3"/>
    <n v="6"/>
    <x v="3"/>
  </r>
  <r>
    <x v="316"/>
    <n v="600004166242"/>
    <n v="1"/>
    <s v="E57"/>
    <s v="EQDENOM_56"/>
    <x v="56"/>
    <s v="WM06"/>
    <s v="SECTOR_57"/>
    <s v="PLANTA_2"/>
    <s v="PRENSA"/>
    <s v="VAPOR"/>
    <s v="MOLDE "/>
    <x v="63"/>
    <x v="0"/>
    <d v="2023-09-08T00:00:00"/>
    <x v="7"/>
    <x v="1"/>
    <n v="2"/>
    <d v="1899-12-30T09:30:00"/>
    <d v="1899-12-30T10:30:00"/>
    <n v="1"/>
    <n v="1"/>
    <n v="2"/>
    <x v="0"/>
  </r>
  <r>
    <x v="317"/>
    <n v="600004167641"/>
    <n v="1"/>
    <s v="E91"/>
    <s v="EQDENOM_89"/>
    <x v="90"/>
    <s v="WM02"/>
    <s v="SECTOR_91"/>
    <s v="PLANTA_1"/>
    <s v="MEZCLADORA"/>
    <s v="ACCESORIOS"/>
    <s v="INSPECCION"/>
    <x v="167"/>
    <x v="0"/>
    <d v="2023-09-13T00:00:00"/>
    <x v="8"/>
    <x v="1"/>
    <n v="2"/>
    <d v="1899-12-30T12:30:00"/>
    <d v="1899-12-30T15:00:00"/>
    <n v="2.5"/>
    <n v="2.5"/>
    <n v="5"/>
    <x v="3"/>
  </r>
  <r>
    <x v="318"/>
    <n v="600004166500"/>
    <n v="1"/>
    <s v="E31"/>
    <s v="EQDENOM_31"/>
    <x v="30"/>
    <s v="WM06"/>
    <s v="SECTOR_31"/>
    <s v="PLANTA_2"/>
    <s v="PULIDORA"/>
    <s v="INSTALACION ELECTRICA"/>
    <s v="REGULACION"/>
    <x v="97"/>
    <x v="0"/>
    <d v="2023-09-08T00:00:00"/>
    <x v="3"/>
    <x v="0"/>
    <n v="1"/>
    <d v="1899-12-30T15:00:00"/>
    <d v="1899-12-30T15:30:00"/>
    <n v="0.5"/>
    <n v="0.5"/>
    <n v="0.5"/>
    <x v="0"/>
  </r>
  <r>
    <x v="319"/>
    <n v="600004165955"/>
    <n v="1"/>
    <s v="E33"/>
    <s v="EQDENOM_33"/>
    <x v="32"/>
    <s v="WM02"/>
    <s v="SECTOR_33"/>
    <s v="PLANTA_1"/>
    <s v="ENVASADORA"/>
    <s v="ACCESORIOS"/>
    <s v="BOMBA"/>
    <x v="14"/>
    <x v="0"/>
    <d v="2023-09-05T00:00:00"/>
    <x v="8"/>
    <x v="1"/>
    <n v="2"/>
    <d v="1899-12-30T08:30:00"/>
    <d v="1899-12-30T11:30:00"/>
    <n v="3"/>
    <n v="3"/>
    <n v="6"/>
    <x v="3"/>
  </r>
  <r>
    <x v="320"/>
    <n v="600004166372"/>
    <n v="1"/>
    <s v="E44"/>
    <s v="EQDENOM_44"/>
    <x v="43"/>
    <s v="WM06"/>
    <s v="SECTOR_44"/>
    <s v="PLANTA_2"/>
    <s v="CABINA DE PINTADO"/>
    <s v="CABINA"/>
    <s v="VENTANA"/>
    <x v="11"/>
    <x v="1"/>
    <d v="2023-09-06T00:00:00"/>
    <x v="7"/>
    <x v="1"/>
    <n v="2"/>
    <d v="1899-12-30T15:00:00"/>
    <d v="1899-12-30T16:00:00"/>
    <n v="1"/>
    <n v="1"/>
    <n v="2"/>
    <x v="0"/>
  </r>
  <r>
    <x v="321"/>
    <n v="600004168507"/>
    <n v="1"/>
    <s v="E20"/>
    <s v="EQDENOM_20"/>
    <x v="19"/>
    <s v="WM01"/>
    <s v="SECTOR_20"/>
    <s v="PLANTA_1"/>
    <s v="REACTOR"/>
    <s v="CALEFACCION"/>
    <s v="FLUIDO TERMICO"/>
    <x v="149"/>
    <x v="0"/>
    <d v="2023-09-18T00:00:00"/>
    <x v="1"/>
    <x v="1"/>
    <n v="3"/>
    <d v="1899-12-30T06:00:00"/>
    <d v="1899-12-30T16:00:00"/>
    <n v="10"/>
    <n v="10"/>
    <n v="30"/>
    <x v="1"/>
  </r>
  <r>
    <x v="322"/>
    <n v="600004168865"/>
    <n v="1"/>
    <s v="E20"/>
    <s v="EQDENOM_20"/>
    <x v="19"/>
    <s v="WM01"/>
    <s v="SECTOR_20"/>
    <s v="PLANTA_1"/>
    <s v="REACTOR"/>
    <s v="ACCESORIOS"/>
    <s v="VAPOR"/>
    <x v="14"/>
    <x v="1"/>
    <d v="2023-09-20T00:00:00"/>
    <x v="2"/>
    <x v="1"/>
    <n v="1"/>
    <d v="1899-12-30T10:00:00"/>
    <d v="1899-12-30T11:30:00"/>
    <n v="1.5"/>
    <n v="1.5"/>
    <n v="1.5"/>
    <x v="0"/>
  </r>
  <r>
    <x v="323"/>
    <n v="600004168645"/>
    <n v="1"/>
    <s v="E26"/>
    <s v="EQDENOM_26"/>
    <x v="25"/>
    <s v="WM06"/>
    <s v="SECTOR_26"/>
    <s v="PLANTA_2"/>
    <s v="PRENSA"/>
    <s v="UNIDAD HIDRAULICA"/>
    <s v="PLATO"/>
    <x v="16"/>
    <x v="0"/>
    <d v="2023-09-19T00:00:00"/>
    <x v="5"/>
    <x v="1"/>
    <n v="3"/>
    <d v="1899-12-30T07:30:00"/>
    <d v="1899-12-30T09:00:00"/>
    <n v="1.5"/>
    <n v="1.5"/>
    <n v="4.5"/>
    <x v="0"/>
  </r>
  <r>
    <x v="315"/>
    <n v="600004165715"/>
    <n v="1"/>
    <s v="E34"/>
    <s v="EQDENOM_34"/>
    <x v="33"/>
    <s v="WM06"/>
    <s v="SECTOR_34"/>
    <s v="PLANTA_2"/>
    <s v="TRANSPORT. PINTURA"/>
    <s v="ACCESORIOS"/>
    <s v="JAULA"/>
    <x v="206"/>
    <x v="0"/>
    <d v="2023-09-04T00:00:00"/>
    <x v="5"/>
    <x v="1"/>
    <n v="1"/>
    <d v="1899-12-30T14:00:00"/>
    <d v="1899-12-30T14:30:00"/>
    <n v="0.5"/>
    <n v="0.5"/>
    <n v="0.5"/>
    <x v="0"/>
  </r>
  <r>
    <x v="324"/>
    <n v="600004167225"/>
    <n v="1"/>
    <s v="E13"/>
    <s v="EQDENOM_13"/>
    <x v="12"/>
    <s v="WM06"/>
    <s v="SECTOR_13"/>
    <s v="PLANTA_2"/>
    <s v="PRENSA"/>
    <s v="UNIDAD HIDRAULICA"/>
    <s v="VACIO"/>
    <x v="37"/>
    <x v="0"/>
    <d v="2023-09-12T00:00:00"/>
    <x v="5"/>
    <x v="1"/>
    <n v="4"/>
    <d v="1899-12-30T09:00:00"/>
    <d v="1899-12-30T10:30:00"/>
    <n v="1.5"/>
    <n v="1.5"/>
    <n v="6"/>
    <x v="0"/>
  </r>
  <r>
    <x v="316"/>
    <n v="600004166131"/>
    <n v="1"/>
    <s v="E57"/>
    <s v="EQDENOM_56"/>
    <x v="56"/>
    <s v="WM06"/>
    <s v="SECTOR_57"/>
    <s v="PLANTA_2"/>
    <s v="PRENSA"/>
    <s v="UNIDAD HIDRAULICA"/>
    <s v="MESA"/>
    <x v="14"/>
    <x v="1"/>
    <d v="2023-09-07T00:00:00"/>
    <x v="5"/>
    <x v="1"/>
    <n v="2"/>
    <d v="1899-12-30T15:00:00"/>
    <d v="1899-12-30T16:00:00"/>
    <n v="1"/>
    <n v="1"/>
    <n v="2"/>
    <x v="0"/>
  </r>
  <r>
    <x v="315"/>
    <n v="600004165729"/>
    <n v="1"/>
    <s v="E67"/>
    <s v="EQDENOM_66"/>
    <x v="66"/>
    <s v="WM06"/>
    <s v="SECTOR_67"/>
    <s v="PLANTA_2"/>
    <s v="PRENSA"/>
    <s v="PLATO "/>
    <s v="CILINDRO"/>
    <x v="14"/>
    <x v="0"/>
    <d v="2023-09-04T00:00:00"/>
    <x v="7"/>
    <x v="1"/>
    <n v="2"/>
    <d v="1899-12-30T12:30:00"/>
    <d v="1899-12-30T13:30:00"/>
    <n v="1"/>
    <n v="1"/>
    <n v="2"/>
    <x v="0"/>
  </r>
  <r>
    <x v="315"/>
    <n v="600004165736"/>
    <n v="1"/>
    <s v="E36"/>
    <s v="EQDENOM_36"/>
    <x v="35"/>
    <s v="WM06"/>
    <s v="SECTOR_36"/>
    <s v="PLANTA_2"/>
    <s v="PRENSA"/>
    <s v="PLATO"/>
    <s v="CILINDRO"/>
    <x v="16"/>
    <x v="0"/>
    <d v="2023-09-04T00:00:00"/>
    <x v="4"/>
    <x v="1"/>
    <n v="2"/>
    <d v="1899-12-30T14:00:00"/>
    <d v="1899-12-30T15:00:00"/>
    <n v="1"/>
    <n v="1"/>
    <n v="2"/>
    <x v="0"/>
  </r>
  <r>
    <x v="324"/>
    <n v="600004167325"/>
    <n v="1"/>
    <s v="E57"/>
    <s v="EQDENOM_56"/>
    <x v="56"/>
    <s v="WM06"/>
    <s v="SECTOR_57"/>
    <s v="PLANTA_2"/>
    <s v="PRENSA"/>
    <s v="PANEL"/>
    <s v="MANGUERA"/>
    <x v="52"/>
    <x v="0"/>
    <d v="2023-09-12T00:00:00"/>
    <x v="7"/>
    <x v="1"/>
    <n v="2"/>
    <d v="1899-12-30T12:30:00"/>
    <d v="1899-12-30T13:30:00"/>
    <n v="1"/>
    <n v="1"/>
    <n v="2"/>
    <x v="0"/>
  </r>
  <r>
    <x v="322"/>
    <n v="600004168789"/>
    <n v="1"/>
    <s v="E18"/>
    <s v="EQDENOM_18"/>
    <x v="17"/>
    <s v="WM06"/>
    <s v="SECTOR_18"/>
    <s v="PLANTA_2"/>
    <s v="PRENSA"/>
    <s v="PLATO"/>
    <s v="CILINDRO"/>
    <x v="14"/>
    <x v="0"/>
    <d v="2023-09-20T00:00:00"/>
    <x v="7"/>
    <x v="1"/>
    <n v="2"/>
    <d v="1899-12-30T07:30:00"/>
    <d v="1899-12-30T08:30:00"/>
    <n v="1"/>
    <n v="1"/>
    <n v="2"/>
    <x v="0"/>
  </r>
  <r>
    <x v="323"/>
    <n v="600004168657"/>
    <n v="1"/>
    <s v="E100"/>
    <s v="EQDENOM_97"/>
    <x v="99"/>
    <s v="WM06"/>
    <s v="SECTOR_100"/>
    <s v="PLANTA_2"/>
    <s v="PRENSA"/>
    <s v="VACIO"/>
    <s v="BOMBA"/>
    <x v="14"/>
    <x v="0"/>
    <d v="2023-09-19T00:00:00"/>
    <x v="7"/>
    <x v="1"/>
    <n v="2"/>
    <d v="1899-12-30T10:30:00"/>
    <d v="1899-12-30T11:30:00"/>
    <n v="1"/>
    <n v="1"/>
    <n v="2"/>
    <x v="0"/>
  </r>
  <r>
    <x v="321"/>
    <n v="600004168539"/>
    <n v="1"/>
    <s v="E57"/>
    <s v="EQDENOM_56"/>
    <x v="56"/>
    <s v="WM06"/>
    <s v="SECTOR_57"/>
    <s v="PLANTA_2"/>
    <s v="PRENSA"/>
    <s v="VACIO"/>
    <s v="BOMBA"/>
    <x v="115"/>
    <x v="1"/>
    <d v="2023-09-19T00:00:00"/>
    <x v="7"/>
    <x v="1"/>
    <n v="2"/>
    <d v="1899-12-30T12:30:00"/>
    <d v="1899-12-30T13:30:00"/>
    <n v="1"/>
    <n v="1"/>
    <n v="2"/>
    <x v="0"/>
  </r>
  <r>
    <x v="323"/>
    <n v="600004168644"/>
    <n v="1"/>
    <s v="E18"/>
    <s v="EQDENOM_18"/>
    <x v="17"/>
    <s v="WM06"/>
    <s v="SECTOR_18"/>
    <s v="PLANTA_2"/>
    <s v="PRENSA"/>
    <s v="PLATO"/>
    <s v="PISTON"/>
    <x v="16"/>
    <x v="0"/>
    <d v="2023-09-19T00:00:00"/>
    <x v="7"/>
    <x v="1"/>
    <n v="2"/>
    <d v="1899-12-30T09:00:00"/>
    <d v="1899-12-30T10:30:00"/>
    <n v="1.5"/>
    <n v="1.5"/>
    <n v="3"/>
    <x v="0"/>
  </r>
  <r>
    <x v="325"/>
    <n v="600004172006"/>
    <n v="1"/>
    <s v="E76"/>
    <s v="EQDENOM_74"/>
    <x v="75"/>
    <s v="WM02"/>
    <s v="SECTOR_76"/>
    <s v="PLANTA_1"/>
    <s v="MEZCLADORA"/>
    <s v="ACCESORIOS"/>
    <s v="EXTRACTOR"/>
    <x v="14"/>
    <x v="1"/>
    <d v="2023-10-04T00:00:00"/>
    <x v="2"/>
    <x v="1"/>
    <n v="2"/>
    <d v="1899-12-30T12:30:00"/>
    <d v="1899-12-30T14:30:00"/>
    <n v="2"/>
    <n v="2"/>
    <n v="4"/>
    <x v="0"/>
  </r>
  <r>
    <x v="326"/>
    <n v="600004175736"/>
    <n v="1"/>
    <s v="E46"/>
    <s v="EQDENOM_46"/>
    <x v="45"/>
    <s v="WM06"/>
    <s v="SECTOR_46"/>
    <s v="PLANTA_2"/>
    <s v="PRENSA"/>
    <s v="VAPOR"/>
    <s v="MOLDE"/>
    <x v="8"/>
    <x v="1"/>
    <d v="2023-10-20T00:00:00"/>
    <x v="7"/>
    <x v="1"/>
    <n v="1"/>
    <d v="1899-12-30T09:00:00"/>
    <d v="1899-12-30T10:00:00"/>
    <n v="1"/>
    <n v="1"/>
    <n v="1"/>
    <x v="0"/>
  </r>
  <r>
    <x v="326"/>
    <n v="600004175704"/>
    <n v="1"/>
    <s v="E16"/>
    <s v="EQDENOM_16"/>
    <x v="15"/>
    <s v="WM07"/>
    <s v="SECTOR_16"/>
    <s v="PLANTA_2"/>
    <s v="CORTADORA"/>
    <s v="ACCESORIOS"/>
    <s v="CORTADORA"/>
    <x v="77"/>
    <x v="0"/>
    <d v="2023-10-20T00:00:00"/>
    <x v="7"/>
    <x v="1"/>
    <n v="2"/>
    <d v="1899-12-30T07:00:00"/>
    <d v="1899-12-30T09:00:00"/>
    <n v="2"/>
    <n v="2"/>
    <n v="4"/>
    <x v="0"/>
  </r>
  <r>
    <x v="327"/>
    <n v="600004171713"/>
    <n v="1"/>
    <s v="E47"/>
    <s v="EQDENOM_47"/>
    <x v="46"/>
    <s v="WM06"/>
    <s v="SECTOR_47"/>
    <s v="PLANTA_2"/>
    <s v="CALDERA"/>
    <s v="VAPOR"/>
    <s v="PORTIN"/>
    <x v="207"/>
    <x v="0"/>
    <d v="2023-10-02T00:00:00"/>
    <x v="5"/>
    <x v="1"/>
    <n v="3"/>
    <d v="1899-12-30T08:00:00"/>
    <d v="1899-12-30T12:30:00"/>
    <n v="4.5"/>
    <n v="4.5"/>
    <n v="13.5"/>
    <x v="3"/>
  </r>
  <r>
    <x v="327"/>
    <n v="600004171759"/>
    <n v="1"/>
    <s v="E57"/>
    <s v="EQDENOM_56"/>
    <x v="56"/>
    <s v="WM06"/>
    <s v="SECTOR_57"/>
    <s v="PLANTA_2"/>
    <s v="PRENSA"/>
    <s v="UNIDAD HIDRAULICA"/>
    <s v="ACCESORIOS"/>
    <x v="14"/>
    <x v="0"/>
    <d v="2023-10-02T00:00:00"/>
    <x v="5"/>
    <x v="1"/>
    <n v="2"/>
    <d v="1899-12-30T13:00:00"/>
    <d v="1899-12-30T15:00:00"/>
    <n v="2"/>
    <n v="2"/>
    <n v="4"/>
    <x v="0"/>
  </r>
  <r>
    <x v="325"/>
    <n v="600004172005"/>
    <n v="1"/>
    <s v="E98"/>
    <s v="EQDENOM_96"/>
    <x v="97"/>
    <s v="WM06"/>
    <s v="SECTOR_98"/>
    <s v="PLANTA_2"/>
    <s v="PRENSA"/>
    <s v="PRENSA"/>
    <s v="ACCESORIOS"/>
    <x v="64"/>
    <x v="0"/>
    <d v="2023-10-04T00:00:00"/>
    <x v="7"/>
    <x v="1"/>
    <n v="2"/>
    <d v="1899-12-30T07:00:00"/>
    <d v="1899-12-30T08:00:00"/>
    <n v="1"/>
    <n v="1"/>
    <n v="2"/>
    <x v="0"/>
  </r>
  <r>
    <x v="328"/>
    <n v="600004173313"/>
    <n v="1"/>
    <s v="E82"/>
    <s v="EQDENOM_80"/>
    <x v="81"/>
    <s v="WM06"/>
    <s v="SECTOR_82"/>
    <s v="PLANTA_2"/>
    <s v="PULIDORA"/>
    <s v="TRANSMISION"/>
    <s v="CADENA"/>
    <x v="203"/>
    <x v="0"/>
    <d v="2023-10-10T00:00:00"/>
    <x v="5"/>
    <x v="1"/>
    <n v="2"/>
    <d v="1899-12-30T12:00:00"/>
    <d v="1899-12-30T14:00:00"/>
    <n v="2"/>
    <n v="2"/>
    <n v="4"/>
    <x v="0"/>
  </r>
  <r>
    <x v="328"/>
    <n v="600004173199"/>
    <n v="1"/>
    <s v="E19"/>
    <s v="EQDENOM_19"/>
    <x v="18"/>
    <s v="WM06"/>
    <s v="SECTOR_19"/>
    <s v="PLANTA_2"/>
    <s v="PRENSA"/>
    <s v="PLATO"/>
    <s v="PRESOSTATO"/>
    <x v="151"/>
    <x v="0"/>
    <d v="2023-10-10T00:00:00"/>
    <x v="5"/>
    <x v="1"/>
    <n v="2"/>
    <d v="1899-12-30T09:00:00"/>
    <d v="1899-12-30T11:00:00"/>
    <n v="2"/>
    <n v="2"/>
    <n v="4"/>
    <x v="0"/>
  </r>
  <r>
    <x v="329"/>
    <n v="600004173538"/>
    <n v="1"/>
    <s v="E08"/>
    <s v="EQDENOM_08"/>
    <x v="7"/>
    <s v="WM06"/>
    <s v="SECTOR_08"/>
    <s v="PLANTA_2"/>
    <s v="PRENSA"/>
    <s v="PLATO"/>
    <s v="VASTAGO"/>
    <x v="50"/>
    <x v="0"/>
    <d v="2023-10-11T00:00:00"/>
    <x v="7"/>
    <x v="1"/>
    <n v="1"/>
    <d v="1899-12-30T07:00:00"/>
    <d v="1899-12-30T08:00:00"/>
    <n v="1"/>
    <n v="1"/>
    <n v="1"/>
    <x v="0"/>
  </r>
  <r>
    <x v="328"/>
    <n v="600004173177"/>
    <n v="1"/>
    <s v="E34"/>
    <s v="EQDENOM_34"/>
    <x v="33"/>
    <s v="WM06"/>
    <s v="SECTOR_34"/>
    <s v="PLANTA_2"/>
    <s v="TRANSPORT. PINTURA"/>
    <s v="TRANSMISION"/>
    <s v="MESA"/>
    <x v="177"/>
    <x v="0"/>
    <d v="2023-10-10T00:00:00"/>
    <x v="3"/>
    <x v="0"/>
    <n v="1"/>
    <d v="1899-12-30T07:00:00"/>
    <d v="1899-12-30T08:30:00"/>
    <n v="1.5"/>
    <n v="1.5"/>
    <n v="1.5"/>
    <x v="0"/>
  </r>
  <r>
    <x v="330"/>
    <n v="600004172861"/>
    <n v="1"/>
    <s v="E100"/>
    <s v="EQDENOM_97"/>
    <x v="99"/>
    <s v="WM06"/>
    <s v="SECTOR_100"/>
    <s v="PLANTA_2"/>
    <s v="PRENSA"/>
    <s v="VAPOR"/>
    <s v="CAÑERIA"/>
    <x v="10"/>
    <x v="0"/>
    <d v="2023-10-09T00:00:00"/>
    <x v="5"/>
    <x v="1"/>
    <n v="2"/>
    <d v="1899-12-30T07:00:00"/>
    <d v="1899-12-30T10:00:00"/>
    <n v="3"/>
    <n v="3"/>
    <n v="6"/>
    <x v="3"/>
  </r>
  <r>
    <x v="331"/>
    <n v="600004175046"/>
    <n v="1"/>
    <s v="E93"/>
    <s v="EQDENOM_91"/>
    <x v="92"/>
    <s v="WM07"/>
    <s v="SECTOR_93"/>
    <s v="PLANTA_2"/>
    <s v="TRANSP. ENF TIRAS"/>
    <s v="TRANSMISION"/>
    <s v="ACCESORIOS"/>
    <x v="92"/>
    <x v="0"/>
    <d v="2023-10-17T00:00:00"/>
    <x v="5"/>
    <x v="1"/>
    <n v="3"/>
    <d v="1899-12-30T08:00:00"/>
    <d v="1899-12-30T14:30:00"/>
    <n v="6.5"/>
    <n v="6.5"/>
    <n v="19.5"/>
    <x v="3"/>
  </r>
  <r>
    <x v="332"/>
    <n v="600004172126"/>
    <n v="1"/>
    <s v="E12"/>
    <s v="EQDENOM_12"/>
    <x v="11"/>
    <s v="WM06"/>
    <s v="SECTOR_12"/>
    <s v="PLANTA_2"/>
    <s v="PRENSA"/>
    <s v="INSTALACION ELECTRICA"/>
    <s v="MESA"/>
    <x v="111"/>
    <x v="0"/>
    <d v="2023-10-04T00:00:00"/>
    <x v="3"/>
    <x v="0"/>
    <n v="1"/>
    <d v="1899-12-30T08:00:00"/>
    <d v="1899-12-30T10:00:00"/>
    <n v="2"/>
    <n v="2"/>
    <n v="2"/>
    <x v="0"/>
  </r>
  <r>
    <x v="329"/>
    <n v="600004173579"/>
    <n v="1"/>
    <s v="E31"/>
    <s v="EQDENOM_31"/>
    <x v="30"/>
    <s v="WM06"/>
    <s v="SECTOR_31"/>
    <s v="PLANTA_2"/>
    <s v="PULIDORA"/>
    <s v="TRANSMISION"/>
    <s v="ACCESORIOS"/>
    <x v="41"/>
    <x v="0"/>
    <d v="2023-10-11T00:00:00"/>
    <x v="7"/>
    <x v="1"/>
    <n v="1"/>
    <d v="1899-12-30T10:00:00"/>
    <d v="1899-12-30T11:00:00"/>
    <n v="1"/>
    <n v="1"/>
    <n v="1"/>
    <x v="0"/>
  </r>
  <r>
    <x v="333"/>
    <n v="600004175188"/>
    <n v="1"/>
    <s v="E23"/>
    <s v="EQDENOM_23"/>
    <x v="22"/>
    <s v="WM06"/>
    <s v="SECTOR_23"/>
    <s v="PLANTA_2"/>
    <s v="PRENSA"/>
    <s v="VAPOR"/>
    <s v="CAÑERIA"/>
    <x v="108"/>
    <x v="0"/>
    <d v="2023-10-18T00:00:00"/>
    <x v="4"/>
    <x v="1"/>
    <n v="3"/>
    <d v="1899-12-30T07:00:00"/>
    <d v="1899-12-30T10:30:00"/>
    <n v="3.5"/>
    <n v="3.5"/>
    <n v="10.5"/>
    <x v="3"/>
  </r>
  <r>
    <x v="334"/>
    <n v="600004178997"/>
    <n v="1"/>
    <s v="E38"/>
    <s v="EQDENOM_38"/>
    <x v="37"/>
    <s v="WM08"/>
    <s v="SECTOR_38"/>
    <s v="PLANTA_1"/>
    <s v="MOLINO"/>
    <s v="MOTOR"/>
    <s v="EJE"/>
    <x v="74"/>
    <x v="1"/>
    <d v="2023-11-03T00:00:00"/>
    <x v="2"/>
    <x v="1"/>
    <n v="2"/>
    <d v="1899-12-30T06:00:00"/>
    <d v="1899-12-30T16:00:00"/>
    <n v="10"/>
    <n v="10"/>
    <n v="20"/>
    <x v="1"/>
  </r>
  <r>
    <x v="335"/>
    <n v="600004180722"/>
    <n v="1"/>
    <s v="E20"/>
    <s v="EQDENOM_20"/>
    <x v="19"/>
    <s v="WM01"/>
    <s v="SECTOR_20"/>
    <s v="PLANTA_1"/>
    <s v="REACTOR"/>
    <s v="SEGURIDAD "/>
    <s v="ESCALERA "/>
    <x v="208"/>
    <x v="0"/>
    <d v="2023-11-08T00:00:00"/>
    <x v="1"/>
    <x v="1"/>
    <n v="2"/>
    <d v="1899-12-30T10:00:00"/>
    <d v="1899-12-30T16:00:00"/>
    <n v="6"/>
    <n v="6"/>
    <n v="12"/>
    <x v="3"/>
  </r>
  <r>
    <x v="336"/>
    <n v="600004179716"/>
    <n v="1"/>
    <s v="E36"/>
    <s v="EQDENOM_36"/>
    <x v="35"/>
    <s v="WM06"/>
    <s v="SECTOR_36"/>
    <s v="PLANTA_2"/>
    <s v="PRENSA"/>
    <s v="UNIDAD HIDRAULICA"/>
    <s v="BOMBA"/>
    <x v="142"/>
    <x v="0"/>
    <d v="2023-11-06T00:00:00"/>
    <x v="7"/>
    <x v="1"/>
    <n v="2"/>
    <d v="1899-12-30T09:00:00"/>
    <d v="1899-12-30T11:00:00"/>
    <n v="2"/>
    <n v="2"/>
    <n v="4"/>
    <x v="0"/>
  </r>
  <r>
    <x v="336"/>
    <n v="600004179828"/>
    <n v="1"/>
    <s v="E36"/>
    <s v="EQDENOM_36"/>
    <x v="35"/>
    <s v="WM06"/>
    <s v="SECTOR_36"/>
    <s v="PLANTA_2"/>
    <s v="PRENSA"/>
    <s v="UNIDAD HIDRAULICA"/>
    <s v="PLATO"/>
    <x v="14"/>
    <x v="0"/>
    <d v="2023-11-06T00:00:00"/>
    <x v="5"/>
    <x v="1"/>
    <n v="3"/>
    <d v="1899-12-30T13:30:00"/>
    <d v="1899-12-30T15:30:00"/>
    <n v="2"/>
    <n v="2"/>
    <n v="6"/>
    <x v="0"/>
  </r>
  <r>
    <x v="337"/>
    <n v="600004180976"/>
    <n v="1"/>
    <s v="E71"/>
    <s v="EQDENOM_69"/>
    <x v="70"/>
    <s v="WM08"/>
    <s v="SECTOR_71"/>
    <s v="PLANTA_1"/>
    <s v="ENVASADORA"/>
    <s v="INSTALACION ELECTRICA"/>
    <s v="TABLERO"/>
    <x v="1"/>
    <x v="0"/>
    <d v="2023-11-09T00:00:00"/>
    <x v="2"/>
    <x v="1"/>
    <n v="3"/>
    <d v="1899-12-30T06:30:00"/>
    <d v="1899-12-30T08:30:00"/>
    <n v="2"/>
    <n v="2"/>
    <n v="6"/>
    <x v="0"/>
  </r>
  <r>
    <x v="338"/>
    <n v="600004181152"/>
    <n v="1"/>
    <s v="E20"/>
    <s v="EQDENOM_20"/>
    <x v="19"/>
    <s v="WM01"/>
    <s v="SECTOR_20"/>
    <s v="PLANTA_1"/>
    <s v="REACTOR"/>
    <s v="ACCESORIOS"/>
    <s v="MANGUERA"/>
    <x v="1"/>
    <x v="0"/>
    <d v="2023-11-10T00:00:00"/>
    <x v="2"/>
    <x v="1"/>
    <n v="2"/>
    <d v="1899-12-30T10:00:00"/>
    <d v="1899-12-30T11:30:00"/>
    <n v="1.5"/>
    <n v="1.5"/>
    <n v="3"/>
    <x v="0"/>
  </r>
  <r>
    <x v="339"/>
    <n v="600004182784"/>
    <n v="1"/>
    <s v="E76"/>
    <s v="EQDENOM_74"/>
    <x v="75"/>
    <s v="WM02"/>
    <s v="SECTOR_76"/>
    <s v="PLANTA_1"/>
    <s v="MEZCLADORA"/>
    <s v="TRANSMISION"/>
    <s v="EJE"/>
    <x v="180"/>
    <x v="0"/>
    <d v="2023-11-17T00:00:00"/>
    <x v="1"/>
    <x v="1"/>
    <n v="2"/>
    <d v="1899-12-30T06:00:00"/>
    <d v="1899-12-30T13:00:00"/>
    <n v="7"/>
    <n v="7"/>
    <n v="14"/>
    <x v="3"/>
  </r>
  <r>
    <x v="339"/>
    <n v="600004182785"/>
    <n v="1"/>
    <s v="E42"/>
    <s v="EQDENOM_42"/>
    <x v="41"/>
    <s v="WM05"/>
    <s v="SECTOR_42"/>
    <s v="PLANTA_1"/>
    <s v="CARRO"/>
    <s v="SEGURIDAD "/>
    <s v="FRENO"/>
    <x v="179"/>
    <x v="0"/>
    <d v="2023-11-17T00:00:00"/>
    <x v="1"/>
    <x v="1"/>
    <n v="1"/>
    <d v="1899-12-30T13:00:00"/>
    <d v="1899-12-30T14:00:00"/>
    <n v="1"/>
    <n v="1"/>
    <n v="1"/>
    <x v="0"/>
  </r>
  <r>
    <x v="335"/>
    <n v="600004179197"/>
    <n v="1"/>
    <s v="E86"/>
    <s v="EQDENOM_84"/>
    <x v="85"/>
    <s v="WM06"/>
    <s v="SECTOR_86"/>
    <s v="PLANTA_2"/>
    <s v="ROBOT"/>
    <s v="NORIA"/>
    <s v="GRIP"/>
    <x v="31"/>
    <x v="0"/>
    <d v="2023-11-03T00:00:00"/>
    <x v="6"/>
    <x v="0"/>
    <n v="1"/>
    <d v="1899-12-30T10:00:00"/>
    <d v="1899-12-30T11:30:00"/>
    <n v="1.5"/>
    <n v="1.5"/>
    <n v="1.5"/>
    <x v="0"/>
  </r>
  <r>
    <x v="338"/>
    <n v="600004181196"/>
    <n v="1"/>
    <s v="E25"/>
    <s v="EQDENOM_25"/>
    <x v="24"/>
    <s v="WM06"/>
    <s v="SECTOR_25"/>
    <s v="PLANTA_2"/>
    <s v="PRENSA"/>
    <s v="ACCESORIOS"/>
    <s v="VAPOR"/>
    <x v="209"/>
    <x v="0"/>
    <d v="2023-11-11T00:00:00"/>
    <x v="4"/>
    <x v="1"/>
    <n v="1"/>
    <d v="1899-12-30T06:00:00"/>
    <d v="1899-12-30T08:00:00"/>
    <n v="2"/>
    <n v="2"/>
    <n v="2"/>
    <x v="0"/>
  </r>
  <r>
    <x v="340"/>
    <n v="600004181598"/>
    <n v="1"/>
    <s v="E31"/>
    <s v="EQDENOM_31"/>
    <x v="30"/>
    <s v="WM06"/>
    <s v="SECTOR_31"/>
    <s v="PLANTA_2"/>
    <s v="PULIDORA"/>
    <s v="UNIDAD NEUMATICA"/>
    <s v="PLATO "/>
    <x v="14"/>
    <x v="0"/>
    <d v="2023-11-13T00:00:00"/>
    <x v="4"/>
    <x v="1"/>
    <n v="2"/>
    <d v="1899-12-30T09:00:00"/>
    <d v="1899-12-30T10:30:00"/>
    <n v="1.5"/>
    <n v="1.5"/>
    <n v="3"/>
    <x v="0"/>
  </r>
  <r>
    <x v="341"/>
    <n v="600004182324"/>
    <n v="1"/>
    <s v="E36"/>
    <s v="EQDENOM_36"/>
    <x v="35"/>
    <s v="WM06"/>
    <s v="SECTOR_36"/>
    <s v="PLANTA_2"/>
    <s v="PRENSA"/>
    <s v="UNIDAD HIDRAULICA"/>
    <s v="PLATO"/>
    <x v="84"/>
    <x v="0"/>
    <d v="2023-11-16T00:00:00"/>
    <x v="7"/>
    <x v="1"/>
    <n v="2"/>
    <d v="1899-12-30T07:00:00"/>
    <d v="1899-12-30T09:00:00"/>
    <n v="2"/>
    <n v="2"/>
    <n v="4"/>
    <x v="0"/>
  </r>
  <r>
    <x v="342"/>
    <n v="600004183795"/>
    <n v="1"/>
    <s v="E101"/>
    <s v="EQDENOM_98"/>
    <x v="100"/>
    <s v="WM06"/>
    <s v="SECTOR_101"/>
    <s v="PLANTA_2"/>
    <s v="PRENSA"/>
    <s v="UNIDAD HIDRAULICA"/>
    <s v="ACCESORIOS"/>
    <x v="70"/>
    <x v="0"/>
    <d v="2023-11-22T00:00:00"/>
    <x v="3"/>
    <x v="0"/>
    <n v="1"/>
    <d v="1899-12-30T10:00:00"/>
    <d v="1899-12-30T12:00:00"/>
    <n v="2"/>
    <n v="2"/>
    <n v="2"/>
    <x v="0"/>
  </r>
  <r>
    <x v="336"/>
    <n v="600004179718"/>
    <n v="1"/>
    <s v="E08"/>
    <s v="EQDENOM_08"/>
    <x v="7"/>
    <s v="WM06"/>
    <s v="SECTOR_08"/>
    <s v="PLANTA_2"/>
    <s v="PRENSA"/>
    <s v="UNIDAD HIDRAULICA"/>
    <s v="PLATO"/>
    <x v="84"/>
    <x v="0"/>
    <d v="2023-11-04T00:00:00"/>
    <x v="5"/>
    <x v="1"/>
    <n v="2"/>
    <d v="1899-12-30T06:30:00"/>
    <d v="1899-12-30T08:30:00"/>
    <n v="2"/>
    <n v="2"/>
    <n v="4"/>
    <x v="0"/>
  </r>
  <r>
    <x v="342"/>
    <n v="600004183782"/>
    <n v="1"/>
    <s v="E31"/>
    <s v="EQDENOM_31"/>
    <x v="30"/>
    <s v="WM06"/>
    <s v="SECTOR_31"/>
    <s v="PLANTA_2"/>
    <s v="PULIDORA"/>
    <s v="TRANSMISION"/>
    <s v="CADENA "/>
    <x v="203"/>
    <x v="0"/>
    <d v="2023-11-22T00:00:00"/>
    <x v="5"/>
    <x v="1"/>
    <n v="3"/>
    <d v="1899-12-30T15:00:00"/>
    <d v="1899-12-30T16:00:00"/>
    <n v="1"/>
    <n v="1"/>
    <n v="3"/>
    <x v="0"/>
  </r>
  <r>
    <x v="343"/>
    <n v="600004184180"/>
    <n v="1"/>
    <s v="E82"/>
    <s v="EQDENOM_80"/>
    <x v="81"/>
    <s v="WM06"/>
    <s v="SECTOR_82"/>
    <s v="PLANTA_2"/>
    <s v="PULIDORA"/>
    <s v="MOTOR"/>
    <s v="ACCESORIOS"/>
    <x v="210"/>
    <x v="0"/>
    <d v="2023-11-24T00:00:00"/>
    <x v="5"/>
    <x v="1"/>
    <n v="2"/>
    <d v="1899-12-30T09:30:00"/>
    <d v="1899-12-30T12:00:00"/>
    <n v="2.5"/>
    <n v="2.5"/>
    <n v="5"/>
    <x v="3"/>
  </r>
  <r>
    <x v="335"/>
    <n v="600004179199"/>
    <n v="1"/>
    <s v="E102"/>
    <s v="EQDENOM_99"/>
    <x v="101"/>
    <s v="WM07"/>
    <s v="SECTOR_102"/>
    <s v="PLANTA_2"/>
    <s v="TRANSPORT.ENF TIRAS- TRAMO TRANSF."/>
    <s v="TRANSMISION"/>
    <s v="RODILLO"/>
    <x v="40"/>
    <x v="0"/>
    <d v="2023-11-03T00:00:00"/>
    <x v="5"/>
    <x v="1"/>
    <n v="3"/>
    <d v="1899-12-30T07:00:00"/>
    <d v="1899-12-30T10:00:00"/>
    <n v="3"/>
    <n v="3"/>
    <n v="9"/>
    <x v="3"/>
  </r>
  <r>
    <x v="344"/>
    <n v="600004178758"/>
    <n v="1"/>
    <s v="E67"/>
    <s v="EQDENOM_66"/>
    <x v="66"/>
    <s v="WM06"/>
    <s v="SECTOR_67"/>
    <s v="PLANTA_2"/>
    <s v="PRENSA"/>
    <s v="UNIDAD HIDRAULICA"/>
    <s v="MANOMETRO"/>
    <x v="14"/>
    <x v="0"/>
    <d v="2023-11-01T00:00:00"/>
    <x v="5"/>
    <x v="1"/>
    <n v="2"/>
    <d v="1899-12-30T09:00:00"/>
    <d v="1899-12-30T11:00:00"/>
    <n v="2"/>
    <n v="2"/>
    <n v="4"/>
    <x v="0"/>
  </r>
  <r>
    <x v="345"/>
    <n v="600004184704"/>
    <n v="1"/>
    <s v="E57"/>
    <s v="EQDENOM_56"/>
    <x v="56"/>
    <s v="WM06"/>
    <s v="SECTOR_57"/>
    <s v="PLANTA_2"/>
    <s v="PRENSA"/>
    <s v="VAPOR"/>
    <s v="MOLDE"/>
    <x v="14"/>
    <x v="0"/>
    <d v="2023-11-27T00:00:00"/>
    <x v="3"/>
    <x v="1"/>
    <n v="1"/>
    <d v="1899-12-30T08:00:00"/>
    <d v="1899-12-30T09:30:00"/>
    <n v="1.5"/>
    <n v="1.5"/>
    <n v="1.5"/>
    <x v="0"/>
  </r>
  <r>
    <x v="345"/>
    <n v="600004184700"/>
    <n v="1"/>
    <s v="E100"/>
    <s v="EQDENOM_97"/>
    <x v="99"/>
    <s v="WM06"/>
    <s v="SECTOR_100"/>
    <s v="PLANTA_2"/>
    <s v="PRENSA"/>
    <s v="VAPOR"/>
    <s v="MESA"/>
    <x v="14"/>
    <x v="0"/>
    <d v="2023-11-27T00:00:00"/>
    <x v="5"/>
    <x v="1"/>
    <n v="2"/>
    <d v="1899-12-30T15:00:00"/>
    <d v="1899-12-30T16:30:00"/>
    <n v="1.5"/>
    <n v="1.5"/>
    <n v="3"/>
    <x v="0"/>
  </r>
  <r>
    <x v="346"/>
    <n v="600004186932"/>
    <n v="1"/>
    <s v="E20"/>
    <s v="EQDENOM_20"/>
    <x v="19"/>
    <s v="WM01"/>
    <s v="SECTOR_20"/>
    <s v="PLANTA_1"/>
    <s v="REACTOR"/>
    <s v="VAPOR"/>
    <s v="EXTRACTOR"/>
    <x v="14"/>
    <x v="0"/>
    <d v="2023-12-05T00:00:00"/>
    <x v="2"/>
    <x v="1"/>
    <n v="2"/>
    <d v="1899-12-30T14:00:00"/>
    <d v="1899-12-30T16:00:00"/>
    <n v="1"/>
    <n v="1"/>
    <n v="2"/>
    <x v="0"/>
  </r>
  <r>
    <x v="347"/>
    <n v="600004185977"/>
    <n v="1"/>
    <s v="E100"/>
    <s v="EQDENOM_97"/>
    <x v="99"/>
    <s v="WM06"/>
    <s v="SECTOR_100"/>
    <s v="PLANTA_2"/>
    <s v="PRENSA"/>
    <s v="VAPOR"/>
    <s v="SUMINISTRO"/>
    <x v="63"/>
    <x v="0"/>
    <d v="2023-12-01T00:00:00"/>
    <x v="7"/>
    <x v="1"/>
    <n v="2"/>
    <d v="1899-12-30T12:30:00"/>
    <d v="1899-12-30T14:30:00"/>
    <n v="2"/>
    <n v="2"/>
    <n v="4"/>
    <x v="0"/>
  </r>
  <r>
    <x v="348"/>
    <n v="600004186446"/>
    <n v="1"/>
    <s v="E88"/>
    <s v="EQDENOM_86"/>
    <x v="87"/>
    <s v="WM06"/>
    <s v="SECTOR_88"/>
    <s v="PLANTA_2"/>
    <s v="CABINA DE ENFRIAMIENTO"/>
    <s v="TRANSMISION"/>
    <s v="VENTILADOR"/>
    <x v="3"/>
    <x v="1"/>
    <d v="2023-12-04T00:00:00"/>
    <x v="7"/>
    <x v="1"/>
    <n v="2"/>
    <d v="1899-12-30T14:30:00"/>
    <d v="1899-12-30T16:00:00"/>
    <n v="1.5"/>
    <n v="1.5"/>
    <n v="3"/>
    <x v="0"/>
  </r>
  <r>
    <x v="348"/>
    <n v="600004186541"/>
    <n v="1"/>
    <s v="E88"/>
    <s v="EQDENOM_86"/>
    <x v="87"/>
    <s v="WM06"/>
    <s v="SECTOR_88"/>
    <s v="PLANTA_2"/>
    <s v="CABINA DE ENFRIAMIENTO"/>
    <s v="INSTALACION ELECTRICA"/>
    <s v="SENSOR"/>
    <x v="211"/>
    <x v="0"/>
    <d v="2023-12-04T00:00:00"/>
    <x v="7"/>
    <x v="0"/>
    <n v="2"/>
    <d v="1899-12-30T07:00:00"/>
    <d v="1899-12-30T09:00:00"/>
    <n v="2"/>
    <n v="2"/>
    <n v="4"/>
    <x v="0"/>
  </r>
  <r>
    <x v="348"/>
    <n v="600004186540"/>
    <n v="1"/>
    <s v="E44"/>
    <s v="EQDENOM_44"/>
    <x v="43"/>
    <s v="WM06"/>
    <s v="SECTOR_44"/>
    <s v="PLANTA_2"/>
    <s v="CABINA DE PINTADO"/>
    <s v="ACCESORIOS"/>
    <s v="VENTANA"/>
    <x v="34"/>
    <x v="0"/>
    <d v="2023-12-04T00:00:00"/>
    <x v="7"/>
    <x v="1"/>
    <n v="2"/>
    <d v="1899-12-30T09:30:00"/>
    <d v="1899-12-30T11:30:00"/>
    <n v="2"/>
    <n v="2"/>
    <n v="4"/>
    <x v="0"/>
  </r>
  <r>
    <x v="348"/>
    <n v="600004186539"/>
    <n v="1"/>
    <s v="E13"/>
    <s v="EQDENOM_13"/>
    <x v="12"/>
    <s v="WM06"/>
    <s v="SECTOR_13"/>
    <s v="PLANTA_2"/>
    <s v="PRENSA"/>
    <s v="ACCESORIOS"/>
    <s v="CONFIGURACION "/>
    <x v="95"/>
    <x v="0"/>
    <d v="2023-12-04T00:00:00"/>
    <x v="7"/>
    <x v="1"/>
    <n v="2"/>
    <d v="1899-12-30T12:30:00"/>
    <d v="1899-12-30T14:30:00"/>
    <n v="2"/>
    <n v="2"/>
    <n v="4"/>
    <x v="0"/>
  </r>
  <r>
    <x v="349"/>
    <n v="600004187297"/>
    <n v="1"/>
    <s v="E44"/>
    <s v="EQDENOM_44"/>
    <x v="43"/>
    <s v="WM06"/>
    <s v="SECTOR_44"/>
    <s v="PLANTA_2"/>
    <s v="CABINA DE PINTADO"/>
    <s v="CABINA"/>
    <s v="PUERTA"/>
    <x v="184"/>
    <x v="0"/>
    <d v="2023-12-06T00:00:00"/>
    <x v="7"/>
    <x v="1"/>
    <n v="2"/>
    <d v="1899-12-30T14:00:00"/>
    <d v="1899-12-30T16:00:00"/>
    <n v="2"/>
    <n v="2"/>
    <n v="4"/>
    <x v="0"/>
  </r>
  <r>
    <x v="349"/>
    <n v="600004187286"/>
    <n v="1"/>
    <s v="E34"/>
    <s v="EQDENOM_34"/>
    <x v="33"/>
    <s v="WM06"/>
    <s v="SECTOR_34"/>
    <s v="PLANTA_2"/>
    <s v="TRANSPORT. PINTURA"/>
    <s v="ACCESORIOS"/>
    <s v="CARRO"/>
    <x v="212"/>
    <x v="0"/>
    <d v="2023-12-06T00:00:00"/>
    <x v="7"/>
    <x v="1"/>
    <n v="2"/>
    <d v="1899-12-30T12:00:00"/>
    <d v="1899-12-30T14:00:00"/>
    <n v="2"/>
    <n v="2"/>
    <n v="4"/>
    <x v="0"/>
  </r>
  <r>
    <x v="349"/>
    <n v="600004187296"/>
    <n v="1"/>
    <s v="E51"/>
    <s v="EQDENOM_51"/>
    <x v="50"/>
    <s v="WM06"/>
    <s v="SECTOR_51"/>
    <s v="PLANTA_2"/>
    <s v="PRENSA"/>
    <s v="UNIDAD HIDRAULICA"/>
    <s v="PISTON"/>
    <x v="74"/>
    <x v="0"/>
    <d v="2023-12-07T00:00:00"/>
    <x v="5"/>
    <x v="1"/>
    <n v="2"/>
    <d v="1899-12-30T07:30:00"/>
    <d v="1899-12-30T10:00:00"/>
    <n v="2.5"/>
    <n v="2.5"/>
    <n v="5"/>
    <x v="3"/>
  </r>
  <r>
    <x v="349"/>
    <n v="600004187315"/>
    <n v="1"/>
    <s v="E82"/>
    <s v="EQDENOM_80"/>
    <x v="81"/>
    <s v="WM06"/>
    <s v="SECTOR_82"/>
    <s v="PLANTA_2"/>
    <s v="PULIDORA"/>
    <s v="ACCESORIOS"/>
    <s v="PULIDORA"/>
    <x v="213"/>
    <x v="1"/>
    <d v="2023-12-07T00:00:00"/>
    <x v="7"/>
    <x v="1"/>
    <n v="2"/>
    <d v="1899-12-30T10:30:00"/>
    <d v="1899-12-30T12:00:00"/>
    <n v="1.5"/>
    <n v="1.5"/>
    <n v="3"/>
    <x v="0"/>
  </r>
  <r>
    <x v="350"/>
    <n v="600004188722"/>
    <n v="1"/>
    <s v="E86"/>
    <s v="EQDENOM_84"/>
    <x v="85"/>
    <s v="WM06"/>
    <s v="SECTOR_86"/>
    <s v="PLANTA_2"/>
    <s v="ROBOT"/>
    <s v="INSTALACION ELECTRICA"/>
    <s v="ACCESORIOS"/>
    <x v="31"/>
    <x v="1"/>
    <d v="2023-12-12T00:00:00"/>
    <x v="4"/>
    <x v="0"/>
    <n v="2"/>
    <d v="1899-12-30T07:00:00"/>
    <d v="1899-12-30T09:30:00"/>
    <n v="2.5"/>
    <n v="2.5"/>
    <n v="5"/>
    <x v="3"/>
  </r>
  <r>
    <x v="351"/>
    <n v="600004180248"/>
    <n v="1"/>
    <s v="E05"/>
    <s v="EQDENOM_05"/>
    <x v="4"/>
    <s v="WM01"/>
    <s v="SECTOR_05"/>
    <s v="PLANTA_2"/>
    <s v="SECADOR"/>
    <s v="ACCESORIOS"/>
    <s v="VALVULA"/>
    <x v="210"/>
    <x v="1"/>
    <d v="2023-12-19T00:00:00"/>
    <x v="1"/>
    <x v="1"/>
    <n v="1"/>
    <d v="1899-12-30T10:00:00"/>
    <d v="1899-12-30T11:30:00"/>
    <n v="1.5"/>
    <n v="1.5"/>
    <n v="1.5"/>
    <x v="0"/>
  </r>
  <r>
    <x v="351"/>
    <n v="600004190285"/>
    <n v="1"/>
    <s v="E65"/>
    <s v="EQDENOM_64"/>
    <x v="64"/>
    <s v="WM02"/>
    <s v="SECTOR_65"/>
    <s v="PLANTA_1"/>
    <s v="DISPERSORA"/>
    <s v="INSTALACION ELECTRICA"/>
    <s v="ACCESORIOS"/>
    <x v="214"/>
    <x v="0"/>
    <d v="2023-12-19T00:00:00"/>
    <x v="1"/>
    <x v="0"/>
    <n v="1"/>
    <d v="1899-12-30T13:00:00"/>
    <d v="1899-12-30T16:00:00"/>
    <n v="3"/>
    <n v="3"/>
    <n v="3"/>
    <x v="3"/>
  </r>
  <r>
    <x v="352"/>
    <n v="600004193203"/>
    <n v="1"/>
    <s v="E88"/>
    <s v="EQDENOM_86"/>
    <x v="87"/>
    <s v="WM06"/>
    <s v="SECTOR_88"/>
    <s v="PLANTA_2"/>
    <s v="CABINA DE ENFRIAMIENTO"/>
    <s v="ENFRIADOR"/>
    <s v="PUERTA"/>
    <x v="34"/>
    <x v="1"/>
    <d v="2024-01-04T00:00:00"/>
    <x v="5"/>
    <x v="1"/>
    <n v="2"/>
    <d v="1899-12-30T07:00:00"/>
    <d v="1899-12-30T08:30:00"/>
    <n v="1.5"/>
    <n v="1.5"/>
    <n v="3"/>
    <x v="0"/>
  </r>
  <r>
    <x v="352"/>
    <n v="600004193990"/>
    <n v="1"/>
    <s v="E25"/>
    <s v="EQDENOM_25"/>
    <x v="24"/>
    <s v="WM06"/>
    <s v="SECTOR_25"/>
    <s v="PLANTA_2"/>
    <s v="PRENSA"/>
    <s v="INSTALACION ELECTRICA"/>
    <s v="ILUMINACION"/>
    <x v="80"/>
    <x v="0"/>
    <d v="2024-01-04T00:00:00"/>
    <x v="6"/>
    <x v="0"/>
    <n v="1"/>
    <d v="1899-12-30T07:00:00"/>
    <d v="1899-12-30T09:00:00"/>
    <n v="2"/>
    <n v="0"/>
    <n v="2"/>
    <x v="2"/>
  </r>
  <r>
    <x v="352"/>
    <n v="600004194074"/>
    <n v="1"/>
    <s v="E44"/>
    <s v="EQDENOM_44"/>
    <x v="43"/>
    <s v="WM06"/>
    <s v="SECTOR_44"/>
    <s v="PLANTA_2"/>
    <s v="CABINA DE PINTADO"/>
    <s v="ACCESORIOS"/>
    <s v="CABINA"/>
    <x v="76"/>
    <x v="0"/>
    <d v="2024-01-04T00:00:00"/>
    <x v="5"/>
    <x v="1"/>
    <n v="1"/>
    <d v="1899-12-30T09:00:00"/>
    <d v="1899-12-30T10:00:00"/>
    <n v="1"/>
    <n v="1"/>
    <n v="1"/>
    <x v="0"/>
  </r>
  <r>
    <x v="353"/>
    <n v="600004194363"/>
    <n v="1"/>
    <s v="E44"/>
    <s v="EQDENOM_44"/>
    <x v="43"/>
    <s v="WM06"/>
    <s v="SECTOR_44"/>
    <s v="PLANTA_2"/>
    <s v="CABINA DE PINTADO"/>
    <s v="ACCESORIOS"/>
    <s v="VENTANA"/>
    <x v="55"/>
    <x v="0"/>
    <d v="2024-01-05T00:00:00"/>
    <x v="5"/>
    <x v="1"/>
    <n v="2"/>
    <d v="1899-12-30T09:00:00"/>
    <d v="1899-12-30T10:00:00"/>
    <n v="1"/>
    <n v="1"/>
    <n v="2"/>
    <x v="0"/>
  </r>
  <r>
    <x v="354"/>
    <n v="600004195547"/>
    <n v="1"/>
    <s v="E24"/>
    <s v="EQDENOM_24"/>
    <x v="23"/>
    <s v="WM06"/>
    <s v="SECTOR_24"/>
    <s v="PLANTA_2"/>
    <s v="PRENSA"/>
    <s v="VAPOR"/>
    <s v="SUMINISTRO"/>
    <x v="11"/>
    <x v="1"/>
    <d v="2024-01-11T00:00:00"/>
    <x v="7"/>
    <x v="1"/>
    <n v="2"/>
    <d v="1899-12-30T07:00:00"/>
    <d v="1899-12-30T09:00:00"/>
    <n v="2"/>
    <n v="2"/>
    <n v="4"/>
    <x v="0"/>
  </r>
  <r>
    <x v="355"/>
    <n v="600004196227"/>
    <n v="1"/>
    <s v="E19"/>
    <s v="EQDENOM_19"/>
    <x v="18"/>
    <s v="WM06"/>
    <s v="SECTOR_19"/>
    <s v="PLANTA_2"/>
    <s v="PRENSA"/>
    <s v="VAPOR "/>
    <s v="ACCESORIOS"/>
    <x v="8"/>
    <x v="1"/>
    <d v="2024-01-11T00:00:00"/>
    <x v="7"/>
    <x v="1"/>
    <n v="2"/>
    <d v="1899-12-30T14:00:00"/>
    <d v="1899-12-30T15:00:00"/>
    <n v="1"/>
    <n v="1"/>
    <n v="2"/>
    <x v="0"/>
  </r>
  <r>
    <x v="356"/>
    <n v="600004195821"/>
    <n v="1"/>
    <s v="E24"/>
    <s v="EQDENOM_24"/>
    <x v="23"/>
    <s v="WM06"/>
    <s v="SECTOR_24"/>
    <s v="PLANTA_2"/>
    <s v="PRENSA"/>
    <s v="INSTALACION ELECTRICA"/>
    <s v="PRESION"/>
    <x v="111"/>
    <x v="0"/>
    <d v="2024-01-10T00:00:00"/>
    <x v="3"/>
    <x v="0"/>
    <n v="1"/>
    <d v="1899-12-30T07:00:00"/>
    <d v="1899-12-30T08:30:00"/>
    <n v="1.5"/>
    <n v="1.5"/>
    <n v="1.5"/>
    <x v="0"/>
  </r>
  <r>
    <x v="355"/>
    <n v="600004196174"/>
    <n v="1"/>
    <s v="E101"/>
    <s v="EQDENOM_98"/>
    <x v="100"/>
    <s v="WM06"/>
    <s v="SECTOR_101"/>
    <s v="PLANTA_2"/>
    <s v="PRENSA"/>
    <s v="INSTALACION ELECTRICA"/>
    <s v="MESA"/>
    <x v="215"/>
    <x v="0"/>
    <d v="2024-01-11T00:00:00"/>
    <x v="3"/>
    <x v="0"/>
    <n v="1"/>
    <d v="1899-12-30T10:00:00"/>
    <d v="1899-12-30T15:00:00"/>
    <n v="5"/>
    <n v="5"/>
    <n v="5"/>
    <x v="3"/>
  </r>
  <r>
    <x v="353"/>
    <n v="600004194339"/>
    <n v="1"/>
    <s v="E82"/>
    <s v="EQDENOM_80"/>
    <x v="81"/>
    <s v="WM06"/>
    <s v="SECTOR_82"/>
    <s v="PLANTA_2"/>
    <s v="PULIDORA"/>
    <s v="UNIDAD NEUMATICA"/>
    <s v="ACCESORIOS"/>
    <x v="11"/>
    <x v="0"/>
    <d v="2024-01-05T00:00:00"/>
    <x v="7"/>
    <x v="1"/>
    <n v="2"/>
    <d v="1899-12-30T07:00:00"/>
    <d v="1899-12-30T09:00:00"/>
    <n v="2"/>
    <n v="2"/>
    <n v="4"/>
    <x v="0"/>
  </r>
  <r>
    <x v="357"/>
    <n v="600004195008"/>
    <n v="1"/>
    <s v="E48"/>
    <s v="EQDENOM_48"/>
    <x v="47"/>
    <s v="WM06"/>
    <s v="SECTOR_48"/>
    <s v="PLANTA_1"/>
    <s v="PRENSA"/>
    <s v="UNIDAD HIDRAULICA"/>
    <s v="VALVULA"/>
    <x v="215"/>
    <x v="0"/>
    <d v="2024-01-08T00:00:00"/>
    <x v="3"/>
    <x v="0"/>
    <n v="1"/>
    <d v="1899-12-30T07:30:00"/>
    <d v="1899-12-30T12:00:00"/>
    <n v="4.5"/>
    <n v="4.5"/>
    <n v="4.5"/>
    <x v="3"/>
  </r>
  <r>
    <x v="354"/>
    <n v="600004195546"/>
    <n v="1"/>
    <s v="E18"/>
    <s v="EQDENOM_18"/>
    <x v="17"/>
    <s v="WM06"/>
    <s v="SECTOR_18"/>
    <s v="PLANTA_2"/>
    <s v="PRENSA"/>
    <s v="ACCESORIOS"/>
    <s v="MESA"/>
    <x v="52"/>
    <x v="0"/>
    <d v="2024-01-09T00:00:00"/>
    <x v="4"/>
    <x v="1"/>
    <n v="1"/>
    <d v="1899-12-30T14:00:00"/>
    <d v="1899-12-30T15:00:00"/>
    <n v="1"/>
    <n v="1"/>
    <n v="1"/>
    <x v="0"/>
  </r>
  <r>
    <x v="358"/>
    <n v="600004196601"/>
    <n v="1"/>
    <s v="E71"/>
    <s v="EQDENOM_69"/>
    <x v="70"/>
    <s v="WM08"/>
    <s v="SECTOR_71"/>
    <s v="PLANTA_1"/>
    <s v="ENVASADORA"/>
    <s v="ACCESORIOS"/>
    <s v="DESCARGA"/>
    <x v="14"/>
    <x v="0"/>
    <d v="2024-01-12T00:00:00"/>
    <x v="1"/>
    <x v="1"/>
    <n v="1"/>
    <d v="1899-12-30T10:00:00"/>
    <d v="1899-12-30T11:30:00"/>
    <n v="1.5"/>
    <n v="1.5"/>
    <n v="1.5"/>
    <x v="0"/>
  </r>
  <r>
    <x v="359"/>
    <n v="600004203678"/>
    <n v="1"/>
    <s v="E44"/>
    <s v="EQDENOM_44"/>
    <x v="43"/>
    <s v="WM06"/>
    <s v="SECTOR_44"/>
    <s v="PLANTA_2"/>
    <s v="CABINA DE PINTADO"/>
    <s v="ACCESORIOS"/>
    <s v="CABINA"/>
    <x v="216"/>
    <x v="0"/>
    <d v="2024-02-13T00:00:00"/>
    <x v="9"/>
    <x v="1"/>
    <n v="1"/>
    <d v="1899-12-30T06:00:00"/>
    <d v="1899-12-30T15:00:00"/>
    <n v="9"/>
    <n v="9"/>
    <n v="9"/>
    <x v="1"/>
  </r>
  <r>
    <x v="359"/>
    <n v="600004203682"/>
    <n v="1"/>
    <s v="E82"/>
    <s v="EQDENOM_80"/>
    <x v="81"/>
    <s v="WM06"/>
    <s v="SECTOR_82"/>
    <s v="PLANTA_2"/>
    <s v="PULIDORA"/>
    <s v="TRANSMISION"/>
    <s v="CADENA"/>
    <x v="203"/>
    <x v="1"/>
    <d v="2024-02-15T00:00:00"/>
    <x v="9"/>
    <x v="1"/>
    <n v="1"/>
    <d v="1899-12-30T06:00:00"/>
    <d v="1899-12-30T15:00:00"/>
    <n v="9"/>
    <n v="9"/>
    <n v="9"/>
    <x v="1"/>
  </r>
  <r>
    <x v="360"/>
    <n v="600004201404"/>
    <n v="1"/>
    <s v="E56"/>
    <s v="EQDENOM_47"/>
    <x v="55"/>
    <s v="WM06"/>
    <s v="SECTOR_56"/>
    <s v="PLANTA_2"/>
    <s v="CALDERA"/>
    <s v="ACCESORIOS"/>
    <s v="NIVEL"/>
    <x v="173"/>
    <x v="1"/>
    <d v="2024-02-01T00:00:00"/>
    <x v="2"/>
    <x v="1"/>
    <n v="2"/>
    <d v="1899-12-30T07:00:00"/>
    <d v="1899-12-30T09:00:00"/>
    <n v="2"/>
    <n v="2"/>
    <n v="4"/>
    <x v="0"/>
  </r>
  <r>
    <x v="360"/>
    <n v="600004201414"/>
    <n v="1"/>
    <s v="E89"/>
    <s v="EQDENOM_87"/>
    <x v="88"/>
    <s v="WM07"/>
    <s v="SECTOR_89"/>
    <s v="PLANTA_2"/>
    <s v="EQUIPO DE FRIO"/>
    <s v="ACCESORIOS"/>
    <s v="FLUIDOS"/>
    <x v="217"/>
    <x v="1"/>
    <d v="2024-02-01T00:00:00"/>
    <x v="8"/>
    <x v="1"/>
    <n v="1"/>
    <d v="1899-12-30T15:00:00"/>
    <d v="1899-12-30T16:00:00"/>
    <n v="1"/>
    <n v="1"/>
    <n v="1"/>
    <x v="0"/>
  </r>
  <r>
    <x v="359"/>
    <n v="600004203660"/>
    <n v="1"/>
    <s v="E88"/>
    <s v="EQDENOM_86"/>
    <x v="87"/>
    <s v="WM06"/>
    <s v="SECTOR_88"/>
    <s v="PLANTA_2"/>
    <s v="CABINA DE ENFRIAMIENTO"/>
    <s v="ACCESORIOS"/>
    <s v="PUERTA"/>
    <x v="34"/>
    <x v="0"/>
    <d v="2024-02-13T00:00:00"/>
    <x v="2"/>
    <x v="1"/>
    <n v="1"/>
    <d v="1899-12-30T12:30:00"/>
    <d v="1899-12-30T13:30:00"/>
    <n v="1"/>
    <n v="1"/>
    <n v="1"/>
    <x v="0"/>
  </r>
  <r>
    <x v="361"/>
    <n v="600004203107"/>
    <n v="1"/>
    <s v="E56"/>
    <s v="EQDENOM_47"/>
    <x v="55"/>
    <s v="WM06"/>
    <s v="SECTOR_56"/>
    <s v="PLANTA_2"/>
    <s v="CALDERA"/>
    <s v="SEGURIDAD "/>
    <s v="VALVULA"/>
    <x v="166"/>
    <x v="0"/>
    <d v="2024-02-10T00:00:00"/>
    <x v="7"/>
    <x v="1"/>
    <n v="2"/>
    <d v="1899-12-30T08:30:00"/>
    <d v="1899-12-30T10:00:00"/>
    <n v="1.5"/>
    <n v="1.5"/>
    <n v="3"/>
    <x v="0"/>
  </r>
  <r>
    <x v="359"/>
    <n v="600004203654"/>
    <n v="1"/>
    <s v="E97"/>
    <s v="EQDENOM_95"/>
    <x v="96"/>
    <s v="WM07"/>
    <s v="SECTOR_97"/>
    <s v="PLANTA_2"/>
    <s v="EXTRUSORA"/>
    <s v="UNIDAD NEUMATICA"/>
    <s v="ACCESORIOS"/>
    <x v="14"/>
    <x v="0"/>
    <d v="2024-02-13T00:00:00"/>
    <x v="6"/>
    <x v="1"/>
    <n v="2"/>
    <d v="1899-12-30T09:00:00"/>
    <d v="1899-12-30T11:00:00"/>
    <n v="2"/>
    <n v="2"/>
    <n v="4"/>
    <x v="0"/>
  </r>
  <r>
    <x v="362"/>
    <n v="600004204384"/>
    <n v="1"/>
    <s v="E54"/>
    <s v="EQDENOM_54"/>
    <x v="53"/>
    <s v="WM07"/>
    <s v="SECTOR_54"/>
    <s v="PLANTA_2"/>
    <s v="CORTADORA"/>
    <s v="ACCESORIOS"/>
    <s v="MORDAZA"/>
    <x v="55"/>
    <x v="0"/>
    <d v="2024-02-17T00:00:00"/>
    <x v="7"/>
    <x v="1"/>
    <n v="1"/>
    <d v="1899-12-30T07:00:00"/>
    <d v="1899-12-30T09:00:00"/>
    <n v="2"/>
    <n v="2"/>
    <n v="2"/>
    <x v="0"/>
  </r>
  <r>
    <x v="363"/>
    <n v="600004202888"/>
    <n v="1"/>
    <s v="E25"/>
    <s v="EQDENOM_25"/>
    <x v="24"/>
    <s v="WM06"/>
    <s v="SECTOR_25"/>
    <s v="PLANTA_2"/>
    <s v="PRENSA"/>
    <s v="ACCESORIOS"/>
    <s v="SEGURIDAD "/>
    <x v="218"/>
    <x v="0"/>
    <d v="2024-02-09T00:00:00"/>
    <x v="7"/>
    <x v="1"/>
    <n v="2"/>
    <d v="1899-12-30T06:00:00"/>
    <d v="1899-12-30T14:00:00"/>
    <n v="8"/>
    <n v="8"/>
    <n v="16"/>
    <x v="3"/>
  </r>
  <r>
    <x v="364"/>
    <n v="600004203960"/>
    <n v="1"/>
    <s v="E66"/>
    <s v="EQDENOM_65"/>
    <x v="65"/>
    <s v="WM06"/>
    <s v="SECTOR_66"/>
    <s v="PLANTA_2"/>
    <s v="HORNO"/>
    <s v="ACCESORIOS"/>
    <s v="CORTE"/>
    <x v="219"/>
    <x v="0"/>
    <d v="2024-02-15T00:00:00"/>
    <x v="3"/>
    <x v="0"/>
    <n v="1"/>
    <d v="1899-12-30T11:00:00"/>
    <d v="1899-12-30T13:00:00"/>
    <n v="2"/>
    <n v="2"/>
    <n v="2"/>
    <x v="0"/>
  </r>
  <r>
    <x v="365"/>
    <n v="600004208610"/>
    <n v="1"/>
    <s v="E20"/>
    <s v="EQDENOM_20"/>
    <x v="19"/>
    <s v="WM01"/>
    <s v="SECTOR_20"/>
    <s v="PLANTA_1"/>
    <s v="REACTOR"/>
    <s v="TRANSMISION"/>
    <s v="TRASVASE"/>
    <x v="37"/>
    <x v="0"/>
    <d v="2024-03-05T00:00:00"/>
    <x v="2"/>
    <x v="1"/>
    <n v="2"/>
    <d v="1899-12-30T07:00:00"/>
    <d v="1899-12-30T11:30:00"/>
    <n v="4.5"/>
    <n v="4.5"/>
    <n v="9"/>
    <x v="3"/>
  </r>
  <r>
    <x v="366"/>
    <n v="600004209509"/>
    <n v="1"/>
    <s v="E64"/>
    <s v="EQDENOM_63"/>
    <x v="63"/>
    <s v="WM06"/>
    <s v="SECTOR_64"/>
    <s v="PLANTA_2"/>
    <s v="PRENSA"/>
    <s v="UNIDAD HIDRAULICA"/>
    <s v="PRESION"/>
    <x v="190"/>
    <x v="0"/>
    <d v="2024-03-07T00:00:00"/>
    <x v="7"/>
    <x v="1"/>
    <n v="2"/>
    <d v="1899-12-30T15:00:00"/>
    <d v="1899-12-30T16:00:00"/>
    <n v="1"/>
    <n v="1"/>
    <n v="2"/>
    <x v="0"/>
  </r>
  <r>
    <x v="367"/>
    <n v="600004209656"/>
    <n v="1"/>
    <s v="E56"/>
    <s v="EQDENOM_47"/>
    <x v="55"/>
    <s v="WM06"/>
    <s v="SECTOR_56"/>
    <s v="PLANTA_2"/>
    <s v="CALDERA"/>
    <s v="VAPOR"/>
    <s v="ACCESORIOS"/>
    <x v="10"/>
    <x v="0"/>
    <d v="2024-03-08T00:00:00"/>
    <x v="7"/>
    <x v="1"/>
    <n v="1"/>
    <d v="1899-12-30T07:00:00"/>
    <d v="1899-12-30T09:00:00"/>
    <n v="2"/>
    <n v="2"/>
    <n v="2"/>
    <x v="0"/>
  </r>
  <r>
    <x v="366"/>
    <n v="600004209472"/>
    <n v="1"/>
    <s v="E76"/>
    <s v="EQDENOM_74"/>
    <x v="75"/>
    <s v="WM02"/>
    <s v="SECTOR_76"/>
    <s v="PLANTA_1"/>
    <s v="MEZCLADORA"/>
    <s v="ACCESORIOS"/>
    <s v="PALETA "/>
    <x v="180"/>
    <x v="0"/>
    <d v="2024-03-07T00:00:00"/>
    <x v="2"/>
    <x v="1"/>
    <n v="2"/>
    <d v="1899-12-30T08:00:00"/>
    <d v="1899-12-30T10:00:00"/>
    <n v="2"/>
    <n v="2"/>
    <n v="4"/>
    <x v="0"/>
  </r>
  <r>
    <x v="368"/>
    <n v="600004208926"/>
    <n v="1"/>
    <s v="E100"/>
    <s v="EQDENOM_97"/>
    <x v="99"/>
    <s v="WM06"/>
    <s v="SECTOR_100"/>
    <s v="PLANTA_2"/>
    <s v="PRENSA"/>
    <s v="VAPOR"/>
    <s v="CAÑERIA"/>
    <x v="32"/>
    <x v="0"/>
    <d v="2024-03-05T00:00:00"/>
    <x v="7"/>
    <x v="1"/>
    <n v="2"/>
    <d v="1899-12-30T07:00:00"/>
    <d v="1899-12-30T09:30:00"/>
    <n v="2.5"/>
    <n v="2.5"/>
    <n v="5"/>
    <x v="3"/>
  </r>
  <r>
    <x v="365"/>
    <n v="600004208716"/>
    <n v="1"/>
    <s v="E13"/>
    <s v="EQDENOM_13"/>
    <x v="12"/>
    <s v="WM06"/>
    <s v="SECTOR_13"/>
    <s v="PLANTA_2"/>
    <s v="PRENSA"/>
    <s v="UNIDAD NEUMATICA"/>
    <s v="ACCESORIOS"/>
    <x v="14"/>
    <x v="1"/>
    <d v="2024-03-04T00:00:00"/>
    <x v="7"/>
    <x v="1"/>
    <n v="2"/>
    <d v="1899-12-30T07:00:00"/>
    <d v="1899-12-30T08:00:00"/>
    <n v="1"/>
    <n v="1"/>
    <n v="2"/>
    <x v="0"/>
  </r>
  <r>
    <x v="369"/>
    <n v="600004209301"/>
    <n v="1"/>
    <s v="E08"/>
    <s v="EQDENOM_08"/>
    <x v="7"/>
    <s v="WM06"/>
    <s v="SECTOR_08"/>
    <s v="PLANTA_2"/>
    <s v="PRENSA"/>
    <s v="PLATO"/>
    <s v="CILINDRO"/>
    <x v="14"/>
    <x v="0"/>
    <d v="2024-03-07T00:00:00"/>
    <x v="7"/>
    <x v="1"/>
    <n v="4"/>
    <d v="1899-12-30T14:00:00"/>
    <d v="1899-12-30T16:00:00"/>
    <n v="2"/>
    <n v="2"/>
    <n v="8"/>
    <x v="0"/>
  </r>
  <r>
    <x v="369"/>
    <n v="600004209178"/>
    <n v="1"/>
    <s v="E34"/>
    <s v="EQDENOM_34"/>
    <x v="33"/>
    <s v="WM06"/>
    <s v="SECTOR_34"/>
    <s v="PLANTA_2"/>
    <s v="TRANSPORT. PINTURA"/>
    <s v="UNIDAD NEUMATICA"/>
    <s v="ACCESORIOS"/>
    <x v="11"/>
    <x v="0"/>
    <d v="2024-03-06T00:00:00"/>
    <x v="3"/>
    <x v="1"/>
    <n v="1"/>
    <d v="1899-12-30T07:00:00"/>
    <d v="1899-12-30T12:00:00"/>
    <n v="5"/>
    <n v="5"/>
    <n v="5"/>
    <x v="3"/>
  </r>
  <r>
    <x v="368"/>
    <n v="600004209009"/>
    <n v="1"/>
    <s v="E100"/>
    <s v="EQDENOM_97"/>
    <x v="99"/>
    <s v="WM06"/>
    <s v="SECTOR_100"/>
    <s v="PLANTA_2"/>
    <s v="PRENSA"/>
    <s v="INSTALACION ELECTRICA"/>
    <s v="ACCESORIOS"/>
    <x v="89"/>
    <x v="0"/>
    <d v="2024-03-05T00:00:00"/>
    <x v="6"/>
    <x v="0"/>
    <n v="1"/>
    <d v="1899-12-30T13:00:00"/>
    <d v="1899-12-30T15:00:00"/>
    <n v="2"/>
    <n v="2"/>
    <n v="2"/>
    <x v="0"/>
  </r>
  <r>
    <x v="365"/>
    <n v="600004208545"/>
    <n v="1"/>
    <s v="E02"/>
    <s v="EQDENOM_02"/>
    <x v="1"/>
    <s v="WM02"/>
    <s v="SECTOR_02"/>
    <s v="PLANTA_1"/>
    <s v="MEZCLADORA"/>
    <s v="INSTALACION ELECTRICA"/>
    <s v="ACCESORIOS"/>
    <x v="78"/>
    <x v="0"/>
    <d v="2024-03-04T00:00:00"/>
    <x v="6"/>
    <x v="0"/>
    <n v="1"/>
    <d v="1899-12-30T10:00:00"/>
    <d v="1899-12-30T12:00:00"/>
    <n v="2"/>
    <n v="2"/>
    <n v="2"/>
    <x v="0"/>
  </r>
  <r>
    <x v="370"/>
    <n v="600004218031"/>
    <n v="1"/>
    <s v="E85"/>
    <s v="EQDENOM_83"/>
    <x v="84"/>
    <s v="WM06"/>
    <s v="SECTOR_85"/>
    <s v="PLANTA_2"/>
    <s v="ASPIRADOR"/>
    <s v="TOLVA"/>
    <s v="CAÑERIA"/>
    <x v="220"/>
    <x v="1"/>
    <d v="2024-04-10T00:00:00"/>
    <x v="1"/>
    <x v="1"/>
    <n v="2"/>
    <d v="1899-12-30T11:00:00"/>
    <d v="1899-12-30T16:00:00"/>
    <n v="5"/>
    <n v="5"/>
    <n v="10"/>
    <x v="3"/>
  </r>
  <r>
    <x v="371"/>
    <n v="600004219109"/>
    <n v="1"/>
    <s v="E98"/>
    <s v="EQDENOM_96"/>
    <x v="97"/>
    <s v="WM06"/>
    <s v="SECTOR_98"/>
    <s v="PLANTA_2"/>
    <s v="PRENSA"/>
    <s v="UNIDAD HIDRAULICA"/>
    <s v="CILINDRO"/>
    <x v="84"/>
    <x v="0"/>
    <d v="2024-04-15T00:00:00"/>
    <x v="5"/>
    <x v="1"/>
    <n v="2"/>
    <d v="1899-12-30T12:30:00"/>
    <d v="1899-12-30T13:30:00"/>
    <n v="1"/>
    <n v="1"/>
    <n v="2"/>
    <x v="0"/>
  </r>
  <r>
    <x v="372"/>
    <n v="600004219305"/>
    <n v="1"/>
    <s v="E82"/>
    <s v="EQDENOM_80"/>
    <x v="81"/>
    <s v="WM06"/>
    <s v="SECTOR_82"/>
    <s v="PLANTA_2"/>
    <s v="PULIDORA"/>
    <s v="UNIDAD NEUMATICA"/>
    <s v="ACCESORIOS"/>
    <x v="14"/>
    <x v="0"/>
    <d v="2024-04-16T00:00:00"/>
    <x v="5"/>
    <x v="1"/>
    <n v="1"/>
    <d v="1899-12-30T07:30:00"/>
    <d v="1899-12-30T10:00:00"/>
    <n v="2.5"/>
    <n v="2.5"/>
    <n v="2.5"/>
    <x v="3"/>
  </r>
  <r>
    <x v="373"/>
    <n v="600004217759"/>
    <n v="1"/>
    <s v="E12"/>
    <s v="EQDENOM_12"/>
    <x v="11"/>
    <s v="WM06"/>
    <s v="SECTOR_12"/>
    <s v="PLANTA_2"/>
    <s v="PRENSA"/>
    <s v="VAPOR"/>
    <s v="ACCESORIOS"/>
    <x v="8"/>
    <x v="0"/>
    <d v="2024-04-09T00:00:00"/>
    <x v="4"/>
    <x v="1"/>
    <n v="2"/>
    <d v="1899-12-30T09:00:00"/>
    <d v="1899-12-30T11:00:00"/>
    <n v="2"/>
    <n v="2"/>
    <n v="4"/>
    <x v="0"/>
  </r>
  <r>
    <x v="373"/>
    <n v="600004217760"/>
    <n v="1"/>
    <s v="E63"/>
    <s v="EQDENOM_62"/>
    <x v="62"/>
    <s v="WM06"/>
    <s v="SECTOR_63"/>
    <s v="PLANTA_2"/>
    <s v="HORNO"/>
    <s v="ACCESORIOS"/>
    <s v="PUERTA"/>
    <x v="34"/>
    <x v="0"/>
    <d v="2024-04-10T00:00:00"/>
    <x v="4"/>
    <x v="1"/>
    <n v="1"/>
    <d v="1899-12-30T13:00:00"/>
    <d v="1899-12-30T15:00:00"/>
    <n v="2"/>
    <n v="2"/>
    <n v="2"/>
    <x v="0"/>
  </r>
  <r>
    <x v="374"/>
    <n v="600004218338"/>
    <n v="1"/>
    <s v="E26"/>
    <s v="EQDENOM_26"/>
    <x v="25"/>
    <s v="WM06"/>
    <s v="SECTOR_26"/>
    <s v="PLANTA_2"/>
    <s v="PRENSA"/>
    <s v="VAPOR"/>
    <s v="ACCESORIOS"/>
    <x v="63"/>
    <x v="0"/>
    <d v="2024-04-12T00:00:00"/>
    <x v="7"/>
    <x v="1"/>
    <n v="1"/>
    <d v="1899-12-30T07:00:00"/>
    <d v="1899-12-30T08:00:00"/>
    <n v="1"/>
    <n v="1"/>
    <n v="1"/>
    <x v="0"/>
  </r>
  <r>
    <x v="375"/>
    <n v="600004218204"/>
    <n v="1"/>
    <s v="E96"/>
    <s v="EQDENOM_94"/>
    <x v="95"/>
    <s v="WM07"/>
    <s v="SECTOR_96"/>
    <s v="PLANTA_2"/>
    <s v="TREN ENFRIAMIENTO"/>
    <s v="ACCESORIOS"/>
    <s v="TAMBOR "/>
    <x v="221"/>
    <x v="1"/>
    <d v="2024-04-11T00:00:00"/>
    <x v="5"/>
    <x v="1"/>
    <n v="1"/>
    <d v="1899-12-30T13:30:00"/>
    <d v="1899-12-30T15:00:00"/>
    <n v="1.5"/>
    <n v="1.5"/>
    <n v="1.5"/>
    <x v="0"/>
  </r>
  <r>
    <x v="376"/>
    <n v="600004216884"/>
    <n v="1"/>
    <s v="E66"/>
    <s v="EQDENOM_65"/>
    <x v="65"/>
    <s v="WM06"/>
    <s v="SECTOR_66"/>
    <s v="PLANTA_2"/>
    <s v="HORNO"/>
    <s v="INSTALACION ELECTRICA"/>
    <s v="ACCESORIOS"/>
    <x v="78"/>
    <x v="1"/>
    <d v="2024-04-06T00:00:00"/>
    <x v="3"/>
    <x v="0"/>
    <n v="1"/>
    <d v="1899-12-30T07:00:00"/>
    <d v="1899-12-30T15:00:00"/>
    <n v="8"/>
    <n v="8"/>
    <n v="8"/>
    <x v="3"/>
  </r>
  <r>
    <x v="377"/>
    <n v="600004217526"/>
    <n v="1"/>
    <s v="E101"/>
    <s v="EQDENOM_98"/>
    <x v="100"/>
    <s v="WM06"/>
    <s v="SECTOR_101"/>
    <s v="PLANTA_2"/>
    <s v="PRENSA"/>
    <s v="UNIDAD HIDRAULICA"/>
    <s v="ACCESORIOS"/>
    <x v="70"/>
    <x v="0"/>
    <d v="2024-04-09T00:00:00"/>
    <x v="7"/>
    <x v="1"/>
    <n v="2"/>
    <d v="1899-12-30T07:00:00"/>
    <d v="1899-12-30T09:00:00"/>
    <n v="2"/>
    <n v="2"/>
    <n v="4"/>
    <x v="0"/>
  </r>
  <r>
    <x v="377"/>
    <n v="600004217532"/>
    <n v="1"/>
    <s v="E101"/>
    <s v="EQDENOM_98"/>
    <x v="100"/>
    <s v="WM06"/>
    <s v="SECTOR_101"/>
    <s v="PLANTA_2"/>
    <s v="PRENSA"/>
    <s v="INSTALACION ELECTRICA"/>
    <s v="PLC"/>
    <x v="160"/>
    <x v="0"/>
    <d v="2024-04-08T00:00:00"/>
    <x v="3"/>
    <x v="0"/>
    <n v="1"/>
    <d v="1899-12-30T11:00:00"/>
    <d v="1899-12-30T11:30:00"/>
    <n v="0.5"/>
    <n v="0.5"/>
    <n v="0.5"/>
    <x v="0"/>
  </r>
  <r>
    <x v="370"/>
    <n v="600004218034"/>
    <n v="1"/>
    <s v="E101"/>
    <s v="EQDENOM_98"/>
    <x v="100"/>
    <s v="WM06"/>
    <s v="SECTOR_101"/>
    <s v="PLANTA_2"/>
    <s v="PRENSA"/>
    <s v="INSTALACION ELECTRICA"/>
    <s v="MESA"/>
    <x v="31"/>
    <x v="0"/>
    <d v="2024-04-10T00:00:00"/>
    <x v="3"/>
    <x v="0"/>
    <n v="1"/>
    <d v="1899-12-30T09:00:00"/>
    <d v="1899-12-30T10:00:00"/>
    <n v="1"/>
    <n v="1"/>
    <n v="1"/>
    <x v="0"/>
  </r>
  <r>
    <x v="378"/>
    <n v="600004219938"/>
    <n v="1"/>
    <s v="E103"/>
    <s v="EQDENOM_100"/>
    <x v="102"/>
    <s v="WM03"/>
    <s v="SECTOR_103"/>
    <s v="PLANTA_1"/>
    <s v="HIDROLAVADORA"/>
    <s v="CALEFACCION"/>
    <s v="ACCESORIOS"/>
    <x v="222"/>
    <x v="0"/>
    <d v="2024-04-19T00:00:00"/>
    <x v="1"/>
    <x v="1"/>
    <n v="1"/>
    <d v="1899-12-30T10:00:00"/>
    <d v="1899-12-30T12:00:00"/>
    <n v="2"/>
    <n v="2"/>
    <n v="2"/>
    <x v="0"/>
  </r>
  <r>
    <x v="379"/>
    <n v="600004220254"/>
    <n v="1"/>
    <s v="E19"/>
    <s v="EQDENOM_19"/>
    <x v="18"/>
    <s v="WM06"/>
    <s v="SECTOR_19"/>
    <s v="PLANTA_2"/>
    <s v="PRENSA"/>
    <s v="INSTALACION ELECTRICA"/>
    <s v="MESA"/>
    <x v="31"/>
    <x v="0"/>
    <d v="2024-04-19T00:00:00"/>
    <x v="3"/>
    <x v="0"/>
    <n v="1"/>
    <d v="1899-12-30T14:00:00"/>
    <d v="1899-12-30T15:00:00"/>
    <n v="1"/>
    <n v="1"/>
    <n v="1"/>
    <x v="0"/>
  </r>
  <r>
    <x v="379"/>
    <n v="600004220236"/>
    <n v="1"/>
    <s v="E20"/>
    <s v="EQDENOM_20"/>
    <x v="19"/>
    <s v="WM01"/>
    <s v="SECTOR_20"/>
    <s v="PLANTA_1"/>
    <s v="REACTOR"/>
    <s v="ACCESORIOS"/>
    <s v="TAPA"/>
    <x v="34"/>
    <x v="0"/>
    <d v="2024-04-19T00:00:00"/>
    <x v="1"/>
    <x v="1"/>
    <n v="1"/>
    <d v="1899-12-30T07:00:00"/>
    <d v="1899-12-30T09:00:00"/>
    <n v="2"/>
    <n v="2"/>
    <n v="2"/>
    <x v="0"/>
  </r>
  <r>
    <x v="380"/>
    <n v="600004219648"/>
    <n v="1"/>
    <s v="E15"/>
    <s v="EQDENOM_15"/>
    <x v="14"/>
    <s v="WM06"/>
    <s v="SECTOR_15"/>
    <s v="PLANTA_2"/>
    <s v="PRENSA"/>
    <s v="INSTALACION ELECTRICA"/>
    <s v="MESA"/>
    <x v="31"/>
    <x v="0"/>
    <d v="2024-04-17T00:00:00"/>
    <x v="6"/>
    <x v="0"/>
    <n v="2"/>
    <d v="1899-12-30T10:00:00"/>
    <d v="1899-12-30T11:00:00"/>
    <n v="1"/>
    <n v="1"/>
    <n v="2"/>
    <x v="0"/>
  </r>
  <r>
    <x v="379"/>
    <n v="600004220155"/>
    <n v="1"/>
    <s v="E19"/>
    <s v="EQDENOM_19"/>
    <x v="18"/>
    <s v="WM06"/>
    <s v="SECTOR_19"/>
    <s v="PLANTA_2"/>
    <s v="PRENSA"/>
    <s v="INSTALACION ELECTRICA"/>
    <s v="TRANSMISION"/>
    <x v="161"/>
    <x v="0"/>
    <d v="2024-04-19T00:00:00"/>
    <x v="3"/>
    <x v="0"/>
    <n v="1"/>
    <d v="1899-12-30T07:00:00"/>
    <d v="1899-12-30T08:00:00"/>
    <n v="1"/>
    <n v="1"/>
    <n v="1"/>
    <x v="0"/>
  </r>
  <r>
    <x v="379"/>
    <n v="600004220215"/>
    <n v="1"/>
    <s v="E15"/>
    <s v="EQDENOM_15"/>
    <x v="14"/>
    <s v="WM06"/>
    <s v="SECTOR_15"/>
    <s v="PLANTA_2"/>
    <s v="PRENSA"/>
    <s v="INSTALACION ELECTRICA"/>
    <s v="REGULACION"/>
    <x v="31"/>
    <x v="0"/>
    <d v="2024-04-19T00:00:00"/>
    <x v="3"/>
    <x v="0"/>
    <n v="1"/>
    <d v="1899-12-30T11:30:00"/>
    <d v="1899-12-30T14:00:00"/>
    <n v="2.5"/>
    <n v="2.5"/>
    <n v="2.5"/>
    <x v="3"/>
  </r>
  <r>
    <x v="381"/>
    <n v="600004221670"/>
    <n v="1"/>
    <s v="E56"/>
    <s v="EQDENOM_47"/>
    <x v="55"/>
    <s v="WM06"/>
    <s v="SECTOR_56"/>
    <s v="PLANTA_2"/>
    <s v="CALDERA"/>
    <s v="INSTALACION ELECTRICA"/>
    <s v="ENCENDIDO"/>
    <x v="215"/>
    <x v="0"/>
    <d v="2024-04-26T00:00:00"/>
    <x v="3"/>
    <x v="0"/>
    <n v="1"/>
    <d v="1899-12-30T10:00:00"/>
    <d v="1899-12-30T11:00:00"/>
    <n v="1"/>
    <n v="1"/>
    <n v="1"/>
    <x v="0"/>
  </r>
  <r>
    <x v="382"/>
    <n v="600004221215"/>
    <n v="1"/>
    <s v="E101"/>
    <s v="EQDENOM_98"/>
    <x v="100"/>
    <s v="WM06"/>
    <s v="SECTOR_101"/>
    <s v="PLANTA_2"/>
    <s v="PRENSA"/>
    <s v="INSTALACION ELECTRICA"/>
    <s v="PLC"/>
    <x v="160"/>
    <x v="0"/>
    <d v="2024-04-24T00:00:00"/>
    <x v="3"/>
    <x v="0"/>
    <n v="2"/>
    <d v="1899-12-30T07:30:00"/>
    <d v="1899-12-30T15:00:00"/>
    <n v="7.5"/>
    <n v="7.5"/>
    <n v="15"/>
    <x v="3"/>
  </r>
  <r>
    <x v="370"/>
    <n v="600004218033"/>
    <n v="1"/>
    <s v="E104"/>
    <s v="EQDENOM_101"/>
    <x v="103"/>
    <s v="WM10"/>
    <s v="SECTOR_104"/>
    <s v="PLANTA_1"/>
    <s v="REACTOR"/>
    <s v="TRANSMISION"/>
    <s v="REACTOR"/>
    <x v="37"/>
    <x v="0"/>
    <d v="2024-04-10T00:00:00"/>
    <x v="1"/>
    <x v="1"/>
    <n v="2"/>
    <d v="1899-12-30T06:00:00"/>
    <d v="1899-12-30T11:00:00"/>
    <n v="5"/>
    <n v="5"/>
    <n v="10"/>
    <x v="3"/>
  </r>
  <r>
    <x v="383"/>
    <n v="600004224834"/>
    <n v="1"/>
    <s v="E85"/>
    <s v="EQDENOM_83"/>
    <x v="84"/>
    <s v="WM06"/>
    <s v="SECTOR_85"/>
    <s v="PLANTA_2"/>
    <s v="ASPIRADOR"/>
    <s v="ACCESORIOS"/>
    <s v="CAÑERIA"/>
    <x v="220"/>
    <x v="0"/>
    <d v="2024-05-10T00:00:00"/>
    <x v="1"/>
    <x v="1"/>
    <n v="1"/>
    <d v="1899-12-30T07:00:00"/>
    <d v="1899-12-30T10:00:00"/>
    <n v="3"/>
    <n v="3"/>
    <n v="3"/>
    <x v="3"/>
  </r>
  <r>
    <x v="384"/>
    <n v="600004223121"/>
    <n v="1"/>
    <s v="E71"/>
    <s v="EQDENOM_69"/>
    <x v="70"/>
    <s v="WM08"/>
    <s v="SECTOR_71"/>
    <s v="PLANTA_1"/>
    <s v="ENVASADORA"/>
    <s v="ACCESORIOS"/>
    <s v="BOMBA"/>
    <x v="14"/>
    <x v="0"/>
    <d v="2024-05-02T00:00:00"/>
    <x v="1"/>
    <x v="1"/>
    <n v="2"/>
    <d v="1899-12-30T08:00:00"/>
    <d v="1899-12-30T14:00:00"/>
    <n v="6"/>
    <n v="6"/>
    <n v="12"/>
    <x v="3"/>
  </r>
  <r>
    <x v="385"/>
    <n v="600004223303"/>
    <n v="1"/>
    <s v="E23"/>
    <s v="EQDENOM_23"/>
    <x v="22"/>
    <s v="WM06"/>
    <s v="SECTOR_23"/>
    <s v="PLANTA_2"/>
    <s v="PRENSA"/>
    <s v="VAPOR"/>
    <s v="RETORNO"/>
    <x v="149"/>
    <x v="0"/>
    <d v="2024-05-03T00:00:00"/>
    <x v="5"/>
    <x v="1"/>
    <n v="2"/>
    <d v="1899-12-30T14:00:00"/>
    <d v="1899-12-30T16:00:00"/>
    <n v="2"/>
    <n v="2"/>
    <n v="4"/>
    <x v="0"/>
  </r>
  <r>
    <x v="386"/>
    <n v="600004223775"/>
    <n v="1"/>
    <s v="E100"/>
    <s v="EQDENOM_97"/>
    <x v="99"/>
    <s v="WM06"/>
    <s v="SECTOR_100"/>
    <s v="PLANTA_2"/>
    <s v="PRENSA"/>
    <s v="VAPOR"/>
    <s v="NUCLEO"/>
    <x v="52"/>
    <x v="0"/>
    <d v="2024-05-06T00:00:00"/>
    <x v="5"/>
    <x v="1"/>
    <n v="2"/>
    <d v="1899-12-30T07:00:00"/>
    <d v="1899-12-30T10:00:00"/>
    <n v="3"/>
    <n v="3"/>
    <n v="6"/>
    <x v="3"/>
  </r>
  <r>
    <x v="385"/>
    <n v="600004223290"/>
    <n v="1"/>
    <s v="E101"/>
    <s v="EQDENOM_98"/>
    <x v="100"/>
    <s v="WM06"/>
    <s v="SECTOR_101"/>
    <s v="PLANTA_2"/>
    <s v="PRENSA"/>
    <s v="INSTALACION ELECTRICA"/>
    <s v="PLC"/>
    <x v="160"/>
    <x v="0"/>
    <d v="2024-05-06T00:00:00"/>
    <x v="3"/>
    <x v="1"/>
    <n v="1"/>
    <d v="1899-12-30T07:00:00"/>
    <d v="1899-12-30T15:00:00"/>
    <n v="8"/>
    <n v="8"/>
    <n v="8"/>
    <x v="3"/>
  </r>
  <r>
    <x v="384"/>
    <n v="600004223120"/>
    <n v="1"/>
    <s v="E64"/>
    <s v="EQDENOM_63"/>
    <x v="63"/>
    <s v="WM06"/>
    <s v="SECTOR_64"/>
    <s v="PLANTA_2"/>
    <s v="PRENSA"/>
    <s v="UNIDAD HIDRAULICA"/>
    <s v="PLATO"/>
    <x v="84"/>
    <x v="1"/>
    <d v="2024-05-03T00:00:00"/>
    <x v="5"/>
    <x v="1"/>
    <n v="3"/>
    <d v="1899-12-30T10:00:00"/>
    <d v="1899-12-30T12:00:00"/>
    <n v="2"/>
    <n v="2"/>
    <n v="6"/>
    <x v="0"/>
  </r>
  <r>
    <x v="383"/>
    <n v="600004224804"/>
    <n v="1"/>
    <s v="E46"/>
    <s v="EQDENOM_46"/>
    <x v="45"/>
    <s v="WM06"/>
    <s v="SECTOR_46"/>
    <s v="PLANTA_2"/>
    <s v="PRENSA"/>
    <s v="NUCLEO"/>
    <s v="MANGUERA"/>
    <x v="54"/>
    <x v="0"/>
    <d v="2024-05-10T00:00:00"/>
    <x v="7"/>
    <x v="1"/>
    <n v="2"/>
    <d v="1899-12-30T07:00:00"/>
    <d v="1899-12-30T10:00:00"/>
    <n v="3"/>
    <n v="3"/>
    <n v="6"/>
    <x v="3"/>
  </r>
  <r>
    <x v="387"/>
    <n v="600004225746"/>
    <n v="1"/>
    <s v="E12"/>
    <s v="EQDENOM_12"/>
    <x v="11"/>
    <s v="WM06"/>
    <s v="SECTOR_12"/>
    <s v="PLANTA_2"/>
    <s v="PRENSA"/>
    <s v="NUCLEO"/>
    <s v="LEVA"/>
    <x v="117"/>
    <x v="0"/>
    <d v="2024-05-14T00:00:00"/>
    <x v="3"/>
    <x v="1"/>
    <n v="1"/>
    <d v="1899-12-30T12:00:00"/>
    <d v="1899-12-30T15:00:00"/>
    <n v="3"/>
    <n v="3"/>
    <n v="3"/>
    <x v="3"/>
  </r>
  <r>
    <x v="388"/>
    <n v="600004226192"/>
    <n v="1"/>
    <s v="E100"/>
    <s v="EQDENOM_97"/>
    <x v="99"/>
    <s v="WM06"/>
    <s v="SECTOR_100"/>
    <s v="PLANTA_2"/>
    <s v="PRENSA"/>
    <s v="SEGURIDAD "/>
    <s v="ACCESORIOS"/>
    <x v="188"/>
    <x v="1"/>
    <d v="2024-05-16T00:00:00"/>
    <x v="3"/>
    <x v="0"/>
    <n v="1"/>
    <d v="1899-12-30T09:00:00"/>
    <d v="1899-12-30T12:00:00"/>
    <n v="3"/>
    <n v="3"/>
    <n v="3"/>
    <x v="3"/>
  </r>
  <r>
    <x v="385"/>
    <n v="600004223300"/>
    <n v="1"/>
    <s v="E65"/>
    <s v="EQDENOM_64"/>
    <x v="64"/>
    <s v="WM02"/>
    <s v="SECTOR_65"/>
    <s v="PLANTA_1"/>
    <s v="DISPERSORA"/>
    <s v="ACCESORIOS"/>
    <s v="ELEVACION"/>
    <x v="223"/>
    <x v="1"/>
    <d v="2024-05-13T00:00:00"/>
    <x v="1"/>
    <x v="1"/>
    <n v="1"/>
    <d v="1899-12-30T06:00:00"/>
    <d v="1899-12-30T16:00:00"/>
    <n v="10"/>
    <n v="10"/>
    <n v="10"/>
    <x v="1"/>
  </r>
  <r>
    <x v="389"/>
    <n v="600004224684"/>
    <n v="1"/>
    <s v="E91"/>
    <s v="EQDENOM_89"/>
    <x v="90"/>
    <s v="WM02"/>
    <s v="SECTOR_91"/>
    <s v="PLANTA_1"/>
    <s v="MEZCLADORA"/>
    <s v="PALETA"/>
    <s v="ARO"/>
    <x v="224"/>
    <x v="0"/>
    <d v="2024-05-14T00:00:00"/>
    <x v="1"/>
    <x v="1"/>
    <n v="3"/>
    <d v="1899-12-30T11:00:00"/>
    <d v="1899-12-30T16:00:00"/>
    <n v="5"/>
    <n v="5"/>
    <n v="15"/>
    <x v="3"/>
  </r>
  <r>
    <x v="390"/>
    <n v="600004226035"/>
    <n v="1"/>
    <s v="E16"/>
    <s v="EQDENOM_16"/>
    <x v="15"/>
    <s v="WM07"/>
    <s v="SECTOR_16"/>
    <s v="PLANTA_2"/>
    <s v="CORTADORA"/>
    <s v="SEGURIDAD "/>
    <s v="PUERTA"/>
    <x v="225"/>
    <x v="0"/>
    <d v="2024-05-15T00:00:00"/>
    <x v="6"/>
    <x v="0"/>
    <n v="1"/>
    <d v="1899-12-30T14:00:00"/>
    <d v="1899-12-30T16:00:00"/>
    <n v="2"/>
    <n v="2"/>
    <n v="2"/>
    <x v="0"/>
  </r>
  <r>
    <x v="387"/>
    <n v="600004225706"/>
    <n v="1"/>
    <s v="E91"/>
    <s v="EQDENOM_89"/>
    <x v="90"/>
    <s v="WM02"/>
    <s v="SECTOR_91"/>
    <s v="PLANTA_1"/>
    <s v="MEZCLADORA"/>
    <s v="ACCESORIOS"/>
    <s v="PALETA "/>
    <x v="176"/>
    <x v="0"/>
    <d v="2024-05-14T00:00:00"/>
    <x v="2"/>
    <x v="1"/>
    <n v="2"/>
    <d v="1899-12-30T07:00:00"/>
    <d v="1899-12-30T11:00:00"/>
    <n v="4"/>
    <n v="4"/>
    <n v="8"/>
    <x v="3"/>
  </r>
  <r>
    <x v="383"/>
    <n v="600004224806"/>
    <n v="1"/>
    <s v="E13"/>
    <s v="EQDENOM_13"/>
    <x v="12"/>
    <s v="WM06"/>
    <s v="SECTOR_13"/>
    <s v="PLANTA_2"/>
    <s v="PRENSA"/>
    <s v="INSTALACION ELECTRICA"/>
    <s v="MESA"/>
    <x v="31"/>
    <x v="0"/>
    <d v="2024-05-10T00:00:00"/>
    <x v="6"/>
    <x v="0"/>
    <n v="1"/>
    <d v="1899-12-30T07:00:00"/>
    <d v="1899-12-30T10:00:00"/>
    <n v="3"/>
    <n v="3"/>
    <n v="3"/>
    <x v="3"/>
  </r>
  <r>
    <x v="390"/>
    <n v="600004226009"/>
    <n v="1"/>
    <s v="E34"/>
    <s v="EQDENOM_34"/>
    <x v="33"/>
    <s v="WM06"/>
    <s v="SECTOR_34"/>
    <s v="PLANTA_2"/>
    <s v="TRANSPORT. PINTURA"/>
    <s v="ACCESORIOS"/>
    <s v="MESA"/>
    <x v="31"/>
    <x v="0"/>
    <d v="2024-05-15T00:00:00"/>
    <x v="7"/>
    <x v="1"/>
    <n v="2"/>
    <d v="1899-12-30T07:00:00"/>
    <d v="1899-12-30T09:00:00"/>
    <n v="2"/>
    <n v="2"/>
    <n v="4"/>
    <x v="0"/>
  </r>
  <r>
    <x v="390"/>
    <n v="600004226037"/>
    <n v="1"/>
    <s v="E12"/>
    <s v="EQDENOM_12"/>
    <x v="11"/>
    <s v="WM06"/>
    <s v="SECTOR_12"/>
    <s v="PLANTA_2"/>
    <s v="PRENSA"/>
    <s v="NUCLEO"/>
    <s v="VALVULA"/>
    <x v="60"/>
    <x v="0"/>
    <d v="2024-05-15T00:00:00"/>
    <x v="7"/>
    <x v="1"/>
    <n v="2"/>
    <d v="1899-12-30T09:30:00"/>
    <d v="1899-12-30T11:30:00"/>
    <n v="2"/>
    <n v="2"/>
    <n v="4"/>
    <x v="0"/>
  </r>
  <r>
    <x v="390"/>
    <n v="600004226034"/>
    <n v="1"/>
    <s v="E16"/>
    <s v="EQDENOM_16"/>
    <x v="15"/>
    <s v="WM07"/>
    <s v="SECTOR_16"/>
    <s v="PLANTA_2"/>
    <s v="CORTADORA"/>
    <s v="TRACCION"/>
    <s v="CINTAS"/>
    <x v="117"/>
    <x v="0"/>
    <d v="2024-05-15T00:00:00"/>
    <x v="5"/>
    <x v="1"/>
    <n v="2"/>
    <d v="1899-12-30T14:00:00"/>
    <d v="1899-12-30T16:00:00"/>
    <n v="2"/>
    <n v="2"/>
    <n v="4"/>
    <x v="0"/>
  </r>
  <r>
    <x v="389"/>
    <n v="600004224554"/>
    <n v="1"/>
    <s v="E101"/>
    <s v="EQDENOM_98"/>
    <x v="100"/>
    <s v="WM06"/>
    <s v="SECTOR_101"/>
    <s v="PLANTA_2"/>
    <s v="PRENSA"/>
    <s v="TRANSMISION"/>
    <s v="BOMBA"/>
    <x v="117"/>
    <x v="0"/>
    <d v="2024-05-10T00:00:00"/>
    <x v="7"/>
    <x v="1"/>
    <n v="3"/>
    <d v="1899-12-30T14:00:00"/>
    <d v="1899-12-30T16:00:00"/>
    <n v="2"/>
    <n v="2"/>
    <n v="6"/>
    <x v="0"/>
  </r>
  <r>
    <x v="391"/>
    <n v="600004225361"/>
    <n v="1"/>
    <s v="E56"/>
    <s v="EQDENOM_47"/>
    <x v="55"/>
    <s v="WM06"/>
    <s v="SECTOR_56"/>
    <s v="PLANTA_2"/>
    <s v="CALDERA"/>
    <s v="ACCESORIOS"/>
    <s v="ENCENDIDO"/>
    <x v="226"/>
    <x v="0"/>
    <d v="2024-05-13T00:00:00"/>
    <x v="3"/>
    <x v="0"/>
    <n v="1"/>
    <d v="1899-12-30T07:00:00"/>
    <d v="1899-12-30T08:00:00"/>
    <n v="1"/>
    <n v="1"/>
    <n v="1"/>
    <x v="0"/>
  </r>
  <r>
    <x v="383"/>
    <n v="600004224802"/>
    <n v="1"/>
    <s v="E16"/>
    <s v="EQDENOM_16"/>
    <x v="15"/>
    <s v="WM07"/>
    <s v="SECTOR_16"/>
    <s v="PLANTA_2"/>
    <s v="CORTADORA"/>
    <s v="TRANSMISION"/>
    <s v="TAMBOR "/>
    <x v="41"/>
    <x v="0"/>
    <d v="2024-05-10T00:00:00"/>
    <x v="5"/>
    <x v="1"/>
    <n v="1"/>
    <d v="1899-12-30T07:00:00"/>
    <d v="1899-12-30T11:30:00"/>
    <n v="4.5"/>
    <n v="4.5"/>
    <n v="4.5"/>
    <x v="3"/>
  </r>
  <r>
    <x v="391"/>
    <n v="600004225352"/>
    <n v="1"/>
    <s v="E13"/>
    <s v="EQDENOM_13"/>
    <x v="12"/>
    <s v="WM06"/>
    <s v="SECTOR_13"/>
    <s v="PLANTA_2"/>
    <s v="PRENSA"/>
    <s v="VAPOR"/>
    <s v="CAÑERIA"/>
    <x v="10"/>
    <x v="0"/>
    <d v="2024-05-13T00:00:00"/>
    <x v="5"/>
    <x v="1"/>
    <n v="3"/>
    <d v="1899-12-30T07:00:00"/>
    <d v="1899-12-30T09:30:00"/>
    <n v="2.5"/>
    <n v="2.5"/>
    <n v="7.5"/>
    <x v="3"/>
  </r>
  <r>
    <x v="391"/>
    <n v="600004225423"/>
    <n v="1"/>
    <s v="E57"/>
    <s v="EQDENOM_56"/>
    <x v="56"/>
    <s v="WM06"/>
    <s v="SECTOR_57"/>
    <s v="PLANTA_2"/>
    <s v="PRENSA"/>
    <s v="INSTALACION ELECTRICA"/>
    <s v="PLC"/>
    <x v="227"/>
    <x v="0"/>
    <d v="2024-05-13T00:00:00"/>
    <x v="3"/>
    <x v="0"/>
    <n v="1"/>
    <d v="1899-12-30T12:00:00"/>
    <d v="1899-12-30T13:30:00"/>
    <n v="1.5"/>
    <n v="1.5"/>
    <n v="1.5"/>
    <x v="0"/>
  </r>
  <r>
    <x v="391"/>
    <n v="600004225354"/>
    <n v="1"/>
    <s v="E100"/>
    <s v="EQDENOM_97"/>
    <x v="99"/>
    <s v="WM06"/>
    <s v="SECTOR_100"/>
    <s v="PLANTA_2"/>
    <s v="PRENSA"/>
    <s v="VAPOR"/>
    <s v="RETORNO"/>
    <x v="125"/>
    <x v="0"/>
    <d v="2024-05-13T00:00:00"/>
    <x v="7"/>
    <x v="1"/>
    <n v="3"/>
    <d v="1899-12-30T12:30:00"/>
    <d v="1899-12-30T14:30:00"/>
    <n v="2"/>
    <n v="2"/>
    <n v="6"/>
    <x v="0"/>
  </r>
  <r>
    <x v="391"/>
    <n v="600004225420"/>
    <n v="1"/>
    <s v="E66"/>
    <s v="EQDENOM_65"/>
    <x v="65"/>
    <s v="WM06"/>
    <s v="SECTOR_66"/>
    <s v="PLANTA_2"/>
    <s v="HORNO"/>
    <s v="SEGURIDAD "/>
    <s v="PUERTA"/>
    <x v="34"/>
    <x v="0"/>
    <d v="2024-05-13T00:00:00"/>
    <x v="4"/>
    <x v="1"/>
    <n v="1"/>
    <d v="1899-12-30T13:00:00"/>
    <d v="1899-12-30T14:00:00"/>
    <n v="1"/>
    <n v="1"/>
    <n v="1"/>
    <x v="0"/>
  </r>
  <r>
    <x v="390"/>
    <n v="600004225943"/>
    <n v="1"/>
    <s v="E73"/>
    <s v="EQDENOM_71"/>
    <x v="72"/>
    <s v="WM08"/>
    <s v="SECTOR_73"/>
    <s v="PLANTA_1"/>
    <s v="DISPERSORA"/>
    <s v="INSTALACION ELECTRICA"/>
    <s v="TIMER"/>
    <x v="160"/>
    <x v="0"/>
    <d v="2024-05-15T00:00:00"/>
    <x v="6"/>
    <x v="0"/>
    <n v="1"/>
    <d v="1899-12-30T07:00:00"/>
    <d v="1899-12-30T09:00:00"/>
    <n v="2"/>
    <n v="2"/>
    <n v="2"/>
    <x v="0"/>
  </r>
  <r>
    <x v="391"/>
    <n v="600004225425"/>
    <n v="1"/>
    <s v="E100"/>
    <s v="EQDENOM_97"/>
    <x v="99"/>
    <s v="WM06"/>
    <s v="SECTOR_100"/>
    <s v="PLANTA_2"/>
    <s v="PRENSA"/>
    <s v="INSTALACION ELECTRICA"/>
    <s v="SEGURIDAD "/>
    <x v="188"/>
    <x v="1"/>
    <d v="2024-05-13T00:00:00"/>
    <x v="3"/>
    <x v="0"/>
    <n v="1"/>
    <d v="1899-12-30T12:00:00"/>
    <d v="1899-12-30T14:00:00"/>
    <n v="2"/>
    <n v="2"/>
    <n v="2"/>
    <x v="0"/>
  </r>
  <r>
    <x v="392"/>
    <n v="600004230866"/>
    <n v="1"/>
    <s v="E46"/>
    <s v="EQDENOM_46"/>
    <x v="45"/>
    <s v="WM06"/>
    <s v="SECTOR_46"/>
    <s v="PLANTA_2"/>
    <s v="PRENSA"/>
    <s v="UNIDAD NEUMATICA"/>
    <s v="PRESION"/>
    <x v="228"/>
    <x v="0"/>
    <d v="2024-06-07T00:00:00"/>
    <x v="7"/>
    <x v="1"/>
    <n v="2"/>
    <d v="1899-12-30T07:00:00"/>
    <d v="1899-12-30T08:00:00"/>
    <n v="1"/>
    <n v="1"/>
    <n v="2"/>
    <x v="0"/>
  </r>
  <r>
    <x v="393"/>
    <n v="600004229769"/>
    <n v="1"/>
    <s v="E08"/>
    <s v="EQDENOM_08"/>
    <x v="7"/>
    <s v="WM06"/>
    <s v="SECTOR_08"/>
    <s v="PLANTA_2"/>
    <s v="PRENSA"/>
    <s v="UNIDAD HIDRAULICA"/>
    <s v="PLATO"/>
    <x v="14"/>
    <x v="0"/>
    <d v="2024-06-03T00:00:00"/>
    <x v="5"/>
    <x v="1"/>
    <n v="2"/>
    <d v="1899-12-30T07:00:00"/>
    <d v="1899-12-30T09:00:00"/>
    <n v="2"/>
    <n v="2"/>
    <n v="4"/>
    <x v="0"/>
  </r>
  <r>
    <x v="394"/>
    <n v="600004230060"/>
    <n v="1"/>
    <s v="E08"/>
    <s v="EQDENOM_08"/>
    <x v="7"/>
    <s v="WM06"/>
    <s v="SECTOR_08"/>
    <s v="PLANTA_2"/>
    <s v="PRENSA"/>
    <s v="ACCESORIOS"/>
    <s v="PLATO"/>
    <x v="57"/>
    <x v="0"/>
    <d v="2024-06-04T00:00:00"/>
    <x v="5"/>
    <x v="1"/>
    <n v="2"/>
    <d v="1899-12-30T07:00:00"/>
    <d v="1899-12-30T09:30:00"/>
    <n v="2.5"/>
    <n v="2.5"/>
    <n v="5"/>
    <x v="3"/>
  </r>
  <r>
    <x v="393"/>
    <n v="600004229771"/>
    <n v="1"/>
    <s v="E105"/>
    <s v="EQDENOM_102"/>
    <x v="104"/>
    <s v="WM01"/>
    <s v="SECTOR_105"/>
    <s v="PLANTA_1"/>
    <s v="CALDERA"/>
    <s v="ACCESORIOS"/>
    <s v="TANQUE"/>
    <x v="229"/>
    <x v="0"/>
    <d v="2024-06-03T00:00:00"/>
    <x v="2"/>
    <x v="1"/>
    <n v="3"/>
    <d v="1899-12-30T06:00:00"/>
    <d v="1899-12-30T14:00:00"/>
    <n v="8"/>
    <n v="8"/>
    <n v="24"/>
    <x v="3"/>
  </r>
  <r>
    <x v="395"/>
    <n v="600004231304"/>
    <n v="1"/>
    <s v="E01"/>
    <s v="EQDENOM_01"/>
    <x v="0"/>
    <s v="WM01"/>
    <s v="SECTOR_01"/>
    <s v="PLANTA_1"/>
    <s v="REACTOR"/>
    <s v="TRANSMISION"/>
    <s v="BOMBA"/>
    <x v="37"/>
    <x v="0"/>
    <d v="2024-06-11T00:00:00"/>
    <x v="2"/>
    <x v="1"/>
    <n v="2"/>
    <d v="1899-12-30T06:00:00"/>
    <d v="1899-12-30T13:00:00"/>
    <n v="7"/>
    <n v="7"/>
    <n v="14"/>
    <x v="3"/>
  </r>
  <r>
    <x v="396"/>
    <n v="600004232015"/>
    <n v="1"/>
    <s v="E04"/>
    <s v="EQDENOM_04"/>
    <x v="3"/>
    <s v="WM03"/>
    <s v="SECTOR_04"/>
    <s v="PLANTA_1"/>
    <s v="AUTOELEVADOR"/>
    <s v="INSTALACION ELECTRICA"/>
    <s v="FRENO"/>
    <x v="230"/>
    <x v="0"/>
    <d v="2024-06-13T00:00:00"/>
    <x v="1"/>
    <x v="1"/>
    <n v="1"/>
    <d v="1899-12-30T06:00:00"/>
    <d v="1899-12-30T07:00:00"/>
    <n v="1"/>
    <n v="1"/>
    <n v="1"/>
    <x v="0"/>
  </r>
  <r>
    <x v="397"/>
    <n v="600004232245"/>
    <n v="1"/>
    <s v="E106"/>
    <s v="EQDENOM_103"/>
    <x v="105"/>
    <s v="WM01"/>
    <s v="SECTOR_106"/>
    <s v="PLANTA_1"/>
    <s v="UNIDAD CONTROL TEMP."/>
    <s v="INSTALACION ELECTRICA"/>
    <s v="CONEXIÓN"/>
    <x v="227"/>
    <x v="0"/>
    <d v="2024-06-14T00:00:00"/>
    <x v="3"/>
    <x v="0"/>
    <n v="1"/>
    <d v="1899-12-30T10:00:00"/>
    <d v="1899-12-30T14:00:00"/>
    <n v="4"/>
    <n v="4"/>
    <n v="4"/>
    <x v="3"/>
  </r>
  <r>
    <x v="398"/>
    <n v="600004234294"/>
    <n v="1"/>
    <s v="E31"/>
    <s v="EQDENOM_31"/>
    <x v="30"/>
    <s v="WM06"/>
    <s v="SECTOR_31"/>
    <s v="PLANTA_2"/>
    <s v="PULIDORA"/>
    <s v="UNIDAD NEUMATICA"/>
    <s v="PLATO"/>
    <x v="84"/>
    <x v="0"/>
    <d v="2024-06-24T00:00:00"/>
    <x v="5"/>
    <x v="1"/>
    <n v="3"/>
    <d v="1899-12-30T07:30:00"/>
    <d v="1899-12-30T09:00:00"/>
    <n v="1.5"/>
    <n v="1.5"/>
    <n v="4.5"/>
    <x v="0"/>
  </r>
  <r>
    <x v="399"/>
    <n v="600004233062"/>
    <n v="1"/>
    <s v="E100"/>
    <s v="EQDENOM_97"/>
    <x v="99"/>
    <s v="WM06"/>
    <s v="SECTOR_100"/>
    <s v="PLANTA_2"/>
    <s v="PRENSA"/>
    <s v="ACCESORIOS"/>
    <s v="VAPOR"/>
    <x v="63"/>
    <x v="0"/>
    <d v="2024-06-18T00:00:00"/>
    <x v="5"/>
    <x v="1"/>
    <n v="3"/>
    <d v="1899-12-30T07:00:00"/>
    <d v="1899-12-30T09:00:00"/>
    <n v="2"/>
    <n v="2"/>
    <n v="6"/>
    <x v="0"/>
  </r>
  <r>
    <x v="400"/>
    <n v="600004231544"/>
    <n v="1"/>
    <s v="E100"/>
    <s v="EQDENOM_97"/>
    <x v="99"/>
    <s v="WM06"/>
    <s v="SECTOR_100"/>
    <s v="PLANTA_2"/>
    <s v="PRENSA"/>
    <s v="VAPOR"/>
    <s v="SUMINISTRO"/>
    <x v="63"/>
    <x v="0"/>
    <d v="2024-06-11T00:00:00"/>
    <x v="5"/>
    <x v="1"/>
    <n v="2"/>
    <d v="1899-12-30T13:00:00"/>
    <d v="1899-12-30T14:00:00"/>
    <n v="1"/>
    <n v="1"/>
    <n v="2"/>
    <x v="0"/>
  </r>
  <r>
    <x v="401"/>
    <n v="600004231758"/>
    <n v="1"/>
    <s v="E56"/>
    <s v="EQDENOM_47"/>
    <x v="55"/>
    <s v="WM06"/>
    <s v="SECTOR_56"/>
    <s v="PLANTA_2"/>
    <s v="CALDERA"/>
    <s v="ACCESORIOS"/>
    <s v="PURGA"/>
    <x v="11"/>
    <x v="0"/>
    <d v="2024-06-12T00:00:00"/>
    <x v="7"/>
    <x v="1"/>
    <n v="2"/>
    <d v="1899-12-30T07:00:00"/>
    <d v="1899-12-30T10:00:00"/>
    <n v="3"/>
    <n v="3"/>
    <n v="6"/>
    <x v="3"/>
  </r>
  <r>
    <x v="399"/>
    <n v="600004233011"/>
    <n v="1"/>
    <s v="E82"/>
    <s v="EQDENOM_80"/>
    <x v="81"/>
    <s v="WM06"/>
    <s v="SECTOR_82"/>
    <s v="PLANTA_2"/>
    <s v="PULIDORA"/>
    <s v="TRANSMISION"/>
    <s v="CADENA"/>
    <x v="203"/>
    <x v="0"/>
    <d v="2024-06-18T00:00:00"/>
    <x v="5"/>
    <x v="1"/>
    <n v="2"/>
    <d v="1899-12-30T15:00:00"/>
    <d v="1899-12-30T16:00:00"/>
    <n v="1"/>
    <n v="1"/>
    <n v="2"/>
    <x v="0"/>
  </r>
  <r>
    <x v="400"/>
    <n v="600004231537"/>
    <n v="1"/>
    <s v="E12"/>
    <s v="EQDENOM_12"/>
    <x v="11"/>
    <s v="WM06"/>
    <s v="SECTOR_12"/>
    <s v="PLANTA_2"/>
    <s v="PRENSA"/>
    <s v="ACCESORIOS"/>
    <s v="VAPOR"/>
    <x v="60"/>
    <x v="0"/>
    <d v="2024-06-11T00:00:00"/>
    <x v="5"/>
    <x v="1"/>
    <n v="2"/>
    <d v="1899-12-30T12:00:00"/>
    <d v="1899-12-30T14:00:00"/>
    <n v="2"/>
    <n v="2"/>
    <n v="4"/>
    <x v="0"/>
  </r>
  <r>
    <x v="396"/>
    <n v="600004232047"/>
    <n v="1"/>
    <s v="E12"/>
    <s v="EQDENOM_12"/>
    <x v="11"/>
    <s v="WM06"/>
    <s v="SECTOR_12"/>
    <s v="PLANTA_2"/>
    <s v="PRENSA"/>
    <s v="PLATO"/>
    <s v="PISTON"/>
    <x v="16"/>
    <x v="0"/>
    <d v="2024-06-13T00:00:00"/>
    <x v="5"/>
    <x v="1"/>
    <n v="3"/>
    <d v="1899-12-30T13:30:00"/>
    <d v="1899-12-30T15:30:00"/>
    <n v="2"/>
    <n v="2"/>
    <n v="6"/>
    <x v="0"/>
  </r>
  <r>
    <x v="397"/>
    <n v="600004232229"/>
    <n v="1"/>
    <s v="E23"/>
    <s v="EQDENOM_23"/>
    <x v="22"/>
    <s v="WM06"/>
    <s v="SECTOR_23"/>
    <s v="PLANTA_2"/>
    <s v="PRENSA"/>
    <s v="PLATO"/>
    <s v="PISTON"/>
    <x v="54"/>
    <x v="0"/>
    <d v="2024-06-14T00:00:00"/>
    <x v="7"/>
    <x v="1"/>
    <n v="2"/>
    <d v="1899-12-30T09:30:00"/>
    <d v="1899-12-30T11:30:00"/>
    <n v="2"/>
    <n v="2"/>
    <n v="4"/>
    <x v="0"/>
  </r>
  <r>
    <x v="401"/>
    <n v="600004231748"/>
    <n v="1"/>
    <s v="E16"/>
    <s v="EQDENOM_16"/>
    <x v="15"/>
    <s v="WM07"/>
    <s v="SECTOR_16"/>
    <s v="PLANTA_2"/>
    <s v="CORTADORA"/>
    <s v="TRANSMISION"/>
    <s v="ENGRANAJE"/>
    <x v="41"/>
    <x v="0"/>
    <d v="2024-06-12T00:00:00"/>
    <x v="5"/>
    <x v="1"/>
    <n v="3"/>
    <d v="1899-12-30T07:00:00"/>
    <d v="1899-12-30T09:00:00"/>
    <n v="2"/>
    <n v="2"/>
    <n v="6"/>
    <x v="0"/>
  </r>
  <r>
    <x v="400"/>
    <n v="600004231541"/>
    <n v="1"/>
    <s v="E34"/>
    <s v="EQDENOM_34"/>
    <x v="33"/>
    <s v="WM06"/>
    <s v="SECTOR_34"/>
    <s v="PLANTA_2"/>
    <s v="TRANSPORT. PINTURA"/>
    <s v="CABINA"/>
    <s v="BASTIDOR"/>
    <x v="45"/>
    <x v="0"/>
    <d v="2024-06-11T00:00:00"/>
    <x v="7"/>
    <x v="1"/>
    <n v="2"/>
    <d v="1899-12-30T14:00:00"/>
    <d v="1899-12-30T16:00:00"/>
    <n v="2"/>
    <n v="2"/>
    <n v="4"/>
    <x v="0"/>
  </r>
  <r>
    <x v="402"/>
    <n v="600004237510"/>
    <n v="1"/>
    <s v="E73"/>
    <s v="EQDENOM_71"/>
    <x v="72"/>
    <s v="WM08"/>
    <s v="SECTOR_73"/>
    <s v="PLANTA_1"/>
    <s v="DISPERSORA"/>
    <s v="UNIDAD NEUMATICA"/>
    <s v="ACCESORIOS"/>
    <x v="231"/>
    <x v="1"/>
    <d v="2024-07-10T00:00:00"/>
    <x v="8"/>
    <x v="1"/>
    <n v="1"/>
    <d v="1899-12-30T09:30:00"/>
    <d v="1899-12-30T11:00:00"/>
    <n v="1.5"/>
    <n v="1.5"/>
    <n v="1.5"/>
    <x v="0"/>
  </r>
  <r>
    <x v="403"/>
    <n v="600004236327"/>
    <n v="1"/>
    <s v="E01"/>
    <s v="EQDENOM_01"/>
    <x v="0"/>
    <s v="WM01"/>
    <s v="SECTOR_01"/>
    <s v="PLANTA_1"/>
    <s v="REACTOR"/>
    <s v="TRANSMISION"/>
    <s v="MOTOR"/>
    <x v="164"/>
    <x v="1"/>
    <d v="2024-07-08T00:00:00"/>
    <x v="8"/>
    <x v="1"/>
    <n v="1"/>
    <d v="1899-12-30T09:00:00"/>
    <d v="1899-12-30T11:30:00"/>
    <n v="2.5"/>
    <n v="2.5"/>
    <n v="2.5"/>
    <x v="3"/>
  </r>
  <r>
    <x v="404"/>
    <n v="600004240265"/>
    <n v="1"/>
    <s v="E64"/>
    <s v="EQDENOM_63"/>
    <x v="63"/>
    <s v="WM06"/>
    <s v="SECTOR_64"/>
    <s v="PLANTA_2"/>
    <s v="PRENSA"/>
    <s v="ACCESORIOS"/>
    <s v="CAÑERIA"/>
    <x v="10"/>
    <x v="1"/>
    <d v="2024-07-23T00:00:00"/>
    <x v="7"/>
    <x v="1"/>
    <n v="2"/>
    <d v="1899-12-30T07:00:00"/>
    <d v="1899-12-30T09:00:00"/>
    <n v="2"/>
    <n v="2"/>
    <n v="4"/>
    <x v="0"/>
  </r>
  <r>
    <x v="404"/>
    <n v="600004240267"/>
    <n v="1"/>
    <s v="E37"/>
    <s v="EQDENOM_37"/>
    <x v="36"/>
    <s v="WM06"/>
    <s v="SECTOR_37"/>
    <s v="PLANTA_2"/>
    <s v="HORNO"/>
    <s v="ACCESORIOS"/>
    <s v="CAÑERIA"/>
    <x v="10"/>
    <x v="1"/>
    <d v="2024-07-23T00:00:00"/>
    <x v="5"/>
    <x v="1"/>
    <n v="2"/>
    <d v="1899-12-30T14:00:00"/>
    <d v="1899-12-30T16:00:00"/>
    <n v="2"/>
    <n v="2"/>
    <n v="4"/>
    <x v="0"/>
  </r>
  <r>
    <x v="404"/>
    <n v="600004240264"/>
    <n v="1"/>
    <s v="E67"/>
    <s v="EQDENOM_66"/>
    <x v="66"/>
    <s v="WM06"/>
    <s v="SECTOR_67"/>
    <s v="PLANTA_2"/>
    <s v="PRENSA"/>
    <s v="CAÑERIA"/>
    <s v="RETORNO"/>
    <x v="32"/>
    <x v="1"/>
    <d v="2024-07-23T00:00:00"/>
    <x v="5"/>
    <x v="1"/>
    <n v="2"/>
    <d v="1899-12-30T12:00:00"/>
    <d v="1899-12-30T14:00:00"/>
    <n v="2"/>
    <n v="2"/>
    <n v="4"/>
    <x v="0"/>
  </r>
  <r>
    <x v="405"/>
    <n v="600004239712"/>
    <n v="1"/>
    <s v="E107"/>
    <s v="EQDENOM_43"/>
    <x v="106"/>
    <s v="WM06"/>
    <s v="SECTOR_107"/>
    <s v="PLANTA_2"/>
    <s v="COMPRESOR"/>
    <s v="INSTALACION ELECTRICA"/>
    <s v="DIFERENCIAL"/>
    <x v="62"/>
    <x v="0"/>
    <d v="2024-07-18T00:00:00"/>
    <x v="3"/>
    <x v="0"/>
    <n v="2"/>
    <d v="1899-12-30T10:00:00"/>
    <d v="1899-12-30T15:00:00"/>
    <n v="5"/>
    <n v="5"/>
    <n v="10"/>
    <x v="3"/>
  </r>
  <r>
    <x v="406"/>
    <n v="600004239285"/>
    <n v="1"/>
    <s v="E47"/>
    <s v="EQDENOM_47"/>
    <x v="46"/>
    <s v="WM06"/>
    <s v="SECTOR_47"/>
    <s v="PLANTA_2"/>
    <s v="CALDERA"/>
    <s v="INSTALACION ELECTRICA"/>
    <s v="TEMPERATURA"/>
    <x v="202"/>
    <x v="1"/>
    <d v="2024-07-17T00:00:00"/>
    <x v="3"/>
    <x v="0"/>
    <n v="1"/>
    <d v="1899-12-30T10:00:00"/>
    <d v="1899-12-30T11:00:00"/>
    <n v="1"/>
    <n v="1"/>
    <n v="1"/>
    <x v="0"/>
  </r>
  <r>
    <x v="407"/>
    <n v="600004238096"/>
    <n v="1"/>
    <s v="E107"/>
    <s v="EQDENOM_43"/>
    <x v="106"/>
    <s v="WM06"/>
    <s v="SECTOR_107"/>
    <s v="PLANTA_2"/>
    <s v="COMPRESOR"/>
    <s v="INSTALACION ELECTRICA"/>
    <s v="CONEXIÓN"/>
    <x v="181"/>
    <x v="0"/>
    <d v="2024-07-10T00:00:00"/>
    <x v="3"/>
    <x v="0"/>
    <n v="1"/>
    <d v="1899-12-30T07:00:00"/>
    <d v="1899-12-30T08:00:00"/>
    <n v="1"/>
    <n v="1"/>
    <n v="1"/>
    <x v="0"/>
  </r>
  <r>
    <x v="408"/>
    <n v="600004236892"/>
    <n v="1"/>
    <s v="E44"/>
    <s v="EQDENOM_44"/>
    <x v="43"/>
    <s v="WM06"/>
    <s v="SECTOR_44"/>
    <s v="PLANTA_2"/>
    <s v="CABINA DE PINTADO"/>
    <s v="GRIP"/>
    <s v="ROTADOR"/>
    <x v="160"/>
    <x v="0"/>
    <d v="2024-07-04T00:00:00"/>
    <x v="3"/>
    <x v="0"/>
    <n v="1"/>
    <d v="1899-12-30T10:00:00"/>
    <d v="1899-12-30T15:00:00"/>
    <n v="5"/>
    <n v="5"/>
    <n v="5"/>
    <x v="3"/>
  </r>
  <r>
    <x v="409"/>
    <n v="600004235947"/>
    <n v="1"/>
    <s v="E15"/>
    <s v="EQDENOM_15"/>
    <x v="14"/>
    <s v="WM06"/>
    <s v="SECTOR_15"/>
    <s v="PLANTA_2"/>
    <s v="PRENSA"/>
    <s v="ACCESORIOS"/>
    <s v="ELEVACION"/>
    <x v="198"/>
    <x v="0"/>
    <d v="2024-07-01T00:00:00"/>
    <x v="4"/>
    <x v="1"/>
    <n v="1"/>
    <d v="1899-12-30T09:00:00"/>
    <d v="1899-12-30T11:00:00"/>
    <n v="2"/>
    <n v="2"/>
    <n v="2"/>
    <x v="0"/>
  </r>
  <r>
    <x v="403"/>
    <n v="600004236326"/>
    <n v="1"/>
    <s v="E54"/>
    <s v="EQDENOM_54"/>
    <x v="53"/>
    <s v="WM07"/>
    <s v="SECTOR_54"/>
    <s v="PLANTA_2"/>
    <s v="CORTADORA"/>
    <s v="UNIDAD NEUMATICA"/>
    <s v="FRL"/>
    <x v="9"/>
    <x v="0"/>
    <d v="2024-07-02T00:00:00"/>
    <x v="4"/>
    <x v="1"/>
    <n v="1"/>
    <d v="1899-12-30T09:00:00"/>
    <d v="1899-12-30T10:30:00"/>
    <n v="1.5"/>
    <n v="1.5"/>
    <n v="1.5"/>
    <x v="0"/>
  </r>
  <r>
    <x v="403"/>
    <n v="600004236362"/>
    <n v="1"/>
    <s v="E24"/>
    <s v="EQDENOM_24"/>
    <x v="23"/>
    <s v="WM06"/>
    <s v="SECTOR_24"/>
    <s v="PLANTA_2"/>
    <s v="PRENSA"/>
    <s v="ACCESORIOS"/>
    <s v="MESA"/>
    <x v="85"/>
    <x v="1"/>
    <d v="2024-07-02T00:00:00"/>
    <x v="5"/>
    <x v="1"/>
    <n v="2"/>
    <d v="1899-12-30T12:00:00"/>
    <d v="1899-12-30T14:00:00"/>
    <n v="2"/>
    <n v="2"/>
    <n v="4"/>
    <x v="0"/>
  </r>
  <r>
    <x v="403"/>
    <n v="600004236308"/>
    <n v="1"/>
    <s v="E12"/>
    <s v="EQDENOM_12"/>
    <x v="11"/>
    <s v="WM06"/>
    <s v="SECTOR_12"/>
    <s v="PLANTA_2"/>
    <s v="PRENSA"/>
    <s v="UNIDAD HIDRAULICA"/>
    <s v="ACCESORIOS"/>
    <x v="14"/>
    <x v="0"/>
    <d v="2024-07-02T00:00:00"/>
    <x v="5"/>
    <x v="1"/>
    <n v="2"/>
    <d v="1899-12-30T07:00:00"/>
    <d v="1899-12-30T10:00:00"/>
    <n v="3"/>
    <n v="3"/>
    <n v="6"/>
    <x v="3"/>
  </r>
  <r>
    <x v="406"/>
    <n v="600004239289"/>
    <n v="1"/>
    <s v="E19"/>
    <s v="EQDENOM_19"/>
    <x v="18"/>
    <s v="WM06"/>
    <s v="SECTOR_19"/>
    <s v="PLANTA_2"/>
    <s v="PRENSA"/>
    <s v="UNIDAD HIDRAULICA"/>
    <s v="ACCESORIOS"/>
    <x v="14"/>
    <x v="0"/>
    <d v="2024-07-16T00:00:00"/>
    <x v="5"/>
    <x v="1"/>
    <n v="2"/>
    <d v="1899-12-30T14:00:00"/>
    <d v="1899-12-30T15:30:00"/>
    <n v="1.5"/>
    <n v="1.5"/>
    <n v="3"/>
    <x v="0"/>
  </r>
  <r>
    <x v="407"/>
    <n v="600004238204"/>
    <n v="1"/>
    <s v="E54"/>
    <s v="EQDENOM_54"/>
    <x v="53"/>
    <s v="WM07"/>
    <s v="SECTOR_54"/>
    <s v="PLANTA_2"/>
    <s v="CORTADORA"/>
    <s v="ACCESORIOS"/>
    <s v="CORTADORA"/>
    <x v="65"/>
    <x v="0"/>
    <d v="2024-07-10T00:00:00"/>
    <x v="5"/>
    <x v="1"/>
    <n v="3"/>
    <d v="1899-12-30T13:30:00"/>
    <d v="1899-12-30T16:00:00"/>
    <n v="2.5"/>
    <n v="2.5"/>
    <n v="7.5"/>
    <x v="3"/>
  </r>
  <r>
    <x v="407"/>
    <n v="600004238094"/>
    <n v="1"/>
    <s v="E36"/>
    <s v="EQDENOM_36"/>
    <x v="35"/>
    <s v="WM06"/>
    <s v="SECTOR_36"/>
    <s v="PLANTA_2"/>
    <s v="PRENSA"/>
    <s v="UNIDAD HIDRAULICA"/>
    <s v="ACCESORIOS"/>
    <x v="115"/>
    <x v="0"/>
    <d v="2024-07-10T00:00:00"/>
    <x v="7"/>
    <x v="1"/>
    <n v="3"/>
    <d v="1899-12-30T09:30:00"/>
    <d v="1899-12-30T11:30:00"/>
    <n v="2"/>
    <n v="2"/>
    <n v="6"/>
    <x v="0"/>
  </r>
  <r>
    <x v="406"/>
    <n v="600004239239"/>
    <n v="1"/>
    <s v="E100"/>
    <s v="EQDENOM_97"/>
    <x v="99"/>
    <s v="WM06"/>
    <s v="SECTOR_100"/>
    <s v="PLANTA_2"/>
    <s v="PRENSA"/>
    <s v="VAPOR"/>
    <s v="RETORNO"/>
    <x v="149"/>
    <x v="1"/>
    <d v="2024-07-20T00:00:00"/>
    <x v="7"/>
    <x v="1"/>
    <n v="2"/>
    <d v="1899-12-30T06:00:00"/>
    <d v="1899-12-30T14:00:00"/>
    <n v="8"/>
    <n v="8"/>
    <n v="16"/>
    <x v="3"/>
  </r>
  <r>
    <x v="409"/>
    <n v="600004235948"/>
    <n v="1"/>
    <s v="E48"/>
    <s v="EQDENOM_48"/>
    <x v="47"/>
    <s v="WM06"/>
    <s v="SECTOR_48"/>
    <s v="PLANTA_1"/>
    <s v="PRENSA"/>
    <s v="ACCESORIOS"/>
    <s v="ELEVACION"/>
    <x v="198"/>
    <x v="0"/>
    <d v="2024-07-01T00:00:00"/>
    <x v="7"/>
    <x v="1"/>
    <n v="2"/>
    <d v="1899-12-30T12:00:00"/>
    <d v="1899-12-30T14:00:00"/>
    <n v="2"/>
    <n v="2"/>
    <n v="4"/>
    <x v="0"/>
  </r>
  <r>
    <x v="410"/>
    <n v="600004237140"/>
    <n v="1"/>
    <s v="E92"/>
    <s v="EQDENOM_90"/>
    <x v="91"/>
    <s v="WM11"/>
    <s v="SECTOR_92"/>
    <s v="PLANTA_2"/>
    <s v="PRENSA"/>
    <s v="UNIDAD NEUMATICA"/>
    <s v="PRENSA"/>
    <x v="59"/>
    <x v="0"/>
    <d v="2024-07-05T00:00:00"/>
    <x v="7"/>
    <x v="1"/>
    <n v="2"/>
    <d v="1899-12-30T12:30:00"/>
    <d v="1899-12-30T14:30:00"/>
    <n v="2"/>
    <n v="2"/>
    <n v="4"/>
    <x v="0"/>
  </r>
  <r>
    <x v="407"/>
    <n v="600004238122"/>
    <n v="1"/>
    <s v="E44"/>
    <s v="EQDENOM_44"/>
    <x v="43"/>
    <s v="WM06"/>
    <s v="SECTOR_44"/>
    <s v="PLANTA_2"/>
    <s v="CABINA DE PINTADO"/>
    <s v="TRANSMISION"/>
    <s v="CABINA"/>
    <x v="161"/>
    <x v="0"/>
    <d v="2024-07-10T00:00:00"/>
    <x v="7"/>
    <x v="1"/>
    <n v="2"/>
    <d v="1899-12-30T07:00:00"/>
    <d v="1899-12-30T09:00:00"/>
    <n v="2"/>
    <n v="2"/>
    <n v="4"/>
    <x v="0"/>
  </r>
  <r>
    <x v="407"/>
    <n v="600004238123"/>
    <n v="1"/>
    <s v="E36"/>
    <s v="EQDENOM_36"/>
    <x v="35"/>
    <s v="WM06"/>
    <s v="SECTOR_36"/>
    <s v="PLANTA_2"/>
    <s v="PRENSA"/>
    <s v="INSTALACION ELECTRICA"/>
    <s v="SENSOR"/>
    <x v="31"/>
    <x v="0"/>
    <d v="2024-07-10T00:00:00"/>
    <x v="3"/>
    <x v="0"/>
    <n v="1"/>
    <d v="1899-12-30T07:00:00"/>
    <d v="1899-12-30T10:00:00"/>
    <n v="3"/>
    <n v="3"/>
    <n v="3"/>
    <x v="3"/>
  </r>
  <r>
    <x v="411"/>
    <n v="600004243150"/>
    <n v="1"/>
    <s v="E108"/>
    <s v="EQDENOM_104"/>
    <x v="107"/>
    <s v="WM12"/>
    <s v="SECTOR_108"/>
    <s v="PLANTA_1"/>
    <s v="DISPERSORA"/>
    <s v="TRANSMISION"/>
    <s v="EJE"/>
    <x v="56"/>
    <x v="1"/>
    <d v="2024-08-05T00:00:00"/>
    <x v="2"/>
    <x v="1"/>
    <n v="2"/>
    <d v="1899-12-30T09:30:00"/>
    <d v="1899-12-30T10:30:00"/>
    <n v="1"/>
    <n v="1"/>
    <n v="2"/>
    <x v="0"/>
  </r>
  <r>
    <x v="412"/>
    <n v="600004245629"/>
    <n v="1"/>
    <s v="E31"/>
    <s v="EQDENOM_31"/>
    <x v="30"/>
    <s v="WM06"/>
    <s v="SECTOR_31"/>
    <s v="PLANTA_2"/>
    <s v="PULIDORA"/>
    <s v="TRANSMISION"/>
    <s v="CADENA"/>
    <x v="142"/>
    <x v="0"/>
    <d v="2024-08-16T00:00:00"/>
    <x v="7"/>
    <x v="1"/>
    <n v="3"/>
    <d v="1899-12-30T09:30:00"/>
    <d v="1899-12-30T11:00:00"/>
    <n v="1.5"/>
    <n v="1.5"/>
    <n v="4.5"/>
    <x v="0"/>
  </r>
  <r>
    <x v="413"/>
    <n v="600004245095"/>
    <n v="1"/>
    <s v="E46"/>
    <s v="EQDENOM_46"/>
    <x v="45"/>
    <s v="WM06"/>
    <s v="SECTOR_46"/>
    <s v="PLANTA_2"/>
    <s v="PRENSA"/>
    <s v="VACIO"/>
    <s v="BOMBA"/>
    <x v="206"/>
    <x v="0"/>
    <d v="2024-08-13T00:00:00"/>
    <x v="7"/>
    <x v="1"/>
    <n v="2"/>
    <d v="1899-12-30T13:00:00"/>
    <d v="1899-12-30T15:00:00"/>
    <n v="2"/>
    <n v="2"/>
    <n v="4"/>
    <x v="0"/>
  </r>
  <r>
    <x v="413"/>
    <n v="600004245094"/>
    <n v="1"/>
    <s v="E15"/>
    <s v="EQDENOM_15"/>
    <x v="14"/>
    <s v="WM06"/>
    <s v="SECTOR_15"/>
    <s v="PLANTA_2"/>
    <s v="PRENSA"/>
    <s v="VACIO"/>
    <s v="BOMBA"/>
    <x v="115"/>
    <x v="0"/>
    <d v="2024-08-13T00:00:00"/>
    <x v="5"/>
    <x v="1"/>
    <n v="2"/>
    <d v="1899-12-30T12:00:00"/>
    <d v="1899-12-30T13:00:00"/>
    <n v="1"/>
    <n v="1"/>
    <n v="2"/>
    <x v="0"/>
  </r>
  <r>
    <x v="414"/>
    <n v="600004244759"/>
    <n v="1"/>
    <s v="E78"/>
    <s v="EQDENOM_76"/>
    <x v="77"/>
    <s v="WM04"/>
    <s v="SECTOR_78"/>
    <s v="PLANTA_2"/>
    <s v="TRANSPORT. PINTURA"/>
    <s v="INSTALACION ELECTRICA"/>
    <s v="NORIA"/>
    <x v="77"/>
    <x v="0"/>
    <d v="2024-08-12T00:00:00"/>
    <x v="3"/>
    <x v="0"/>
    <n v="1"/>
    <d v="1899-12-30T07:00:00"/>
    <d v="1899-12-30T09:30:00"/>
    <n v="2.5"/>
    <n v="2.5"/>
    <n v="2.5"/>
    <x v="3"/>
  </r>
  <r>
    <x v="414"/>
    <n v="600004244854"/>
    <n v="1"/>
    <s v="E65"/>
    <s v="EQDENOM_64"/>
    <x v="64"/>
    <s v="WM02"/>
    <s v="SECTOR_65"/>
    <s v="PLANTA_1"/>
    <s v="DISPERSORA"/>
    <s v="TRANSMISION"/>
    <s v="EJE"/>
    <x v="56"/>
    <x v="0"/>
    <d v="2024-08-15T00:00:00"/>
    <x v="9"/>
    <x v="1"/>
    <n v="1"/>
    <d v="1899-12-30T09:30:00"/>
    <d v="1899-12-30T14:30:00"/>
    <n v="5"/>
    <n v="5"/>
    <n v="5"/>
    <x v="3"/>
  </r>
  <r>
    <x v="415"/>
    <n v="600004244002"/>
    <n v="1"/>
    <s v="E57"/>
    <s v="EQDENOM_56"/>
    <x v="56"/>
    <s v="WM06"/>
    <s v="SECTOR_57"/>
    <s v="PLANTA_2"/>
    <s v="PRENSA"/>
    <s v="VAPOR"/>
    <s v="RETORNO"/>
    <x v="63"/>
    <x v="0"/>
    <d v="2024-08-08T00:00:00"/>
    <x v="5"/>
    <x v="1"/>
    <n v="3"/>
    <d v="1899-12-30T13:00:00"/>
    <d v="1899-12-30T14:30:00"/>
    <n v="1.5"/>
    <n v="1.5"/>
    <n v="4.5"/>
    <x v="0"/>
  </r>
  <r>
    <x v="416"/>
    <n v="600004244253"/>
    <n v="1"/>
    <s v="E78"/>
    <s v="EQDENOM_76"/>
    <x v="77"/>
    <s v="WM04"/>
    <s v="SECTOR_78"/>
    <s v="PLANTA_2"/>
    <s v="TRANSPORT. PINTURA"/>
    <s v="ACCESORIOS"/>
    <s v="NORIA"/>
    <x v="11"/>
    <x v="0"/>
    <d v="2024-08-09T00:00:00"/>
    <x v="7"/>
    <x v="1"/>
    <n v="2"/>
    <d v="1899-12-30T09:00:00"/>
    <d v="1899-12-30T10:00:00"/>
    <n v="1"/>
    <n v="1"/>
    <n v="2"/>
    <x v="0"/>
  </r>
  <r>
    <x v="416"/>
    <n v="600004244217"/>
    <n v="1"/>
    <s v="E101"/>
    <s v="EQDENOM_98"/>
    <x v="100"/>
    <s v="WM06"/>
    <s v="SECTOR_101"/>
    <s v="PLANTA_2"/>
    <s v="PRENSA"/>
    <s v="ACCESORIOS"/>
    <s v="CAJON DE TIRAS"/>
    <x v="232"/>
    <x v="0"/>
    <d v="2024-08-09T00:00:00"/>
    <x v="7"/>
    <x v="1"/>
    <n v="2"/>
    <d v="1899-12-30T07:00:00"/>
    <d v="1899-12-30T08:30:00"/>
    <n v="1.5"/>
    <n v="1.5"/>
    <n v="3"/>
    <x v="0"/>
  </r>
  <r>
    <x v="415"/>
    <n v="600004244001"/>
    <n v="1"/>
    <s v="E16"/>
    <s v="EQDENOM_16"/>
    <x v="15"/>
    <s v="WM07"/>
    <s v="SECTOR_16"/>
    <s v="PLANTA_2"/>
    <s v="CORTADORA"/>
    <s v="ACCESORIOS"/>
    <s v="SUJECION"/>
    <x v="146"/>
    <x v="0"/>
    <d v="2024-08-08T00:00:00"/>
    <x v="5"/>
    <x v="1"/>
    <n v="3"/>
    <d v="1899-12-30T14:30:00"/>
    <d v="1899-12-30T15:30:00"/>
    <n v="1"/>
    <n v="1"/>
    <n v="3"/>
    <x v="0"/>
  </r>
  <r>
    <x v="416"/>
    <n v="600004244216"/>
    <n v="1"/>
    <s v="E109"/>
    <s v="EQDENOM_105"/>
    <x v="108"/>
    <s v="WM09"/>
    <s v="SECTOR_109"/>
    <s v="PLANTA_2"/>
    <s v="PRENSA"/>
    <s v="ACCESORIOS"/>
    <s v="MESA"/>
    <x v="64"/>
    <x v="0"/>
    <d v="2024-08-09T00:00:00"/>
    <x v="5"/>
    <x v="1"/>
    <n v="3"/>
    <d v="1899-12-30T09:00:00"/>
    <d v="1899-12-30T10:30:00"/>
    <n v="1.5"/>
    <n v="1.5"/>
    <n v="4.5"/>
    <x v="0"/>
  </r>
  <r>
    <x v="417"/>
    <n v="600004243777"/>
    <n v="1"/>
    <s v="E26"/>
    <s v="EQDENOM_26"/>
    <x v="25"/>
    <s v="WM06"/>
    <s v="SECTOR_26"/>
    <s v="PLANTA_2"/>
    <s v="PRENSA"/>
    <s v="UNIDAD HIDRAULICA"/>
    <s v="PISTON"/>
    <x v="74"/>
    <x v="0"/>
    <d v="2024-08-07T00:00:00"/>
    <x v="5"/>
    <x v="1"/>
    <n v="2"/>
    <d v="1899-12-30T12:30:00"/>
    <d v="1899-12-30T13:30:00"/>
    <n v="1"/>
    <n v="1"/>
    <n v="2"/>
    <x v="0"/>
  </r>
  <r>
    <x v="418"/>
    <n v="600004243470"/>
    <n v="1"/>
    <s v="E34"/>
    <s v="EQDENOM_34"/>
    <x v="33"/>
    <s v="WM06"/>
    <s v="SECTOR_34"/>
    <s v="PLANTA_2"/>
    <s v="TRANSPORT. PINTURA"/>
    <s v="ACCESORIOS"/>
    <s v="VENTANA"/>
    <x v="184"/>
    <x v="0"/>
    <d v="2024-08-06T00:00:00"/>
    <x v="4"/>
    <x v="1"/>
    <n v="1"/>
    <d v="1899-12-30T13:30:00"/>
    <d v="1899-12-30T15:00:00"/>
    <n v="1.5"/>
    <n v="1.5"/>
    <n v="1.5"/>
    <x v="0"/>
  </r>
  <r>
    <x v="417"/>
    <n v="600004243750"/>
    <n v="1"/>
    <s v="E36"/>
    <s v="EQDENOM_36"/>
    <x v="35"/>
    <s v="WM06"/>
    <s v="SECTOR_36"/>
    <s v="PLANTA_2"/>
    <s v="PRENSA"/>
    <s v="VAPOR"/>
    <s v="PURGA"/>
    <x v="63"/>
    <x v="0"/>
    <d v="2024-08-07T00:00:00"/>
    <x v="5"/>
    <x v="1"/>
    <n v="3"/>
    <d v="1899-12-30T08:30:00"/>
    <d v="1899-12-30T10:00:00"/>
    <n v="1.5"/>
    <n v="1.5"/>
    <n v="4.5"/>
    <x v="0"/>
  </r>
  <r>
    <x v="412"/>
    <n v="600004245634"/>
    <n v="1"/>
    <s v="E02"/>
    <s v="EQDENOM_02"/>
    <x v="1"/>
    <s v="WM02"/>
    <s v="SECTOR_02"/>
    <s v="PLANTA_1"/>
    <s v="MEZCLADORA"/>
    <s v="ACCESORIOS"/>
    <s v="MEZCLADORA"/>
    <x v="176"/>
    <x v="0"/>
    <d v="2024-08-16T00:00:00"/>
    <x v="1"/>
    <x v="1"/>
    <n v="1"/>
    <d v="1899-12-30T13:00:00"/>
    <d v="1899-12-30T16:00:00"/>
    <n v="3"/>
    <n v="3"/>
    <n v="3"/>
    <x v="3"/>
  </r>
  <r>
    <x v="419"/>
    <n v="600004242415"/>
    <n v="1"/>
    <s v="E33"/>
    <s v="EQDENOM_33"/>
    <x v="32"/>
    <s v="WM02"/>
    <s v="SECTOR_33"/>
    <s v="PLANTA_1"/>
    <s v="ENVASADORA"/>
    <s v="ACCESORIOS"/>
    <s v="BOMBA"/>
    <x v="14"/>
    <x v="0"/>
    <d v="2024-08-02T00:00:00"/>
    <x v="8"/>
    <x v="1"/>
    <n v="2"/>
    <d v="1899-12-30T08:00:00"/>
    <d v="1899-12-30T10:00:00"/>
    <n v="2"/>
    <n v="2"/>
    <n v="4"/>
    <x v="0"/>
  </r>
  <r>
    <x v="420"/>
    <n v="600004246627"/>
    <n v="1"/>
    <s v="E100"/>
    <s v="EQDENOM_97"/>
    <x v="99"/>
    <s v="WM06"/>
    <s v="SECTOR_100"/>
    <s v="PLANTA_2"/>
    <s v="PRENSA"/>
    <s v="UNIDAD NEUMATICA"/>
    <s v="CAÑERIA"/>
    <x v="45"/>
    <x v="0"/>
    <d v="2024-08-23T00:00:00"/>
    <x v="5"/>
    <x v="1"/>
    <n v="2"/>
    <d v="1899-12-30T07:00:00"/>
    <d v="1899-12-30T15:30:00"/>
    <n v="8.5"/>
    <n v="8.5"/>
    <n v="17"/>
    <x v="1"/>
  </r>
  <r>
    <x v="420"/>
    <n v="600004246614"/>
    <n v="1"/>
    <s v="E18"/>
    <s v="EQDENOM_18"/>
    <x v="17"/>
    <s v="WM06"/>
    <s v="SECTOR_18"/>
    <s v="PLANTA_2"/>
    <s v="PRENSA"/>
    <s v="MESA"/>
    <s v="ANCLAJE"/>
    <x v="153"/>
    <x v="0"/>
    <d v="2024-08-21T00:00:00"/>
    <x v="7"/>
    <x v="1"/>
    <n v="2"/>
    <d v="1899-12-30T12:00:00"/>
    <d v="1899-12-30T14:00:00"/>
    <n v="2"/>
    <n v="2"/>
    <n v="4"/>
    <x v="0"/>
  </r>
  <r>
    <x v="415"/>
    <n v="600004243985"/>
    <n v="1"/>
    <s v="E30"/>
    <s v="EQDENOM_30"/>
    <x v="29"/>
    <s v="WM06"/>
    <s v="SECTOR_30"/>
    <s v="PLANTA_2"/>
    <s v="PRENSA"/>
    <s v="ACCESORIOS"/>
    <s v="MESA"/>
    <x v="55"/>
    <x v="0"/>
    <d v="2024-08-19T00:00:00"/>
    <x v="7"/>
    <x v="1"/>
    <n v="3"/>
    <d v="1899-12-30T07:00:00"/>
    <d v="1899-12-30T15:00:00"/>
    <n v="8"/>
    <n v="8"/>
    <n v="24"/>
    <x v="3"/>
  </r>
  <r>
    <x v="420"/>
    <n v="600004246615"/>
    <n v="1"/>
    <s v="E08"/>
    <s v="EQDENOM_08"/>
    <x v="7"/>
    <s v="WM06"/>
    <s v="SECTOR_08"/>
    <s v="PLANTA_2"/>
    <s v="PRENSA"/>
    <s v="INSTALACION ELECTRICA"/>
    <s v="ILUMINACION"/>
    <x v="80"/>
    <x v="0"/>
    <d v="2024-08-23T00:00:00"/>
    <x v="3"/>
    <x v="0"/>
    <n v="1"/>
    <d v="1899-12-30T14:00:00"/>
    <d v="1899-12-30T15:00:00"/>
    <n v="1"/>
    <n v="1"/>
    <n v="1"/>
    <x v="0"/>
  </r>
  <r>
    <x v="421"/>
    <n v="600004249053"/>
    <n v="1"/>
    <s v="E23"/>
    <s v="EQDENOM_23"/>
    <x v="22"/>
    <s v="WM06"/>
    <s v="SECTOR_23"/>
    <s v="PLANTA_2"/>
    <s v="PRENSA"/>
    <s v="UNIDAD NEUMATICA"/>
    <s v="DESMOLDE"/>
    <x v="106"/>
    <x v="0"/>
    <d v="2024-09-02T00:00:00"/>
    <x v="7"/>
    <x v="1"/>
    <n v="2"/>
    <d v="1899-12-30T12:30:00"/>
    <d v="1899-12-30T14:00:00"/>
    <n v="1.5"/>
    <n v="1.5"/>
    <n v="3"/>
    <x v="0"/>
  </r>
  <r>
    <x v="421"/>
    <n v="600004249072"/>
    <n v="1"/>
    <s v="E46"/>
    <s v="EQDENOM_46"/>
    <x v="45"/>
    <s v="WM06"/>
    <s v="SECTOR_46"/>
    <s v="PLANTA_2"/>
    <s v="PRENSA"/>
    <s v="INSTALACION ELECTRICA"/>
    <s v="MESA"/>
    <x v="233"/>
    <x v="0"/>
    <d v="2024-09-02T00:00:00"/>
    <x v="3"/>
    <x v="0"/>
    <n v="2"/>
    <d v="1899-12-30T13:00:00"/>
    <d v="1899-12-30T17:00:00"/>
    <n v="4"/>
    <n v="4"/>
    <n v="8"/>
    <x v="3"/>
  </r>
  <r>
    <x v="422"/>
    <n v="600004249543"/>
    <n v="1"/>
    <s v="E23"/>
    <s v="EQDENOM_23"/>
    <x v="22"/>
    <s v="WM06"/>
    <s v="SECTOR_23"/>
    <s v="PLANTA_2"/>
    <s v="PRENSA"/>
    <s v="TRANSMISION"/>
    <s v="MOTOR"/>
    <x v="234"/>
    <x v="1"/>
    <d v="2024-09-04T00:00:00"/>
    <x v="7"/>
    <x v="1"/>
    <n v="3"/>
    <d v="1899-12-30T11:00:00"/>
    <d v="1899-12-30T16:00:00"/>
    <n v="5"/>
    <n v="5"/>
    <n v="15"/>
    <x v="3"/>
  </r>
  <r>
    <x v="423"/>
    <n v="600004250365"/>
    <n v="1"/>
    <s v="E56"/>
    <s v="EQDENOM_47"/>
    <x v="55"/>
    <s v="WM06"/>
    <s v="SECTOR_56"/>
    <s v="PLANTA_2"/>
    <s v="CALDERA"/>
    <s v="ACCESORIOS"/>
    <s v="NIVEL"/>
    <x v="173"/>
    <x v="0"/>
    <d v="2024-09-09T00:00:00"/>
    <x v="7"/>
    <x v="1"/>
    <n v="2"/>
    <d v="1899-12-30T07:00:00"/>
    <d v="1899-12-30T11:30:00"/>
    <n v="4.5"/>
    <n v="4.5"/>
    <n v="9"/>
    <x v="3"/>
  </r>
  <r>
    <x v="424"/>
    <n v="600004250622"/>
    <n v="1"/>
    <s v="E47"/>
    <s v="EQDENOM_47"/>
    <x v="46"/>
    <s v="WM06"/>
    <s v="SECTOR_47"/>
    <s v="PLANTA_2"/>
    <s v="CALDERA"/>
    <s v="VAPOR"/>
    <s v="SEGURIDAD "/>
    <x v="11"/>
    <x v="0"/>
    <d v="2024-09-10T00:00:00"/>
    <x v="7"/>
    <x v="1"/>
    <n v="3"/>
    <d v="1899-12-30T08:00:00"/>
    <d v="1899-12-30T12:00:00"/>
    <n v="4"/>
    <n v="4"/>
    <n v="12"/>
    <x v="3"/>
  </r>
  <r>
    <x v="425"/>
    <n v="600004250785"/>
    <n v="1"/>
    <s v="E44"/>
    <s v="EQDENOM_44"/>
    <x v="43"/>
    <s v="WM06"/>
    <s v="SECTOR_44"/>
    <s v="PLANTA_2"/>
    <s v="CABINA DE PINTADO"/>
    <s v="CARRO"/>
    <s v="GUIA"/>
    <x v="13"/>
    <x v="0"/>
    <d v="2024-09-11T00:00:00"/>
    <x v="4"/>
    <x v="1"/>
    <n v="1"/>
    <d v="1899-12-30T09:00:00"/>
    <d v="1899-12-30T10:30:00"/>
    <n v="1.5"/>
    <n v="1.5"/>
    <n v="1.5"/>
    <x v="0"/>
  </r>
  <r>
    <x v="426"/>
    <n v="600004250993"/>
    <n v="1"/>
    <s v="E48"/>
    <s v="EQDENOM_48"/>
    <x v="47"/>
    <s v="WM06"/>
    <s v="SECTOR_48"/>
    <s v="PLANTA_2"/>
    <s v="PRENSA"/>
    <s v="INSTALACION ELECTRICA"/>
    <s v="CINTA "/>
    <x v="31"/>
    <x v="0"/>
    <d v="2024-09-12T00:00:00"/>
    <x v="5"/>
    <x v="0"/>
    <n v="2"/>
    <d v="1899-12-30T08:00:00"/>
    <d v="1899-12-30T09:30:00"/>
    <n v="1.5"/>
    <n v="1.5"/>
    <n v="3"/>
    <x v="0"/>
  </r>
  <r>
    <x v="421"/>
    <n v="600004249054"/>
    <n v="1"/>
    <s v="E70"/>
    <s v="EQDENOM_68"/>
    <x v="69"/>
    <s v="WM05"/>
    <s v="SECTOR_70"/>
    <s v="PLANTA_1"/>
    <s v="AUTOELEVADOR"/>
    <s v="INSTALACION ELECTRICA"/>
    <s v="ELEVACION"/>
    <x v="62"/>
    <x v="0"/>
    <d v="2024-09-11T00:00:00"/>
    <x v="2"/>
    <x v="0"/>
    <n v="3"/>
    <d v="1899-12-30T07:00:00"/>
    <d v="1899-12-30T16:00:00"/>
    <n v="9"/>
    <n v="9"/>
    <n v="27"/>
    <x v="1"/>
  </r>
  <r>
    <x v="427"/>
    <n v="600004252165"/>
    <n v="1"/>
    <s v="E15"/>
    <s v="EQDENOM_15"/>
    <x v="14"/>
    <s v="WM06"/>
    <s v="SECTOR_15"/>
    <s v="PLANTA_2"/>
    <s v="PRENSA"/>
    <s v="INSTALACION ELECTRICA"/>
    <s v="MESA"/>
    <x v="31"/>
    <x v="0"/>
    <d v="2024-09-18T00:00:00"/>
    <x v="3"/>
    <x v="0"/>
    <n v="1"/>
    <d v="1899-12-30T11:00:00"/>
    <d v="1899-12-30T12:00:00"/>
    <n v="1"/>
    <n v="1"/>
    <n v="1"/>
    <x v="0"/>
  </r>
  <r>
    <x v="428"/>
    <n v="600004252850"/>
    <n v="1"/>
    <s v="E101"/>
    <s v="EQDENOM_98"/>
    <x v="100"/>
    <s v="WM06"/>
    <s v="SECTOR_101"/>
    <s v="PLANTA_2"/>
    <s v="PRENSA"/>
    <s v="INSTALACION ELECTRICA"/>
    <s v="MESA"/>
    <x v="31"/>
    <x v="0"/>
    <d v="2024-09-23T00:00:00"/>
    <x v="3"/>
    <x v="0"/>
    <n v="1"/>
    <d v="1899-12-30T07:00:00"/>
    <d v="1899-12-30T07:30:00"/>
    <n v="0.5"/>
    <n v="0.5"/>
    <n v="0.5"/>
    <x v="0"/>
  </r>
  <r>
    <x v="429"/>
    <n v="600004252341"/>
    <n v="1"/>
    <s v="E08"/>
    <s v="EQDENOM_08"/>
    <x v="7"/>
    <s v="WM06"/>
    <s v="SECTOR_08"/>
    <s v="PLANTA_2"/>
    <s v="PRENSA"/>
    <s v="INSTALACION ELECTRICA"/>
    <s v="BOTONERA"/>
    <x v="148"/>
    <x v="0"/>
    <d v="2024-09-19T00:00:00"/>
    <x v="3"/>
    <x v="0"/>
    <n v="1"/>
    <d v="1899-12-30T14:00:00"/>
    <d v="1899-12-30T15:00:00"/>
    <n v="1"/>
    <n v="1"/>
    <n v="1"/>
    <x v="0"/>
  </r>
  <r>
    <x v="430"/>
    <n v="600004251698"/>
    <n v="1"/>
    <s v="E109"/>
    <s v="EQDENOM_105"/>
    <x v="108"/>
    <s v="WM09"/>
    <s v="SECTOR_109"/>
    <s v="PLANTA_2"/>
    <s v="PRENSA"/>
    <s v="ACCESORIOS"/>
    <s v="CABLE"/>
    <x v="1"/>
    <x v="1"/>
    <d v="2024-09-16T00:00:00"/>
    <x v="3"/>
    <x v="0"/>
    <n v="1"/>
    <d v="1899-12-30T15:00:00"/>
    <d v="1899-12-30T16:00:00"/>
    <n v="1"/>
    <n v="1"/>
    <n v="1"/>
    <x v="0"/>
  </r>
  <r>
    <x v="430"/>
    <n v="600004251580"/>
    <n v="1"/>
    <s v="E08"/>
    <s v="EQDENOM_08"/>
    <x v="7"/>
    <s v="WM06"/>
    <s v="SECTOR_08"/>
    <s v="PLANTA_2"/>
    <s v="PRENSA"/>
    <s v="INSTALACION ELECTRICA"/>
    <s v="ILUMINACION"/>
    <x v="111"/>
    <x v="0"/>
    <d v="2024-09-16T00:00:00"/>
    <x v="3"/>
    <x v="0"/>
    <n v="1"/>
    <d v="1899-12-30T08:30:00"/>
    <d v="1899-12-30T10:30:00"/>
    <n v="2"/>
    <n v="2"/>
    <n v="2"/>
    <x v="0"/>
  </r>
  <r>
    <x v="430"/>
    <n v="600004250787"/>
    <n v="1"/>
    <s v="E64"/>
    <s v="EQDENOM_63"/>
    <x v="63"/>
    <s v="WM06"/>
    <s v="SECTOR_64"/>
    <s v="PLANTA_2"/>
    <s v="PRENSA"/>
    <s v="ACCESORIOS"/>
    <s v="SEGURIDAD "/>
    <x v="235"/>
    <x v="1"/>
    <d v="2024-09-11T00:00:00"/>
    <x v="7"/>
    <x v="1"/>
    <n v="3"/>
    <d v="1899-12-30T09:30:00"/>
    <d v="1899-12-30T11:00:00"/>
    <n v="1.5"/>
    <n v="1.5"/>
    <n v="4.5"/>
    <x v="0"/>
  </r>
  <r>
    <x v="425"/>
    <n v="600004250788"/>
    <n v="1"/>
    <s v="E109"/>
    <s v="EQDENOM_105"/>
    <x v="108"/>
    <s v="WM09"/>
    <s v="SECTOR_109"/>
    <s v="PLANTA_2"/>
    <s v="PRENSA"/>
    <s v="UNIDAD NEUMATICA"/>
    <s v="ACCESORIOS"/>
    <x v="14"/>
    <x v="0"/>
    <d v="2024-09-11T00:00:00"/>
    <x v="7"/>
    <x v="1"/>
    <n v="2"/>
    <d v="1899-12-30T07:00:00"/>
    <d v="1899-12-30T08:30:00"/>
    <n v="1.5"/>
    <n v="1.5"/>
    <n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B3C306-3ED7-4E5E-ADB1-8D2957379D5D}" name="TablaDinámica5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4">
  <location ref="A269:D275" firstHeaderRow="1" firstDataRow="2" firstDataCol="1"/>
  <pivotFields count="27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sd="0" x="1"/>
        <item sd="0" x="0"/>
        <item h="1" sd="0" x="2"/>
        <item t="default" sd="0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sd="0" x="1"/>
        <item sd="0" x="2"/>
        <item sd="0" x="3"/>
        <item sd="0" x="4"/>
        <item x="0"/>
        <item x="5"/>
        <item t="default" sd="0"/>
      </items>
    </pivotField>
    <pivotField axis="axisRow" showAll="0">
      <items count="7">
        <item sd="0" x="1"/>
        <item sd="0" x="2"/>
        <item sd="0" x="3"/>
        <item sd="0" x="4"/>
        <item x="0"/>
        <item x="5"/>
        <item t="default" sd="0"/>
      </items>
    </pivotField>
    <pivotField dragToRow="0" dragToCol="0" dragToPage="0" showAll="0" defaultSubtotal="0"/>
  </pivotFields>
  <rowFields count="3">
    <field x="25"/>
    <field x="24"/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uenta de TURNO" fld="2" subtotal="count" baseField="13" baseItem="0"/>
  </dataFields>
  <chartFormats count="2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2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2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8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25" count="1" selected="0">
            <x v="3"/>
          </reference>
        </references>
      </pivotArea>
    </chartFormat>
    <chartFormat chart="2" format="49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25" count="1" selected="0">
            <x v="3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25" count="1" selected="0">
            <x v="3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25" count="1" selected="0">
            <x v="3"/>
          </reference>
        </references>
      </pivotArea>
    </chartFormat>
    <chartFormat chart="2" format="50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25" count="1" selected="0">
            <x v="0"/>
          </reference>
        </references>
      </pivotArea>
    </chartFormat>
    <chartFormat chart="2" format="51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25" count="1" selected="0">
            <x v="1"/>
          </reference>
        </references>
      </pivotArea>
    </chartFormat>
    <chartFormat chart="2" format="52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25" count="1" selected="0">
            <x v="2"/>
          </reference>
        </references>
      </pivotArea>
    </chartFormat>
    <chartFormat chart="2" format="53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25" count="1" selected="0">
            <x v="0"/>
          </reference>
        </references>
      </pivotArea>
    </chartFormat>
    <chartFormat chart="2" format="54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25" count="1" selected="0">
            <x v="1"/>
          </reference>
        </references>
      </pivotArea>
    </chartFormat>
    <chartFormat chart="2" format="55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25" count="1" selected="0">
            <x v="2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25" count="1" selected="0">
            <x v="0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25" count="1" selected="0">
            <x v="1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25" count="1" selected="0">
            <x v="2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25" count="1" selected="0">
            <x v="0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25" count="1" selected="0">
            <x v="1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2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52440F-E5FB-4815-8782-32A3F135C238}" name="TablaDinámica2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6">
  <location ref="A44:F50" firstHeaderRow="1" firstDataRow="2" firstDataCol="1"/>
  <pivotFields count="27">
    <pivotField axis="axisRow" numFmtId="14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numFmtId="1" showAll="0"/>
    <pivotField showAll="0"/>
    <pivotField showAll="0"/>
    <pivotField showAll="0"/>
    <pivotField axis="axisRow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1"/>
        <item x="3"/>
        <item x="0"/>
        <item x="2"/>
        <item t="default"/>
      </items>
    </pivotField>
    <pivotField axis="axisRow" showAll="0">
      <items count="7">
        <item sd="0" x="1"/>
        <item sd="0" x="2"/>
        <item sd="0" x="3"/>
        <item sd="0" x="4"/>
        <item x="0"/>
        <item x="5"/>
        <item t="default" sd="0"/>
      </items>
    </pivotField>
    <pivotField axis="axisRow" showAll="0">
      <items count="7">
        <item sd="0" x="1"/>
        <item sd="0" x="2"/>
        <item sd="0" x="3"/>
        <item sd="0" x="4"/>
        <item x="0"/>
        <item x="5"/>
        <item t="default" sd="0"/>
      </items>
    </pivotField>
    <pivotField dragToRow="0" dragToCol="0" dragToPage="0" showAll="0" defaultSubtotal="0"/>
  </pivotFields>
  <rowFields count="4">
    <field x="25"/>
    <field x="24"/>
    <field x="0"/>
    <field x="5"/>
  </rowFields>
  <rowItems count="5">
    <i>
      <x/>
    </i>
    <i>
      <x v="1"/>
    </i>
    <i>
      <x v="2"/>
    </i>
    <i>
      <x v="3"/>
    </i>
    <i t="grand">
      <x/>
    </i>
  </rowItems>
  <colFields count="1">
    <field x="23"/>
  </colFields>
  <colItems count="5">
    <i>
      <x/>
    </i>
    <i>
      <x v="1"/>
    </i>
    <i>
      <x v="2"/>
    </i>
    <i>
      <x v="3"/>
    </i>
    <i t="grand">
      <x/>
    </i>
  </colItems>
  <dataFields count="1">
    <dataField name="Cuenta de GRADO    INCIDENCIA FALLA" fld="23" subtotal="count" baseField="0" baseItem="0"/>
  </dataFields>
  <chartFormats count="10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2" format="10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2" format="10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2" format="10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2" format="10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2" format="10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AC773E-863C-41D1-B9A6-62C576E52FC2}" name="TablaDinámica12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6">
  <location ref="BC164:BD175" firstHeaderRow="1" firstDataRow="1" firstDataCol="1"/>
  <pivotFields count="27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axis="axisRow" showAll="0" sortType="ascending">
      <items count="11">
        <item x="0"/>
        <item x="1"/>
        <item x="2"/>
        <item x="3"/>
        <item x="4"/>
        <item x="5"/>
        <item x="6"/>
        <item x="7"/>
        <item x="8"/>
        <item x="9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dragToRow="0" dragToCol="0" dragToPage="0" showAll="0" defaultSubtotal="0"/>
  </pivotFields>
  <rowFields count="1">
    <field x="15"/>
  </rowFields>
  <rowItems count="11">
    <i>
      <x/>
    </i>
    <i>
      <x v="9"/>
    </i>
    <i>
      <x v="8"/>
    </i>
    <i>
      <x v="4"/>
    </i>
    <i>
      <x v="6"/>
    </i>
    <i>
      <x v="3"/>
    </i>
    <i>
      <x v="1"/>
    </i>
    <i>
      <x v="2"/>
    </i>
    <i>
      <x v="7"/>
    </i>
    <i>
      <x v="5"/>
    </i>
    <i t="grand">
      <x/>
    </i>
  </rowItems>
  <colItems count="1">
    <i/>
  </colItems>
  <dataFields count="1">
    <dataField name="Suma de TOTAL HS. HOMBRE" fld="22" baseField="0" baseItem="0"/>
  </dataFields>
  <formats count="1">
    <format dxfId="29">
      <pivotArea outline="0" collapsedLevelsAreSubtotals="1" fieldPosition="0"/>
    </format>
  </formats>
  <chartFormats count="2">
    <chartFormat chart="4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C42791-A967-47D7-86B2-7C5919276640}" name="TablaDinámica7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3">
  <location ref="BD216:BE247" firstHeaderRow="1" firstDataRow="1" firstDataCol="1"/>
  <pivotFields count="27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7">
        <item x="1"/>
        <item x="2"/>
        <item x="3"/>
        <item x="4"/>
        <item x="0"/>
        <item x="5"/>
        <item t="default"/>
      </items>
    </pivotField>
    <pivotField dragToRow="0" dragToCol="0" dragToPage="0" showAll="0" defaultSubtotal="0"/>
  </pivotFields>
  <rowFields count="3">
    <field x="25"/>
    <field x="24"/>
    <field x="0"/>
  </rowFields>
  <rowItems count="31">
    <i>
      <x v="2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r="1">
      <x v="3"/>
    </i>
    <i r="2">
      <x v="10"/>
    </i>
    <i r="2">
      <x v="11"/>
    </i>
    <i r="2">
      <x v="12"/>
    </i>
    <i>
      <x v="3"/>
    </i>
    <i r="1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 v="7"/>
    </i>
    <i r="2">
      <x v="8"/>
    </i>
    <i r="2">
      <x v="9"/>
    </i>
    <i t="grand">
      <x/>
    </i>
  </rowItems>
  <colItems count="1">
    <i/>
  </colItems>
  <dataFields count="1">
    <dataField name="Cuenta de TURNO" fld="2" subtotal="count" showDataAs="percentOfTotal" baseField="24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0" name="FECHA         ORDEN">
      <autoFilter ref="A1">
        <filterColumn colId="0">
          <customFilters and="1">
            <customFilter operator="greaterThanOrEqual" val="44927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A9BE3-4CEF-4500-9E39-E544A2A1EEAE}" name="TablaDinámica1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16">
  <location ref="A3:B14" firstHeaderRow="1" firstDataRow="1" firstDataCol="1"/>
  <pivotFields count="27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axis="axisRow" showAll="0" sortType="descending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dragToRow="0" dragToCol="0" dragToPage="0" showAll="0" defaultSubtotal="0"/>
  </pivotFields>
  <rowFields count="1">
    <field x="15"/>
  </rowFields>
  <rowItems count="11">
    <i>
      <x v="5"/>
    </i>
    <i>
      <x v="7"/>
    </i>
    <i>
      <x v="3"/>
    </i>
    <i>
      <x v="4"/>
    </i>
    <i>
      <x v="6"/>
    </i>
    <i>
      <x v="1"/>
    </i>
    <i>
      <x v="2"/>
    </i>
    <i>
      <x v="8"/>
    </i>
    <i>
      <x v="9"/>
    </i>
    <i>
      <x/>
    </i>
    <i t="grand">
      <x/>
    </i>
  </rowItems>
  <colItems count="1">
    <i/>
  </colItems>
  <dataFields count="1">
    <dataField name="Suma de TURNO" fld="2" baseField="0" baseItem="0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6">
      <pivotArea type="data" outline="0" fieldPosition="0">
        <references count="2">
          <reference field="4294967294" count="1" selected="0">
            <x v="0"/>
          </reference>
          <reference field="15" count="1" selected="0">
            <x v="5"/>
          </reference>
        </references>
      </pivotArea>
    </chartFormat>
    <chartFormat chart="2" format="47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  <chartFormat chart="2" format="48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2" format="49">
      <pivotArea type="data" outline="0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chartFormat>
    <chartFormat chart="2" format="50">
      <pivotArea type="data" outline="0" fieldPosition="0">
        <references count="2">
          <reference field="4294967294" count="1" selected="0">
            <x v="0"/>
          </reference>
          <reference field="15" count="1" selected="0">
            <x v="6"/>
          </reference>
        </references>
      </pivotArea>
    </chartFormat>
    <chartFormat chart="2" format="5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2" format="52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2" format="53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2" format="54">
      <pivotArea type="data" outline="0" fieldPosition="0">
        <references count="2">
          <reference field="4294967294" count="1" selected="0">
            <x v="0"/>
          </reference>
          <reference field="15" count="1" selected="0">
            <x v="9"/>
          </reference>
        </references>
      </pivotArea>
    </chartFormat>
    <chartFormat chart="2" format="55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110D33-D105-4C1F-A8AC-3D8E52D72397}" name="TablaDinámica8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9">
  <location ref="CF130:CG141" firstHeaderRow="1" firstDataRow="1" firstDataCol="1"/>
  <pivotFields count="27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dataField="1" showAll="0"/>
    <pivotField showAll="0"/>
    <pivotField showAll="0"/>
    <pivotField showAll="0">
      <items count="110">
        <item x="0"/>
        <item x="1"/>
        <item x="2"/>
        <item x="3"/>
        <item x="4"/>
        <item x="5"/>
        <item x="6"/>
        <item x="7"/>
        <item x="8"/>
        <item x="9"/>
        <item x="99"/>
        <item x="100"/>
        <item x="101"/>
        <item x="102"/>
        <item x="103"/>
        <item x="104"/>
        <item x="105"/>
        <item x="106"/>
        <item x="107"/>
        <item x="10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measureFilter="1" sortType="ascending">
      <items count="237">
        <item x="9"/>
        <item x="98"/>
        <item x="175"/>
        <item x="26"/>
        <item x="157"/>
        <item x="154"/>
        <item x="5"/>
        <item x="23"/>
        <item x="143"/>
        <item x="145"/>
        <item x="105"/>
        <item x="103"/>
        <item x="30"/>
        <item x="34"/>
        <item x="37"/>
        <item x="7"/>
        <item x="99"/>
        <item x="44"/>
        <item x="121"/>
        <item x="54"/>
        <item x="162"/>
        <item x="55"/>
        <item x="163"/>
        <item x="153"/>
        <item x="81"/>
        <item x="87"/>
        <item x="123"/>
        <item x="62"/>
        <item x="41"/>
        <item x="133"/>
        <item x="149"/>
        <item x="141"/>
        <item x="93"/>
        <item x="10"/>
        <item x="165"/>
        <item x="140"/>
        <item x="113"/>
        <item x="40"/>
        <item x="108"/>
        <item x="125"/>
        <item x="101"/>
        <item x="131"/>
        <item x="72"/>
        <item x="52"/>
        <item x="1"/>
        <item x="151"/>
        <item x="128"/>
        <item x="148"/>
        <item x="3"/>
        <item x="2"/>
        <item x="20"/>
        <item x="65"/>
        <item x="18"/>
        <item x="138"/>
        <item x="73"/>
        <item x="43"/>
        <item x="56"/>
        <item x="91"/>
        <item x="59"/>
        <item x="92"/>
        <item x="120"/>
        <item x="68"/>
        <item x="25"/>
        <item x="115"/>
        <item x="22"/>
        <item x="174"/>
        <item x="17"/>
        <item x="136"/>
        <item x="135"/>
        <item x="75"/>
        <item x="24"/>
        <item x="46"/>
        <item x="19"/>
        <item x="90"/>
        <item x="177"/>
        <item x="112"/>
        <item x="127"/>
        <item x="79"/>
        <item x="38"/>
        <item x="27"/>
        <item x="155"/>
        <item x="35"/>
        <item x="29"/>
        <item x="58"/>
        <item x="14"/>
        <item x="107"/>
        <item x="70"/>
        <item x="4"/>
        <item x="21"/>
        <item x="64"/>
        <item x="158"/>
        <item x="77"/>
        <item x="161"/>
        <item x="86"/>
        <item x="0"/>
        <item x="122"/>
        <item x="132"/>
        <item x="100"/>
        <item x="176"/>
        <item x="88"/>
        <item x="124"/>
        <item x="71"/>
        <item x="39"/>
        <item x="82"/>
        <item x="180"/>
        <item x="139"/>
        <item x="28"/>
        <item x="84"/>
        <item x="182"/>
        <item x="45"/>
        <item x="85"/>
        <item x="106"/>
        <item x="104"/>
        <item x="110"/>
        <item x="159"/>
        <item x="97"/>
        <item x="134"/>
        <item x="152"/>
        <item x="160"/>
        <item x="69"/>
        <item x="48"/>
        <item x="53"/>
        <item x="166"/>
        <item x="130"/>
        <item x="80"/>
        <item x="95"/>
        <item x="117"/>
        <item x="96"/>
        <item x="171"/>
        <item x="111"/>
        <item x="178"/>
        <item x="42"/>
        <item x="60"/>
        <item x="12"/>
        <item x="13"/>
        <item x="119"/>
        <item x="50"/>
        <item x="147"/>
        <item x="83"/>
        <item x="74"/>
        <item x="36"/>
        <item x="94"/>
        <item x="16"/>
        <item x="33"/>
        <item x="31"/>
        <item x="129"/>
        <item x="47"/>
        <item x="114"/>
        <item x="102"/>
        <item x="156"/>
        <item x="137"/>
        <item x="118"/>
        <item x="49"/>
        <item x="32"/>
        <item x="167"/>
        <item x="172"/>
        <item x="164"/>
        <item x="89"/>
        <item x="181"/>
        <item x="78"/>
        <item x="146"/>
        <item x="6"/>
        <item x="170"/>
        <item x="150"/>
        <item x="144"/>
        <item x="179"/>
        <item x="8"/>
        <item x="116"/>
        <item x="169"/>
        <item x="57"/>
        <item x="142"/>
        <item x="61"/>
        <item x="63"/>
        <item x="11"/>
        <item x="168"/>
        <item x="126"/>
        <item x="67"/>
        <item x="109"/>
        <item x="51"/>
        <item x="66"/>
        <item x="76"/>
        <item x="173"/>
        <item x="15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1"/>
        <item x="3"/>
        <item x="0"/>
        <item x="2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dragToRow="0" dragToCol="0" dragToPage="0" showAll="0" defaultSubtotal="0"/>
  </pivotFields>
  <rowFields count="1">
    <field x="12"/>
  </rowFields>
  <rowItems count="11">
    <i>
      <x v="172"/>
    </i>
    <i>
      <x v="13"/>
    </i>
    <i>
      <x v="132"/>
    </i>
    <i>
      <x v="107"/>
    </i>
    <i>
      <x v="43"/>
    </i>
    <i>
      <x v="173"/>
    </i>
    <i>
      <x v="142"/>
    </i>
    <i>
      <x v="166"/>
    </i>
    <i>
      <x v="144"/>
    </i>
    <i>
      <x v="84"/>
    </i>
    <i t="grand">
      <x/>
    </i>
  </rowItems>
  <colItems count="1">
    <i/>
  </colItems>
  <dataFields count="1">
    <dataField name="Suma de TURNO" fld="2" showDataAs="percentOfTotal" baseField="12" baseItem="9" numFmtId="10"/>
  </dataFields>
  <chartFormats count="8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8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1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2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5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6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2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3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4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8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9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0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2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3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5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6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52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58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63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64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66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68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71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72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7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81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82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84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86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88"/>
          </reference>
        </references>
      </pivotArea>
    </chartFormat>
    <chartFormat chart="3" format="4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89"/>
          </reference>
        </references>
      </pivotArea>
    </chartFormat>
    <chartFormat chart="3" format="4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97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2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7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9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0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1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2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6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7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8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9"/>
          </reference>
        </references>
      </pivotArea>
    </chartFormat>
    <chartFormat chart="3" format="5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0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2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4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6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7"/>
          </reference>
        </references>
      </pivotArea>
    </chartFormat>
    <chartFormat chart="3" format="5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9"/>
          </reference>
        </references>
      </pivotArea>
    </chartFormat>
    <chartFormat chart="3" format="5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2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5"/>
          </reference>
        </references>
      </pivotArea>
    </chartFormat>
    <chartFormat chart="3" format="6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6"/>
          </reference>
        </references>
      </pivotArea>
    </chartFormat>
    <chartFormat chart="3" format="6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8"/>
          </reference>
        </references>
      </pivotArea>
    </chartFormat>
    <chartFormat chart="3" format="6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9"/>
          </reference>
        </references>
      </pivotArea>
    </chartFormat>
    <chartFormat chart="3" format="6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1"/>
          </reference>
        </references>
      </pivotArea>
    </chartFormat>
    <chartFormat chart="3" format="6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2"/>
          </reference>
        </references>
      </pivotArea>
    </chartFormat>
    <chartFormat chart="3" format="6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3"/>
          </reference>
        </references>
      </pivotArea>
    </chartFormat>
    <chartFormat chart="3" format="6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4"/>
          </reference>
        </references>
      </pivotArea>
    </chartFormat>
    <chartFormat chart="3" format="6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5"/>
          </reference>
        </references>
      </pivotArea>
    </chartFormat>
    <chartFormat chart="3" format="6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6"/>
          </reference>
        </references>
      </pivotArea>
    </chartFormat>
    <chartFormat chart="3" format="6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7"/>
          </reference>
        </references>
      </pivotArea>
    </chartFormat>
    <chartFormat chart="3" format="7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9"/>
          </reference>
        </references>
      </pivotArea>
    </chartFormat>
    <chartFormat chart="3" format="7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0"/>
          </reference>
        </references>
      </pivotArea>
    </chartFormat>
    <chartFormat chart="3" format="7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3"/>
          </reference>
        </references>
      </pivotArea>
    </chartFormat>
    <chartFormat chart="3" format="7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7"/>
          </reference>
        </references>
      </pivotArea>
    </chartFormat>
    <chartFormat chart="3" format="7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9"/>
          </reference>
        </references>
      </pivotArea>
    </chartFormat>
    <chartFormat chart="3" format="7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5"/>
          </reference>
        </references>
      </pivotArea>
    </chartFormat>
    <chartFormat chart="3" format="7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6"/>
          </reference>
        </references>
      </pivotArea>
    </chartFormat>
    <chartFormat chart="3" format="7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7"/>
          </reference>
        </references>
      </pivotArea>
    </chartFormat>
    <chartFormat chart="3" format="7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8"/>
          </reference>
        </references>
      </pivotArea>
    </chartFormat>
    <chartFormat chart="3" format="7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9"/>
          </reference>
        </references>
      </pivotArea>
    </chartFormat>
    <chartFormat chart="3" format="8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2"/>
          </reference>
        </references>
      </pivotArea>
    </chartFormat>
    <chartFormat chart="3" format="8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3"/>
          </reference>
        </references>
      </pivotArea>
    </chartFormat>
    <chartFormat chart="3" format="8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5"/>
          </reference>
        </references>
      </pivotArea>
    </chartFormat>
    <chartFormat chart="3" format="8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6"/>
          </reference>
        </references>
      </pivotArea>
    </chartFormat>
    <chartFormat chart="3" format="8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7"/>
          </reference>
        </references>
      </pivotArea>
    </chartFormat>
    <chartFormat chart="3" format="8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8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9"/>
          </reference>
        </references>
      </pivotArea>
    </chartFormat>
    <chartFormat chart="3" format="8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2" type="count" evalOrder="-1" id="80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0FEBB8-33C0-4A4D-837F-E33FB6B88E89}" name="TablaDinámica6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7">
  <location ref="A329:C439" firstHeaderRow="0" firstDataRow="1" firstDataCol="1"/>
  <pivotFields count="27">
    <pivotField numFmtId="1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numFmtId="1" showAll="0"/>
    <pivotField dataField="1" showAll="0"/>
    <pivotField showAll="0"/>
    <pivotField showAll="0"/>
    <pivotField axis="axisRow" showAll="0" sortType="ascending">
      <items count="110">
        <item x="0"/>
        <item x="1"/>
        <item x="2"/>
        <item x="3"/>
        <item x="4"/>
        <item x="5"/>
        <item x="6"/>
        <item x="7"/>
        <item x="8"/>
        <item x="9"/>
        <item x="99"/>
        <item x="100"/>
        <item x="101"/>
        <item x="102"/>
        <item x="103"/>
        <item x="104"/>
        <item x="105"/>
        <item x="106"/>
        <item x="107"/>
        <item x="10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>
      <items count="5">
        <item x="1"/>
        <item x="3"/>
        <item x="0"/>
        <item x="2"/>
        <item t="default"/>
      </items>
    </pivotField>
    <pivotField showAll="0" sortType="ascending">
      <items count="7">
        <item x="0"/>
        <item x="5"/>
        <item x="1"/>
        <item x="2"/>
        <item x="3"/>
        <item x="4"/>
        <item t="default"/>
      </items>
    </pivotField>
    <pivotField showAll="0" sortType="ascending">
      <items count="7">
        <item x="0"/>
        <item x="5"/>
        <item x="1"/>
        <item x="2"/>
        <item x="3"/>
        <item x="4"/>
        <item t="default"/>
      </items>
    </pivotField>
    <pivotField dragToRow="0" dragToCol="0" dragToPage="0" showAll="0" defaultSubtotal="0"/>
  </pivotFields>
  <rowFields count="1">
    <field x="5"/>
  </rowFields>
  <rowItems count="1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TURNO" fld="2" baseField="0" baseItem="0"/>
    <dataField name="Suma de TIEMPO PARADA" fld="21" baseField="5" baseItem="0"/>
  </dataFields>
  <chartFormats count="4">
    <chartFormat chart="0" format="6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6CF17B-7D7E-4285-8F9B-B152A5766C15}" name="TablaDinámica4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10">
  <location ref="AI48:AS63" firstHeaderRow="1" firstDataRow="3" firstDataCol="1"/>
  <pivotFields count="27">
    <pivotField axis="axisRow" numFmtId="14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numFmtId="1" showAll="0"/>
    <pivotField dataField="1" showAll="0"/>
    <pivotField showAll="0"/>
    <pivotField showAll="0"/>
    <pivotField axis="axisRow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1"/>
        <item x="2"/>
        <item x="3"/>
        <item x="4"/>
        <item x="0"/>
        <item x="5"/>
        <item t="default"/>
      </items>
    </pivotField>
    <pivotField axis="axisCol" showAll="0">
      <items count="7">
        <item x="1"/>
        <item x="2"/>
        <item x="3"/>
        <item x="4"/>
        <item x="0"/>
        <item x="5"/>
        <item t="default"/>
      </items>
    </pivotField>
    <pivotField dataField="1" dragToRow="0" dragToCol="0" dragToPage="0" showAll="0" defaultSubtotal="0"/>
  </pivotFields>
  <rowFields count="3">
    <field x="0"/>
    <field x="5"/>
    <field x="2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2">
    <field x="25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dataFields count="2">
    <dataField name="Cuenta de TURNO" fld="2" subtotal="count" baseField="0" baseItem="1"/>
    <dataField name="Suma de objetivo" fld="26" baseField="0" baseItem="0"/>
  </dataFields>
  <chartFormats count="4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2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3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0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"/>
          </reference>
        </references>
      </pivotArea>
    </chartFormat>
    <chartFormat chart="2" format="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25" count="1" selected="0">
            <x v="2"/>
          </reference>
        </references>
      </pivotArea>
    </chartFormat>
    <chartFormat chart="2" format="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25" count="1" selected="0">
            <x v="0"/>
          </reference>
        </references>
      </pivotArea>
    </chartFormat>
    <chartFormat chart="2" format="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25" count="1" selected="0">
            <x v="3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1"/>
          </reference>
        </references>
      </pivotArea>
    </chartFormat>
    <chartFormat chart="2" format="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25" count="1" selected="0">
            <x v="2"/>
          </reference>
        </references>
      </pivotArea>
    </chartFormat>
    <chartFormat chart="2" format="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25" count="1" selected="0">
            <x v="1"/>
          </reference>
        </references>
      </pivotArea>
    </chartFormat>
    <chartFormat chart="2" format="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25" count="1" selected="0">
            <x v="0"/>
          </reference>
        </references>
      </pivotArea>
    </chartFormat>
    <chartFormat chart="2" format="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5" count="1" selected="0">
            <x v="3"/>
          </reference>
        </references>
      </pivotArea>
    </chartFormat>
    <chartFormat chart="2" format="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5" count="1" selected="0">
            <x v="3"/>
          </reference>
        </references>
      </pivotArea>
    </chartFormat>
    <chartFormat chart="2" format="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25" count="1" selected="0">
            <x v="3"/>
          </reference>
        </references>
      </pivotArea>
    </chartFormat>
    <chartFormat chart="2" format="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25" count="1" selected="0">
            <x v="3"/>
          </reference>
        </references>
      </pivotArea>
    </chartFormat>
    <chartFormat chart="2" format="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25" count="1" selected="0">
            <x v="3"/>
          </reference>
        </references>
      </pivotArea>
    </chartFormat>
    <chartFormat chart="2" format="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5" count="1" selected="0">
            <x v="0"/>
          </reference>
        </references>
      </pivotArea>
    </chartFormat>
    <chartFormat chart="2" format="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5" count="1" selected="0">
            <x v="0"/>
          </reference>
        </references>
      </pivotArea>
    </chartFormat>
    <chartFormat chart="2" format="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25" count="1" selected="0">
            <x v="0"/>
          </reference>
        </references>
      </pivotArea>
    </chartFormat>
    <chartFormat chart="2" format="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25" count="1" selected="0">
            <x v="0"/>
          </reference>
        </references>
      </pivotArea>
    </chartFormat>
    <chartFormat chart="2" format="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25" count="1" selected="0">
            <x v="0"/>
          </reference>
        </references>
      </pivotArea>
    </chartFormat>
    <chartFormat chart="2" format="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25" count="1" selected="0">
            <x v="0"/>
          </reference>
        </references>
      </pivotArea>
    </chartFormat>
    <chartFormat chart="2" format="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25" count="1" selected="0">
            <x v="0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0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1"/>
          </reference>
          <reference field="25" count="1" selected="0">
            <x v="2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1"/>
          </reference>
          <reference field="25" count="1" selected="0">
            <x v="3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1"/>
          </reference>
          <reference field="25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1"/>
          </reference>
          <reference field="25" count="1" selected="0">
            <x v="1"/>
          </reference>
        </references>
      </pivotArea>
    </chartFormat>
    <chartFormat chart="2" format="140" series="1">
      <pivotArea type="data" outline="0" fieldPosition="0">
        <references count="2">
          <reference field="4294967294" count="1" selected="0">
            <x v="1"/>
          </reference>
          <reference field="25" count="1" selected="0">
            <x v="2"/>
          </reference>
        </references>
      </pivotArea>
    </chartFormat>
    <chartFormat chart="2" format="141" series="1">
      <pivotArea type="data" outline="0" fieldPosition="0">
        <references count="2">
          <reference field="4294967294" count="1" selected="0">
            <x v="1"/>
          </reference>
          <reference field="25" count="1" selected="0">
            <x v="3"/>
          </reference>
        </references>
      </pivotArea>
    </chartFormat>
    <chartFormat chart="2" format="142" series="1">
      <pivotArea type="data" outline="0" fieldPosition="0">
        <references count="2">
          <reference field="4294967294" count="1" selected="0">
            <x v="1"/>
          </reference>
          <reference field="25" count="1" selected="0">
            <x v="0"/>
          </reference>
        </references>
      </pivotArea>
    </chartFormat>
    <chartFormat chart="2" format="143" series="1">
      <pivotArea type="data" outline="0" fieldPosition="0">
        <references count="2">
          <reference field="4294967294" count="1" selected="0">
            <x v="1"/>
          </reference>
          <reference field="25" count="1" selected="0">
            <x v="1"/>
          </reference>
        </references>
      </pivotArea>
    </chartFormat>
    <chartFormat chart="2" format="144" series="1">
      <pivotArea type="data" grandCol="1" outline="0" fieldPosition="0">
        <references count="1">
          <reference field="4294967294" count="1" selected="0">
            <x v="0"/>
          </reference>
        </references>
      </pivotArea>
    </chartFormat>
    <chartFormat chart="2" format="145" series="1">
      <pivotArea type="data" grandCol="1" outline="0" fieldPosition="0">
        <references count="1">
          <reference field="4294967294" count="1" selected="0">
            <x v="1"/>
          </reference>
        </references>
      </pivotArea>
    </chartFormat>
    <chartFormat chart="0" format="92" series="1">
      <pivotArea type="data" grandCol="1" outline="0" fieldPosition="0">
        <references count="1">
          <reference field="4294967294" count="1" selected="0">
            <x v="0"/>
          </reference>
        </references>
      </pivotArea>
    </chartFormat>
    <chartFormat chart="0" format="93" series="1">
      <pivotArea type="data" grandCol="1" outline="0" fieldPosition="0">
        <references count="1">
          <reference field="4294967294" count="1" selected="0">
            <x v="1"/>
          </reference>
        </references>
      </pivotArea>
    </chartFormat>
    <chartFormat chart="2" format="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25" count="1" selected="0">
            <x v="3"/>
          </reference>
        </references>
      </pivotArea>
    </chartFormat>
    <chartFormat chart="2" format="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2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EE7446-EB14-458E-83C6-EB5D7B1AB8A6}" name="TablaDinámica3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5">
  <location ref="A137:B247" firstHeaderRow="1" firstDataRow="1" firstDataCol="1"/>
  <pivotFields count="27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showAll="0"/>
    <pivotField showAll="0"/>
    <pivotField showAll="0"/>
    <pivotField axis="axisRow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dragToRow="0" dragToCol="0" dragToPage="0" showAll="0" defaultSubtotal="0"/>
  </pivotFields>
  <rowFields count="1">
    <field x="5"/>
  </rowFields>
  <rowItems count="1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 t="grand">
      <x/>
    </i>
  </rowItems>
  <colItems count="1">
    <i/>
  </colItems>
  <dataFields count="1">
    <dataField name="Suma de TIEMPO PARADA" fld="21" baseField="5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180" name="FECHA         ORDEN">
      <autoFilter ref="A1">
        <filterColumn colId="0">
          <customFilters and="1">
            <customFilter operator="greaterThanOrEqual" val="44927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20B351-05DD-4EF2-9F66-59282CA403EA}" name="TablaDinámica10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7">
  <location ref="A3:B8" firstHeaderRow="1" firstDataRow="1" firstDataCol="1"/>
  <pivotFields count="27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dragToRow="0" dragToCol="0" dragToPage="0" showAll="0" defaultSubtotal="0"/>
  </pivotFields>
  <rowFields count="1">
    <field x="1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TOTAL HS. HOMBRE" fld="22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SONA_A_CARGO" xr10:uid="{445D5482-3681-451F-9020-5422FA797639}" sourceName="PERSONA A CARGO">
  <pivotTables>
    <pivotTable tabId="20" name="TablaDinámica4"/>
    <pivotTable tabId="20" name="TablaDinámica6"/>
  </pivotTables>
  <data>
    <tabular pivotCacheId="1783107011">
      <items count="10">
        <i x="0" s="1"/>
        <i x="1" s="1"/>
        <i x="2" s="1"/>
        <i x="3" s="1"/>
        <i x="4" s="1"/>
        <i x="5" s="1"/>
        <i x="6" s="1"/>
        <i x="7" s="1"/>
        <i x="8" s="1"/>
        <i x="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RADO____INCIDENCIA_FALLA" xr10:uid="{0B0DE15F-1891-4D78-9154-C5C001A156D5}" sourceName="GRADO    INCIDENCIA FALLA">
  <pivotTables>
    <pivotTable tabId="20" name="TablaDinámica2"/>
    <pivotTable tabId="20" name="TablaDinámica6"/>
    <pivotTable tabId="20" name="TablaDinámica8"/>
  </pivotTables>
  <data>
    <tabular pivotCacheId="1783107011">
      <items count="4">
        <i x="1" s="1"/>
        <i x="3" s="1"/>
        <i x="0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D_EQUIPO1" xr10:uid="{E29753EF-74E7-41DB-A766-01DED6DD12CE}" sourceName="ID-EQUIPO">
  <pivotTables>
    <pivotTable tabId="20" name="TablaDinámica4"/>
    <pivotTable tabId="20" name="TablaDinámica6"/>
    <pivotTable tabId="20" name="TablaDinámica8"/>
  </pivotTables>
  <data>
    <tabular pivotCacheId="1783107011">
      <items count="109">
        <i x="0" s="1"/>
        <i x="1" s="1"/>
        <i x="2" s="1"/>
        <i x="3" s="1"/>
        <i x="4" s="1"/>
        <i x="5" s="1"/>
        <i x="6" s="1"/>
        <i x="7" s="1"/>
        <i x="8" s="1"/>
        <i x="9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SONA A CARGO" xr10:uid="{325A516D-8AB9-45C9-A9FB-FFE01834EC14}" cache="SegmentaciónDeDatos_PERSONA_A_CARGO" columnCount="3" lockedPosition="1" rowHeight="432000"/>
  <slicer name="GRADO    INCIDENCIA FALLA" xr10:uid="{333D6A34-591D-4375-B774-D98BD0DFE922}" cache="SegmentaciónDeDatos_GRADO____INCIDENCIA_FALLA" columnCount="4" lockedPosition="1" rowHeight="336550"/>
  <slicer name="ID-EQUIPO" xr10:uid="{6163D8AA-B7C5-43F4-A70A-506C48636687}" cache="SegmentaciónDeDatos_ID_EQUIPO1" columnCount="3" lockedPosition="1" rowHeight="432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03CE62-470E-49F1-B1B8-0303977AD694}" name="Tabla6" displayName="Tabla6" ref="B3:Y918" totalsRowShown="0" headerRowDxfId="27" dataDxfId="25" headerRowBorderDxfId="26" tableBorderDxfId="24">
  <autoFilter ref="B3:Y918" xr:uid="{49343E3D-6BB1-4F38-95B0-329704B364ED}"/>
  <sortState xmlns:xlrd2="http://schemas.microsoft.com/office/spreadsheetml/2017/richdata2" ref="B4:Y561">
    <sortCondition ref="B3:B561"/>
  </sortState>
  <tableColumns count="24">
    <tableColumn id="1" xr3:uid="{36E64412-3B23-4E32-8F46-8A5D0CA41EA1}" name="FECHA         ORDEN" dataDxfId="23"/>
    <tableColumn id="2" xr3:uid="{6A2983E1-E9ED-4528-8D45-698AE8EFCAF7}" name="NUMERO     ORDEN" dataDxfId="22"/>
    <tableColumn id="3" xr3:uid="{94FA7C8B-E68F-46E2-A601-11CE2FEF8779}" name="TURNO" dataDxfId="21"/>
    <tableColumn id="4" xr3:uid="{D9FC8AC7-8D26-44C0-90B4-0FBB747629D4}" name="EQUIPO      COD.SAP" dataDxfId="20"/>
    <tableColumn id="5" xr3:uid="{2A7690B8-631D-4125-B5D8-3CD4F4A8ACC6}" name="EQUIPO DENOM." dataDxfId="19"/>
    <tableColumn id="6" xr3:uid="{56D3439C-88B7-42C9-9828-141DDC75DD99}" name="ID-EQUIPO" dataDxfId="18"/>
    <tableColumn id="7" xr3:uid="{50D5D27D-B17A-445A-BDC4-0ADC43A6A129}" name="CENTRO        COSTO" dataDxfId="17"/>
    <tableColumn id="8" xr3:uid="{184348B0-87F1-45F0-84E4-62C10DE889E5}" name="SECTOR" dataDxfId="16"/>
    <tableColumn id="9" xr3:uid="{687ECEEF-2DB0-45E9-A9AD-2C61A7286C12}" name="PLANTA" dataDxfId="15"/>
    <tableColumn id="10" xr3:uid="{BD2A4204-AC05-4EB9-BE5E-4A7A5FDC81F7}" name="CONJUNTO" dataDxfId="14"/>
    <tableColumn id="11" xr3:uid="{514D79C0-C28E-4195-8B00-E86AD7752DCC}" name="SUB-CONJUNTO" dataDxfId="13"/>
    <tableColumn id="12" xr3:uid="{776A5AC6-7E3B-44D0-9C6A-3BEE4019EFB9}" name="PARTE" dataDxfId="12"/>
    <tableColumn id="13" xr3:uid="{7A359A5E-612D-425A-B2B5-25D4C7171377}" name="ELEMENTO" dataDxfId="11"/>
    <tableColumn id="14" xr3:uid="{21330C33-9583-4E0B-BEAB-85D88E5FAE57}" name="TIPO     MAN." dataDxfId="10"/>
    <tableColumn id="15" xr3:uid="{B78D874A-3D4A-423C-B89B-356AB27CFFF3}" name="FECHA     EJECUCIÓN" dataDxfId="9"/>
    <tableColumn id="16" xr3:uid="{E16916AC-DD08-4C7B-8157-45DA42A34B46}" name="PERSONA A CARGO" dataDxfId="8"/>
    <tableColumn id="17" xr3:uid="{760E5B3F-1928-4FA0-B89B-1A87FAAD3893}" name="GREMIO" dataDxfId="7"/>
    <tableColumn id="18" xr3:uid="{BE4E69C6-82DB-4A52-A0E0-8EC5E5AC9695}" name="PERSONAS      INVOLUCRADAS" dataDxfId="6"/>
    <tableColumn id="19" xr3:uid="{8066AB9C-DA4C-433F-9ABA-C6D48D7B0D50}" name="HORA INICIO" dataDxfId="5"/>
    <tableColumn id="20" xr3:uid="{AB08179F-8932-45F1-897E-13FBDDACD9F9}" name="HORA       FIN" dataDxfId="4"/>
    <tableColumn id="21" xr3:uid="{C0A3A5E2-EE74-4662-8D9D-256A58E24B46}" name="TIEMPO TAREA" dataDxfId="3"/>
    <tableColumn id="22" xr3:uid="{D7013AFD-0A6F-418E-8A4D-DB65825B8CFD}" name="TIEMPO PARADA" dataDxfId="2"/>
    <tableColumn id="23" xr3:uid="{D312F248-102A-4212-971E-E9C9EE086C27}" name="TOTAL HS. HOMBRE" dataDxfId="1">
      <calculatedColumnFormula>PRODUCT(S4,V4)</calculatedColumnFormula>
    </tableColumn>
    <tableColumn id="24" xr3:uid="{097F9672-712E-40FB-805F-DA438E4FE3FD}" name="GRADO    INCIDENCIA FALLA" dataDxfId="0">
      <calculatedColumnFormula>IF(W4=0,"D",IF(W4&lt;=2,"C",IF(W4&lt;=8,"B",IF(W4&gt;8,"A"))))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________ORDEN" xr10:uid="{29802E5A-09E9-49F2-89D1-087FB2632071}" sourceName="FECHA         ORDEN">
  <pivotTables>
    <pivotTable tabId="20" name="TablaDinámica4"/>
    <pivotTable tabId="20" name="TablaDinámica8"/>
    <pivotTable tabId="20" name="TablaDinámica1"/>
    <pivotTable tabId="20" name="TablaDinámica6"/>
    <pivotTable tabId="20" name="TablaDinámica12"/>
    <pivotTable tabId="20" name="TablaDinámica5"/>
    <pivotTable tabId="20" name="TablaDinámica2"/>
    <pivotTable tabId="24" name="TablaDinámica10"/>
  </pivotTables>
  <state minimalRefreshVersion="6" lastRefreshVersion="6" pivotCacheId="1783107011" filterType="unknown">
    <bounds startDate="2021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        ORDEN" xr10:uid="{0B193A40-45F1-4B70-A2CF-84E8E7E6424E}" cache="NativeTimeline_FECHA_________ORDEN" caption="" level="0" selectionLevel="0" scrollPosition="2021-01-01T00:00:00" style="Estilo de escala de tiempo 1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F3B34-D2D5-47F8-92C7-61199A539505}">
  <sheetPr codeName="Hoja1"/>
  <dimension ref="A3:CG439"/>
  <sheetViews>
    <sheetView topLeftCell="B26" zoomScale="55" zoomScaleNormal="55" workbookViewId="0">
      <selection activeCell="V150" sqref="V150"/>
    </sheetView>
  </sheetViews>
  <sheetFormatPr baseColWidth="10" defaultRowHeight="15" x14ac:dyDescent="0.25"/>
  <cols>
    <col min="1" max="1" width="26.140625" bestFit="1" customWidth="1"/>
    <col min="2" max="3" width="34.140625" bestFit="1" customWidth="1"/>
    <col min="4" max="4" width="6.85546875" bestFit="1" customWidth="1"/>
    <col min="5" max="5" width="5.28515625" bestFit="1" customWidth="1"/>
    <col min="6" max="6" width="17.85546875" bestFit="1" customWidth="1"/>
    <col min="7" max="7" width="3.85546875" bestFit="1" customWidth="1"/>
    <col min="8" max="8" width="3.28515625" bestFit="1" customWidth="1"/>
    <col min="9" max="10" width="4.140625" bestFit="1" customWidth="1"/>
    <col min="11" max="11" width="3.7109375" bestFit="1" customWidth="1"/>
    <col min="12" max="12" width="4.28515625" bestFit="1" customWidth="1"/>
    <col min="13" max="13" width="3.5703125" bestFit="1" customWidth="1"/>
    <col min="14" max="14" width="12.5703125" bestFit="1" customWidth="1"/>
    <col min="15" max="15" width="5" bestFit="1" customWidth="1"/>
    <col min="16" max="16" width="3" bestFit="1" customWidth="1"/>
    <col min="17" max="17" width="5" bestFit="1" customWidth="1"/>
    <col min="18" max="18" width="3" bestFit="1" customWidth="1"/>
    <col min="19" max="19" width="5" bestFit="1" customWidth="1"/>
    <col min="20" max="20" width="3" bestFit="1" customWidth="1"/>
    <col min="21" max="21" width="5.5703125" bestFit="1" customWidth="1"/>
    <col min="22" max="34" width="7.140625" bestFit="1" customWidth="1"/>
    <col min="35" max="35" width="26.140625" bestFit="1" customWidth="1"/>
    <col min="36" max="36" width="31.5703125" bestFit="1" customWidth="1"/>
    <col min="37" max="37" width="22.7109375" bestFit="1" customWidth="1"/>
    <col min="38" max="38" width="23.7109375" bestFit="1" customWidth="1"/>
    <col min="39" max="39" width="22.7109375" bestFit="1" customWidth="1"/>
    <col min="40" max="40" width="23.7109375" bestFit="1" customWidth="1"/>
    <col min="41" max="41" width="22.7109375" bestFit="1" customWidth="1"/>
    <col min="42" max="42" width="23.7109375" bestFit="1" customWidth="1"/>
    <col min="43" max="43" width="22.7109375" bestFit="1" customWidth="1"/>
    <col min="44" max="44" width="31" bestFit="1" customWidth="1"/>
    <col min="45" max="45" width="30" bestFit="1" customWidth="1"/>
    <col min="46" max="46" width="3.28515625" bestFit="1" customWidth="1"/>
    <col min="47" max="48" width="4.140625" bestFit="1" customWidth="1"/>
    <col min="49" max="49" width="3.7109375" bestFit="1" customWidth="1"/>
    <col min="50" max="50" width="4.28515625" bestFit="1" customWidth="1"/>
    <col min="51" max="51" width="3.5703125" bestFit="1" customWidth="1"/>
    <col min="52" max="52" width="12.5703125" bestFit="1" customWidth="1"/>
    <col min="53" max="53" width="6.42578125" bestFit="1" customWidth="1"/>
    <col min="54" max="54" width="10.42578125" bestFit="1" customWidth="1"/>
    <col min="55" max="56" width="26.140625" bestFit="1" customWidth="1"/>
    <col min="57" max="57" width="23.7109375" bestFit="1" customWidth="1"/>
    <col min="58" max="58" width="6.7109375" bestFit="1" customWidth="1"/>
    <col min="59" max="59" width="6.28515625" bestFit="1" customWidth="1"/>
    <col min="60" max="60" width="10.140625" bestFit="1" customWidth="1"/>
    <col min="61" max="61" width="10.42578125" bestFit="1" customWidth="1"/>
    <col min="62" max="62" width="14.85546875" bestFit="1" customWidth="1"/>
    <col min="63" max="63" width="10.7109375" bestFit="1" customWidth="1"/>
    <col min="64" max="64" width="16.5703125" bestFit="1" customWidth="1"/>
    <col min="65" max="65" width="30.5703125" bestFit="1" customWidth="1"/>
    <col min="66" max="66" width="7" bestFit="1" customWidth="1"/>
    <col min="67" max="67" width="17" bestFit="1" customWidth="1"/>
    <col min="68" max="68" width="7" bestFit="1" customWidth="1"/>
    <col min="69" max="69" width="8.7109375" bestFit="1" customWidth="1"/>
    <col min="70" max="70" width="16.28515625" bestFit="1" customWidth="1"/>
    <col min="71" max="71" width="4.140625" bestFit="1" customWidth="1"/>
    <col min="72" max="72" width="8" bestFit="1" customWidth="1"/>
    <col min="73" max="73" width="7" bestFit="1" customWidth="1"/>
    <col min="74" max="74" width="8.5703125" bestFit="1" customWidth="1"/>
    <col min="75" max="75" width="9.7109375" bestFit="1" customWidth="1"/>
    <col min="76" max="76" width="8.85546875" bestFit="1" customWidth="1"/>
    <col min="77" max="77" width="11.85546875" bestFit="1" customWidth="1"/>
    <col min="78" max="78" width="13.42578125" bestFit="1" customWidth="1"/>
    <col min="79" max="79" width="12" bestFit="1" customWidth="1"/>
    <col min="80" max="80" width="6.140625" bestFit="1" customWidth="1"/>
    <col min="81" max="81" width="7.5703125" bestFit="1" customWidth="1"/>
    <col min="82" max="82" width="8.42578125" bestFit="1" customWidth="1"/>
    <col min="83" max="83" width="7.5703125" bestFit="1" customWidth="1"/>
    <col min="84" max="84" width="26.140625" bestFit="1" customWidth="1"/>
    <col min="85" max="85" width="21.7109375" bestFit="1" customWidth="1"/>
    <col min="86" max="90" width="19" bestFit="1" customWidth="1"/>
    <col min="91" max="91" width="18.42578125" bestFit="1" customWidth="1"/>
    <col min="92" max="92" width="17.85546875" bestFit="1" customWidth="1"/>
    <col min="93" max="99" width="18.42578125" bestFit="1" customWidth="1"/>
    <col min="100" max="100" width="19" bestFit="1" customWidth="1"/>
    <col min="101" max="101" width="18.42578125" bestFit="1" customWidth="1"/>
    <col min="102" max="103" width="19" bestFit="1" customWidth="1"/>
    <col min="104" max="104" width="24.140625" bestFit="1" customWidth="1"/>
    <col min="105" max="105" width="20.140625" bestFit="1" customWidth="1"/>
    <col min="106" max="106" width="8" bestFit="1" customWidth="1"/>
    <col min="107" max="107" width="8.5703125" bestFit="1" customWidth="1"/>
    <col min="108" max="108" width="20.140625" bestFit="1" customWidth="1"/>
    <col min="109" max="109" width="17.5703125" bestFit="1" customWidth="1"/>
    <col min="110" max="110" width="16.42578125" bestFit="1" customWidth="1"/>
    <col min="111" max="111" width="18.5703125" bestFit="1" customWidth="1"/>
    <col min="112" max="112" width="9.140625" bestFit="1" customWidth="1"/>
    <col min="113" max="113" width="13.7109375" bestFit="1" customWidth="1"/>
    <col min="114" max="114" width="6.5703125" bestFit="1" customWidth="1"/>
    <col min="115" max="115" width="6.85546875" bestFit="1" customWidth="1"/>
    <col min="116" max="116" width="8.7109375" bestFit="1" customWidth="1"/>
    <col min="117" max="117" width="9.140625" bestFit="1" customWidth="1"/>
    <col min="118" max="118" width="15.42578125" bestFit="1" customWidth="1"/>
    <col min="119" max="119" width="8" bestFit="1" customWidth="1"/>
    <col min="120" max="120" width="13.42578125" bestFit="1" customWidth="1"/>
    <col min="121" max="121" width="9.28515625" bestFit="1" customWidth="1"/>
    <col min="122" max="122" width="19" bestFit="1" customWidth="1"/>
    <col min="123" max="123" width="20" bestFit="1" customWidth="1"/>
    <col min="124" max="124" width="10.28515625" bestFit="1" customWidth="1"/>
    <col min="125" max="125" width="7.28515625" bestFit="1" customWidth="1"/>
    <col min="126" max="126" width="9.7109375" bestFit="1" customWidth="1"/>
    <col min="127" max="127" width="12.5703125" bestFit="1" customWidth="1"/>
  </cols>
  <sheetData>
    <row r="3" spans="1:2" x14ac:dyDescent="0.25">
      <c r="A3" s="16" t="s">
        <v>350</v>
      </c>
      <c r="B3" t="s">
        <v>352</v>
      </c>
    </row>
    <row r="4" spans="1:2" x14ac:dyDescent="0.25">
      <c r="A4" s="17" t="s">
        <v>477</v>
      </c>
      <c r="B4" s="32">
        <v>223</v>
      </c>
    </row>
    <row r="5" spans="1:2" x14ac:dyDescent="0.25">
      <c r="A5" s="17" t="s">
        <v>479</v>
      </c>
      <c r="B5" s="32">
        <v>199</v>
      </c>
    </row>
    <row r="6" spans="1:2" x14ac:dyDescent="0.25">
      <c r="A6" s="17" t="s">
        <v>475</v>
      </c>
      <c r="B6" s="32">
        <v>146</v>
      </c>
    </row>
    <row r="7" spans="1:2" x14ac:dyDescent="0.25">
      <c r="A7" s="17" t="s">
        <v>476</v>
      </c>
      <c r="B7" s="32">
        <v>97</v>
      </c>
    </row>
    <row r="8" spans="1:2" x14ac:dyDescent="0.25">
      <c r="A8" s="17" t="s">
        <v>478</v>
      </c>
      <c r="B8" s="32">
        <v>74</v>
      </c>
    </row>
    <row r="9" spans="1:2" x14ac:dyDescent="0.25">
      <c r="A9" s="17" t="s">
        <v>473</v>
      </c>
      <c r="B9" s="32">
        <v>66</v>
      </c>
    </row>
    <row r="10" spans="1:2" x14ac:dyDescent="0.25">
      <c r="A10" s="17" t="s">
        <v>474</v>
      </c>
      <c r="B10" s="32">
        <v>64</v>
      </c>
    </row>
    <row r="11" spans="1:2" x14ac:dyDescent="0.25">
      <c r="A11" s="17" t="s">
        <v>480</v>
      </c>
      <c r="B11" s="32">
        <v>28</v>
      </c>
    </row>
    <row r="12" spans="1:2" x14ac:dyDescent="0.25">
      <c r="A12" s="17" t="s">
        <v>481</v>
      </c>
      <c r="B12" s="32">
        <v>11</v>
      </c>
    </row>
    <row r="13" spans="1:2" x14ac:dyDescent="0.25">
      <c r="A13" s="17" t="s">
        <v>472</v>
      </c>
      <c r="B13" s="32">
        <v>7</v>
      </c>
    </row>
    <row r="14" spans="1:2" x14ac:dyDescent="0.25">
      <c r="A14" s="17" t="s">
        <v>351</v>
      </c>
      <c r="B14" s="32">
        <v>915</v>
      </c>
    </row>
    <row r="44" spans="1:36" x14ac:dyDescent="0.25">
      <c r="A44" s="16" t="s">
        <v>353</v>
      </c>
      <c r="B44" s="16" t="s">
        <v>354</v>
      </c>
    </row>
    <row r="45" spans="1:36" x14ac:dyDescent="0.25">
      <c r="A45" s="16" t="s">
        <v>350</v>
      </c>
      <c r="B45" t="s">
        <v>93</v>
      </c>
      <c r="C45" t="s">
        <v>98</v>
      </c>
      <c r="D45" t="s">
        <v>46</v>
      </c>
      <c r="E45" t="s">
        <v>21</v>
      </c>
      <c r="F45" t="s">
        <v>351</v>
      </c>
    </row>
    <row r="46" spans="1:36" x14ac:dyDescent="0.25">
      <c r="A46" s="17" t="s">
        <v>471</v>
      </c>
      <c r="B46" s="32">
        <v>6</v>
      </c>
      <c r="C46" s="32">
        <v>12</v>
      </c>
      <c r="D46" s="32">
        <v>62</v>
      </c>
      <c r="E46" s="32">
        <v>7</v>
      </c>
      <c r="F46" s="32">
        <v>87</v>
      </c>
    </row>
    <row r="47" spans="1:36" x14ac:dyDescent="0.25">
      <c r="A47" s="17" t="s">
        <v>470</v>
      </c>
      <c r="B47" s="32">
        <v>8</v>
      </c>
      <c r="C47" s="32">
        <v>67</v>
      </c>
      <c r="D47" s="32">
        <v>323</v>
      </c>
      <c r="E47" s="32">
        <v>16</v>
      </c>
      <c r="F47" s="32">
        <v>414</v>
      </c>
    </row>
    <row r="48" spans="1:36" x14ac:dyDescent="0.25">
      <c r="A48" s="17" t="s">
        <v>466</v>
      </c>
      <c r="B48" s="32">
        <v>8</v>
      </c>
      <c r="C48" s="32">
        <v>53</v>
      </c>
      <c r="D48" s="32">
        <v>199</v>
      </c>
      <c r="E48" s="32">
        <v>3</v>
      </c>
      <c r="F48" s="32">
        <v>263</v>
      </c>
      <c r="AJ48" s="16" t="s">
        <v>354</v>
      </c>
    </row>
    <row r="49" spans="1:45" x14ac:dyDescent="0.25">
      <c r="A49" s="17" t="s">
        <v>429</v>
      </c>
      <c r="B49" s="32">
        <v>5</v>
      </c>
      <c r="C49" s="32">
        <v>44</v>
      </c>
      <c r="D49" s="32">
        <v>101</v>
      </c>
      <c r="E49" s="32">
        <v>1</v>
      </c>
      <c r="F49" s="32">
        <v>151</v>
      </c>
      <c r="AJ49" t="s">
        <v>471</v>
      </c>
      <c r="AL49" t="s">
        <v>470</v>
      </c>
      <c r="AN49" t="s">
        <v>466</v>
      </c>
      <c r="AP49" t="s">
        <v>429</v>
      </c>
      <c r="AR49" t="s">
        <v>463</v>
      </c>
      <c r="AS49" t="s">
        <v>464</v>
      </c>
    </row>
    <row r="50" spans="1:45" x14ac:dyDescent="0.25">
      <c r="A50" s="17" t="s">
        <v>351</v>
      </c>
      <c r="B50" s="32">
        <v>27</v>
      </c>
      <c r="C50" s="32">
        <v>176</v>
      </c>
      <c r="D50" s="32">
        <v>685</v>
      </c>
      <c r="E50" s="32">
        <v>27</v>
      </c>
      <c r="F50" s="32">
        <v>915</v>
      </c>
      <c r="AI50" s="16" t="s">
        <v>350</v>
      </c>
      <c r="AJ50" t="s">
        <v>355</v>
      </c>
      <c r="AK50" t="s">
        <v>465</v>
      </c>
      <c r="AL50" t="s">
        <v>355</v>
      </c>
      <c r="AM50" t="s">
        <v>465</v>
      </c>
      <c r="AN50" t="s">
        <v>355</v>
      </c>
      <c r="AO50" t="s">
        <v>465</v>
      </c>
      <c r="AP50" t="s">
        <v>355</v>
      </c>
      <c r="AQ50" t="s">
        <v>465</v>
      </c>
    </row>
    <row r="51" spans="1:45" x14ac:dyDescent="0.25">
      <c r="AI51" s="19" t="s">
        <v>431</v>
      </c>
      <c r="AJ51" s="32"/>
      <c r="AK51" s="32">
        <v>15</v>
      </c>
      <c r="AL51" s="32">
        <v>47</v>
      </c>
      <c r="AM51" s="32">
        <v>15</v>
      </c>
      <c r="AN51" s="32">
        <v>32</v>
      </c>
      <c r="AO51" s="32">
        <v>15</v>
      </c>
      <c r="AP51" s="32">
        <v>12</v>
      </c>
      <c r="AQ51" s="32">
        <v>15</v>
      </c>
      <c r="AR51" s="32">
        <v>91</v>
      </c>
      <c r="AS51" s="32">
        <v>15</v>
      </c>
    </row>
    <row r="52" spans="1:45" x14ac:dyDescent="0.25">
      <c r="AI52" s="19" t="s">
        <v>416</v>
      </c>
      <c r="AJ52" s="32"/>
      <c r="AK52" s="32">
        <v>15</v>
      </c>
      <c r="AL52" s="32">
        <v>33</v>
      </c>
      <c r="AM52" s="32">
        <v>15</v>
      </c>
      <c r="AN52" s="32">
        <v>17</v>
      </c>
      <c r="AO52" s="32">
        <v>15</v>
      </c>
      <c r="AP52" s="32">
        <v>10</v>
      </c>
      <c r="AQ52" s="32">
        <v>15</v>
      </c>
      <c r="AR52" s="32">
        <v>60</v>
      </c>
      <c r="AS52" s="32">
        <v>15</v>
      </c>
    </row>
    <row r="53" spans="1:45" x14ac:dyDescent="0.25">
      <c r="AI53" s="19" t="s">
        <v>430</v>
      </c>
      <c r="AJ53" s="32"/>
      <c r="AK53" s="32">
        <v>15</v>
      </c>
      <c r="AL53" s="32">
        <v>67</v>
      </c>
      <c r="AM53" s="32">
        <v>15</v>
      </c>
      <c r="AN53" s="32">
        <v>37</v>
      </c>
      <c r="AO53" s="32">
        <v>15</v>
      </c>
      <c r="AP53" s="32">
        <v>10</v>
      </c>
      <c r="AQ53" s="32">
        <v>15</v>
      </c>
      <c r="AR53" s="32">
        <v>114</v>
      </c>
      <c r="AS53" s="32">
        <v>15</v>
      </c>
    </row>
    <row r="54" spans="1:45" x14ac:dyDescent="0.25">
      <c r="AI54" s="19" t="s">
        <v>425</v>
      </c>
      <c r="AJ54" s="32">
        <v>1</v>
      </c>
      <c r="AK54" s="32">
        <v>15</v>
      </c>
      <c r="AL54" s="32">
        <v>51</v>
      </c>
      <c r="AM54" s="32">
        <v>15</v>
      </c>
      <c r="AN54" s="32">
        <v>28</v>
      </c>
      <c r="AO54" s="32">
        <v>15</v>
      </c>
      <c r="AP54" s="32">
        <v>20</v>
      </c>
      <c r="AQ54" s="32">
        <v>15</v>
      </c>
      <c r="AR54" s="32">
        <v>100</v>
      </c>
      <c r="AS54" s="32">
        <v>15</v>
      </c>
    </row>
    <row r="55" spans="1:45" x14ac:dyDescent="0.25">
      <c r="AI55" s="19" t="s">
        <v>428</v>
      </c>
      <c r="AJ55" s="32"/>
      <c r="AK55" s="32">
        <v>15</v>
      </c>
      <c r="AL55" s="32">
        <v>49</v>
      </c>
      <c r="AM55" s="32">
        <v>15</v>
      </c>
      <c r="AN55" s="32">
        <v>26</v>
      </c>
      <c r="AO55" s="32">
        <v>15</v>
      </c>
      <c r="AP55" s="32">
        <v>26</v>
      </c>
      <c r="AQ55" s="32">
        <v>15</v>
      </c>
      <c r="AR55" s="32">
        <v>101</v>
      </c>
      <c r="AS55" s="32">
        <v>15</v>
      </c>
    </row>
    <row r="56" spans="1:45" x14ac:dyDescent="0.25">
      <c r="AI56" s="19" t="s">
        <v>445</v>
      </c>
      <c r="AJ56" s="32">
        <v>1</v>
      </c>
      <c r="AK56" s="32">
        <v>15</v>
      </c>
      <c r="AL56" s="32">
        <v>44</v>
      </c>
      <c r="AM56" s="32">
        <v>15</v>
      </c>
      <c r="AN56" s="32">
        <v>22</v>
      </c>
      <c r="AO56" s="32">
        <v>15</v>
      </c>
      <c r="AP56" s="32">
        <v>17</v>
      </c>
      <c r="AQ56" s="32">
        <v>15</v>
      </c>
      <c r="AR56" s="32">
        <v>84</v>
      </c>
      <c r="AS56" s="32">
        <v>15</v>
      </c>
    </row>
    <row r="57" spans="1:45" x14ac:dyDescent="0.25">
      <c r="AI57" s="19" t="s">
        <v>450</v>
      </c>
      <c r="AJ57" s="32">
        <v>1</v>
      </c>
      <c r="AK57" s="32">
        <v>15</v>
      </c>
      <c r="AL57" s="32">
        <v>21</v>
      </c>
      <c r="AM57" s="32">
        <v>15</v>
      </c>
      <c r="AN57" s="32">
        <v>13</v>
      </c>
      <c r="AO57" s="32">
        <v>15</v>
      </c>
      <c r="AP57" s="32">
        <v>21</v>
      </c>
      <c r="AQ57" s="32">
        <v>15</v>
      </c>
      <c r="AR57" s="32">
        <v>56</v>
      </c>
      <c r="AS57" s="32">
        <v>15</v>
      </c>
    </row>
    <row r="58" spans="1:45" x14ac:dyDescent="0.25">
      <c r="AI58" s="19" t="s">
        <v>451</v>
      </c>
      <c r="AJ58" s="32">
        <v>1</v>
      </c>
      <c r="AK58" s="32">
        <v>15</v>
      </c>
      <c r="AL58" s="32">
        <v>28</v>
      </c>
      <c r="AM58" s="32">
        <v>15</v>
      </c>
      <c r="AN58" s="32">
        <v>20</v>
      </c>
      <c r="AO58" s="32">
        <v>15</v>
      </c>
      <c r="AP58" s="32">
        <v>20</v>
      </c>
      <c r="AQ58" s="32">
        <v>15</v>
      </c>
      <c r="AR58" s="32">
        <v>69</v>
      </c>
      <c r="AS58" s="32">
        <v>15</v>
      </c>
    </row>
    <row r="59" spans="1:45" x14ac:dyDescent="0.25">
      <c r="AI59" s="19" t="s">
        <v>452</v>
      </c>
      <c r="AJ59" s="32">
        <v>15</v>
      </c>
      <c r="AK59" s="32">
        <v>15</v>
      </c>
      <c r="AL59" s="32">
        <v>19</v>
      </c>
      <c r="AM59" s="32">
        <v>15</v>
      </c>
      <c r="AN59" s="32">
        <v>20</v>
      </c>
      <c r="AO59" s="32">
        <v>15</v>
      </c>
      <c r="AP59" s="32">
        <v>15</v>
      </c>
      <c r="AQ59" s="32">
        <v>15</v>
      </c>
      <c r="AR59" s="32">
        <v>69</v>
      </c>
      <c r="AS59" s="32">
        <v>15</v>
      </c>
    </row>
    <row r="60" spans="1:45" x14ac:dyDescent="0.25">
      <c r="AI60" s="19" t="s">
        <v>467</v>
      </c>
      <c r="AJ60" s="32">
        <v>10</v>
      </c>
      <c r="AK60" s="32">
        <v>15</v>
      </c>
      <c r="AL60" s="32">
        <v>22</v>
      </c>
      <c r="AM60" s="32">
        <v>15</v>
      </c>
      <c r="AN60" s="32">
        <v>15</v>
      </c>
      <c r="AO60" s="32">
        <v>15</v>
      </c>
      <c r="AP60" s="32"/>
      <c r="AQ60" s="32">
        <v>15</v>
      </c>
      <c r="AR60" s="32">
        <v>47</v>
      </c>
      <c r="AS60" s="32">
        <v>15</v>
      </c>
    </row>
    <row r="61" spans="1:45" x14ac:dyDescent="0.25">
      <c r="AI61" s="19" t="s">
        <v>468</v>
      </c>
      <c r="AJ61" s="32">
        <v>21</v>
      </c>
      <c r="AK61" s="32">
        <v>15</v>
      </c>
      <c r="AL61" s="32">
        <v>13</v>
      </c>
      <c r="AM61" s="32">
        <v>15</v>
      </c>
      <c r="AN61" s="32">
        <v>20</v>
      </c>
      <c r="AO61" s="32">
        <v>15</v>
      </c>
      <c r="AP61" s="32"/>
      <c r="AQ61" s="32">
        <v>15</v>
      </c>
      <c r="AR61" s="32">
        <v>54</v>
      </c>
      <c r="AS61" s="32">
        <v>15</v>
      </c>
    </row>
    <row r="62" spans="1:45" x14ac:dyDescent="0.25">
      <c r="AI62" s="19" t="s">
        <v>469</v>
      </c>
      <c r="AJ62" s="32">
        <v>37</v>
      </c>
      <c r="AK62" s="32">
        <v>15</v>
      </c>
      <c r="AL62" s="32">
        <v>20</v>
      </c>
      <c r="AM62" s="32">
        <v>15</v>
      </c>
      <c r="AN62" s="32">
        <v>13</v>
      </c>
      <c r="AO62" s="32">
        <v>15</v>
      </c>
      <c r="AP62" s="32"/>
      <c r="AQ62" s="32">
        <v>15</v>
      </c>
      <c r="AR62" s="32">
        <v>70</v>
      </c>
      <c r="AS62" s="32">
        <v>15</v>
      </c>
    </row>
    <row r="63" spans="1:45" x14ac:dyDescent="0.25">
      <c r="AI63" s="19" t="s">
        <v>351</v>
      </c>
      <c r="AJ63" s="32">
        <v>87</v>
      </c>
      <c r="AK63" s="32">
        <v>15</v>
      </c>
      <c r="AL63" s="32">
        <v>414</v>
      </c>
      <c r="AM63" s="32">
        <v>15</v>
      </c>
      <c r="AN63" s="32">
        <v>263</v>
      </c>
      <c r="AO63" s="32">
        <v>15</v>
      </c>
      <c r="AP63" s="32">
        <v>151</v>
      </c>
      <c r="AQ63" s="32">
        <v>15</v>
      </c>
      <c r="AR63" s="32">
        <v>915</v>
      </c>
      <c r="AS63" s="32">
        <v>15</v>
      </c>
    </row>
    <row r="130" spans="1:85" x14ac:dyDescent="0.25">
      <c r="CF130" s="16" t="s">
        <v>350</v>
      </c>
      <c r="CG130" t="s">
        <v>352</v>
      </c>
    </row>
    <row r="131" spans="1:85" x14ac:dyDescent="0.25">
      <c r="CF131" s="17" t="s">
        <v>116</v>
      </c>
      <c r="CG131" s="18">
        <v>4.519774011299435E-2</v>
      </c>
    </row>
    <row r="132" spans="1:85" x14ac:dyDescent="0.25">
      <c r="CF132" s="17" t="s">
        <v>115</v>
      </c>
      <c r="CG132" s="18">
        <v>4.519774011299435E-2</v>
      </c>
    </row>
    <row r="133" spans="1:85" x14ac:dyDescent="0.25">
      <c r="CF133" s="17" t="s">
        <v>194</v>
      </c>
      <c r="CG133" s="18">
        <v>5.9322033898305086E-2</v>
      </c>
    </row>
    <row r="134" spans="1:85" x14ac:dyDescent="0.25">
      <c r="CF134" s="17" t="s">
        <v>52</v>
      </c>
      <c r="CG134" s="18">
        <v>6.2146892655367235E-2</v>
      </c>
    </row>
    <row r="135" spans="1:85" x14ac:dyDescent="0.25">
      <c r="CF135" s="17" t="s">
        <v>120</v>
      </c>
      <c r="CG135" s="18">
        <v>7.3446327683615822E-2</v>
      </c>
    </row>
    <row r="136" spans="1:85" x14ac:dyDescent="0.25">
      <c r="CF136" s="17" t="s">
        <v>45</v>
      </c>
      <c r="CG136" s="18">
        <v>9.03954802259887E-2</v>
      </c>
    </row>
    <row r="137" spans="1:85" x14ac:dyDescent="0.25">
      <c r="A137" s="16" t="s">
        <v>350</v>
      </c>
      <c r="B137" t="s">
        <v>356</v>
      </c>
      <c r="CF137" s="17" t="s">
        <v>53</v>
      </c>
      <c r="CG137" s="18">
        <v>0.10451977401129943</v>
      </c>
    </row>
    <row r="138" spans="1:85" x14ac:dyDescent="0.25">
      <c r="A138" s="17" t="s">
        <v>631</v>
      </c>
      <c r="B138" s="32">
        <v>43.5</v>
      </c>
      <c r="CF138" s="17" t="s">
        <v>84</v>
      </c>
      <c r="CG138" s="18">
        <v>0.12994350282485875</v>
      </c>
    </row>
    <row r="139" spans="1:85" x14ac:dyDescent="0.25">
      <c r="A139" s="17" t="s">
        <v>632</v>
      </c>
      <c r="B139" s="32">
        <v>13.5</v>
      </c>
      <c r="CF139" s="17" t="s">
        <v>110</v>
      </c>
      <c r="CG139" s="18">
        <v>0.1440677966101695</v>
      </c>
    </row>
    <row r="140" spans="1:85" x14ac:dyDescent="0.25">
      <c r="A140" s="17" t="s">
        <v>633</v>
      </c>
      <c r="B140" s="32">
        <v>18</v>
      </c>
      <c r="CF140" s="17" t="s">
        <v>67</v>
      </c>
      <c r="CG140" s="18">
        <v>0.24576271186440679</v>
      </c>
    </row>
    <row r="141" spans="1:85" x14ac:dyDescent="0.25">
      <c r="A141" s="17" t="s">
        <v>634</v>
      </c>
      <c r="B141" s="32">
        <v>16</v>
      </c>
      <c r="CF141" s="17" t="s">
        <v>351</v>
      </c>
      <c r="CG141" s="18">
        <v>1</v>
      </c>
    </row>
    <row r="142" spans="1:85" x14ac:dyDescent="0.25">
      <c r="A142" s="17" t="s">
        <v>635</v>
      </c>
      <c r="B142" s="32">
        <v>72.5</v>
      </c>
    </row>
    <row r="143" spans="1:85" x14ac:dyDescent="0.25">
      <c r="A143" s="17" t="s">
        <v>636</v>
      </c>
      <c r="B143" s="32">
        <v>5</v>
      </c>
    </row>
    <row r="144" spans="1:85" x14ac:dyDescent="0.25">
      <c r="A144" s="17" t="s">
        <v>637</v>
      </c>
      <c r="B144" s="32">
        <v>9</v>
      </c>
    </row>
    <row r="145" spans="1:2" x14ac:dyDescent="0.25">
      <c r="A145" s="17" t="s">
        <v>638</v>
      </c>
      <c r="B145" s="32">
        <v>29.5</v>
      </c>
    </row>
    <row r="146" spans="1:2" x14ac:dyDescent="0.25">
      <c r="A146" s="17" t="s">
        <v>639</v>
      </c>
      <c r="B146" s="32">
        <v>1</v>
      </c>
    </row>
    <row r="147" spans="1:2" x14ac:dyDescent="0.25">
      <c r="A147" s="17" t="s">
        <v>640</v>
      </c>
      <c r="B147" s="32">
        <v>7.5</v>
      </c>
    </row>
    <row r="148" spans="1:2" x14ac:dyDescent="0.25">
      <c r="A148" s="17" t="s">
        <v>641</v>
      </c>
      <c r="B148" s="32">
        <v>17</v>
      </c>
    </row>
    <row r="149" spans="1:2" x14ac:dyDescent="0.25">
      <c r="A149" s="17" t="s">
        <v>642</v>
      </c>
      <c r="B149" s="32">
        <v>72.599999999999994</v>
      </c>
    </row>
    <row r="150" spans="1:2" x14ac:dyDescent="0.25">
      <c r="A150" s="17" t="s">
        <v>643</v>
      </c>
      <c r="B150" s="32">
        <v>40.5</v>
      </c>
    </row>
    <row r="151" spans="1:2" x14ac:dyDescent="0.25">
      <c r="A151" s="17" t="s">
        <v>644</v>
      </c>
      <c r="B151" s="32">
        <v>20.5</v>
      </c>
    </row>
    <row r="152" spans="1:2" x14ac:dyDescent="0.25">
      <c r="A152" s="17" t="s">
        <v>645</v>
      </c>
      <c r="B152" s="32">
        <v>49.5</v>
      </c>
    </row>
    <row r="153" spans="1:2" x14ac:dyDescent="0.25">
      <c r="A153" s="17" t="s">
        <v>646</v>
      </c>
      <c r="B153" s="32">
        <v>43.5</v>
      </c>
    </row>
    <row r="154" spans="1:2" x14ac:dyDescent="0.25">
      <c r="A154" s="17" t="s">
        <v>647</v>
      </c>
      <c r="B154" s="32">
        <v>9</v>
      </c>
    </row>
    <row r="155" spans="1:2" x14ac:dyDescent="0.25">
      <c r="A155" s="17" t="s">
        <v>648</v>
      </c>
      <c r="B155" s="32">
        <v>39.5</v>
      </c>
    </row>
    <row r="156" spans="1:2" x14ac:dyDescent="0.25">
      <c r="A156" s="17" t="s">
        <v>649</v>
      </c>
      <c r="B156" s="32">
        <v>29.5</v>
      </c>
    </row>
    <row r="157" spans="1:2" x14ac:dyDescent="0.25">
      <c r="A157" s="17" t="s">
        <v>650</v>
      </c>
      <c r="B157" s="32">
        <v>67.5</v>
      </c>
    </row>
    <row r="158" spans="1:2" x14ac:dyDescent="0.25">
      <c r="A158" s="17" t="s">
        <v>651</v>
      </c>
      <c r="B158" s="32">
        <v>1</v>
      </c>
    </row>
    <row r="159" spans="1:2" x14ac:dyDescent="0.25">
      <c r="A159" s="17" t="s">
        <v>652</v>
      </c>
      <c r="B159" s="32">
        <v>9</v>
      </c>
    </row>
    <row r="160" spans="1:2" x14ac:dyDescent="0.25">
      <c r="A160" s="17" t="s">
        <v>653</v>
      </c>
      <c r="B160" s="32">
        <v>50</v>
      </c>
    </row>
    <row r="161" spans="1:56" x14ac:dyDescent="0.25">
      <c r="A161" s="17" t="s">
        <v>654</v>
      </c>
      <c r="B161" s="32">
        <v>47</v>
      </c>
    </row>
    <row r="162" spans="1:56" x14ac:dyDescent="0.25">
      <c r="A162" s="17" t="s">
        <v>655</v>
      </c>
      <c r="B162" s="32">
        <v>42.5</v>
      </c>
    </row>
    <row r="163" spans="1:56" x14ac:dyDescent="0.25">
      <c r="A163" s="17" t="s">
        <v>656</v>
      </c>
      <c r="B163" s="32">
        <v>31</v>
      </c>
    </row>
    <row r="164" spans="1:56" x14ac:dyDescent="0.25">
      <c r="A164" s="17" t="s">
        <v>657</v>
      </c>
      <c r="B164" s="32">
        <v>4</v>
      </c>
      <c r="BC164" s="16" t="s">
        <v>350</v>
      </c>
      <c r="BD164" t="s">
        <v>462</v>
      </c>
    </row>
    <row r="165" spans="1:56" x14ac:dyDescent="0.25">
      <c r="A165" s="17" t="s">
        <v>658</v>
      </c>
      <c r="B165" s="32">
        <v>26.5</v>
      </c>
      <c r="BC165" s="17" t="s">
        <v>472</v>
      </c>
      <c r="BD165" s="23">
        <v>28.5</v>
      </c>
    </row>
    <row r="166" spans="1:56" x14ac:dyDescent="0.25">
      <c r="A166" s="17" t="s">
        <v>659</v>
      </c>
      <c r="B166" s="32">
        <v>3</v>
      </c>
      <c r="BC166" s="17" t="s">
        <v>481</v>
      </c>
      <c r="BD166" s="23">
        <v>39</v>
      </c>
    </row>
    <row r="167" spans="1:56" x14ac:dyDescent="0.25">
      <c r="A167" s="17" t="s">
        <v>660</v>
      </c>
      <c r="B167" s="32">
        <v>41</v>
      </c>
      <c r="BC167" s="17" t="s">
        <v>480</v>
      </c>
      <c r="BD167" s="23">
        <v>105</v>
      </c>
    </row>
    <row r="168" spans="1:56" x14ac:dyDescent="0.25">
      <c r="A168" s="17" t="s">
        <v>661</v>
      </c>
      <c r="B168" s="32">
        <v>45.5</v>
      </c>
      <c r="BC168" s="17" t="s">
        <v>476</v>
      </c>
      <c r="BD168" s="23">
        <v>192.8</v>
      </c>
    </row>
    <row r="169" spans="1:56" x14ac:dyDescent="0.25">
      <c r="A169" s="17" t="s">
        <v>662</v>
      </c>
      <c r="B169" s="32">
        <v>16</v>
      </c>
      <c r="BC169" s="17" t="s">
        <v>478</v>
      </c>
      <c r="BD169" s="23">
        <v>217</v>
      </c>
    </row>
    <row r="170" spans="1:56" x14ac:dyDescent="0.25">
      <c r="A170" s="17" t="s">
        <v>663</v>
      </c>
      <c r="B170" s="32">
        <v>11</v>
      </c>
      <c r="BC170" s="17" t="s">
        <v>475</v>
      </c>
      <c r="BD170" s="23">
        <v>403</v>
      </c>
    </row>
    <row r="171" spans="1:56" x14ac:dyDescent="0.25">
      <c r="A171" s="17" t="s">
        <v>664</v>
      </c>
      <c r="B171" s="32">
        <v>51.5</v>
      </c>
      <c r="BC171" s="17" t="s">
        <v>473</v>
      </c>
      <c r="BD171" s="23">
        <v>496</v>
      </c>
    </row>
    <row r="172" spans="1:56" x14ac:dyDescent="0.25">
      <c r="A172" s="17" t="s">
        <v>665</v>
      </c>
      <c r="B172" s="32">
        <v>1</v>
      </c>
      <c r="BC172" s="17" t="s">
        <v>474</v>
      </c>
      <c r="BD172" s="23">
        <v>566.5</v>
      </c>
    </row>
    <row r="173" spans="1:56" x14ac:dyDescent="0.25">
      <c r="A173" s="17" t="s">
        <v>666</v>
      </c>
      <c r="B173" s="32">
        <v>39</v>
      </c>
      <c r="BC173" s="17" t="s">
        <v>479</v>
      </c>
      <c r="BD173" s="23">
        <v>667</v>
      </c>
    </row>
    <row r="174" spans="1:56" x14ac:dyDescent="0.25">
      <c r="A174" s="17" t="s">
        <v>667</v>
      </c>
      <c r="B174" s="32">
        <v>6</v>
      </c>
      <c r="BC174" s="17" t="s">
        <v>477</v>
      </c>
      <c r="BD174" s="23">
        <v>832.5</v>
      </c>
    </row>
    <row r="175" spans="1:56" x14ac:dyDescent="0.25">
      <c r="A175" s="17" t="s">
        <v>668</v>
      </c>
      <c r="B175" s="32">
        <v>14</v>
      </c>
      <c r="BC175" s="17" t="s">
        <v>351</v>
      </c>
      <c r="BD175" s="23">
        <v>3547.3</v>
      </c>
    </row>
    <row r="176" spans="1:56" x14ac:dyDescent="0.25">
      <c r="A176" s="17" t="s">
        <v>669</v>
      </c>
      <c r="B176" s="32">
        <v>13</v>
      </c>
    </row>
    <row r="177" spans="1:2" x14ac:dyDescent="0.25">
      <c r="A177" s="17" t="s">
        <v>670</v>
      </c>
      <c r="B177" s="32">
        <v>1.5</v>
      </c>
    </row>
    <row r="178" spans="1:2" x14ac:dyDescent="0.25">
      <c r="A178" s="17" t="s">
        <v>671</v>
      </c>
      <c r="B178" s="32">
        <v>3</v>
      </c>
    </row>
    <row r="179" spans="1:2" x14ac:dyDescent="0.25">
      <c r="A179" s="17" t="s">
        <v>672</v>
      </c>
      <c r="B179" s="32">
        <v>10</v>
      </c>
    </row>
    <row r="180" spans="1:2" x14ac:dyDescent="0.25">
      <c r="A180" s="17" t="s">
        <v>673</v>
      </c>
      <c r="B180" s="32">
        <v>1.5</v>
      </c>
    </row>
    <row r="181" spans="1:2" x14ac:dyDescent="0.25">
      <c r="A181" s="17" t="s">
        <v>674</v>
      </c>
      <c r="B181" s="32">
        <v>44</v>
      </c>
    </row>
    <row r="182" spans="1:2" x14ac:dyDescent="0.25">
      <c r="A182" s="17" t="s">
        <v>675</v>
      </c>
      <c r="B182" s="32">
        <v>7.5</v>
      </c>
    </row>
    <row r="183" spans="1:2" x14ac:dyDescent="0.25">
      <c r="A183" s="17" t="s">
        <v>676</v>
      </c>
      <c r="B183" s="32">
        <v>34</v>
      </c>
    </row>
    <row r="184" spans="1:2" x14ac:dyDescent="0.25">
      <c r="A184" s="17" t="s">
        <v>677</v>
      </c>
      <c r="B184" s="32">
        <v>26.5</v>
      </c>
    </row>
    <row r="185" spans="1:2" x14ac:dyDescent="0.25">
      <c r="A185" s="17" t="s">
        <v>678</v>
      </c>
      <c r="B185" s="32">
        <v>54</v>
      </c>
    </row>
    <row r="186" spans="1:2" x14ac:dyDescent="0.25">
      <c r="A186" s="17" t="s">
        <v>679</v>
      </c>
      <c r="B186" s="32">
        <v>5.5</v>
      </c>
    </row>
    <row r="187" spans="1:2" x14ac:dyDescent="0.25">
      <c r="A187" s="17" t="s">
        <v>680</v>
      </c>
      <c r="B187" s="32">
        <v>2.5</v>
      </c>
    </row>
    <row r="188" spans="1:2" x14ac:dyDescent="0.25">
      <c r="A188" s="17" t="s">
        <v>681</v>
      </c>
      <c r="B188" s="32">
        <v>10</v>
      </c>
    </row>
    <row r="189" spans="1:2" x14ac:dyDescent="0.25">
      <c r="A189" s="17" t="s">
        <v>682</v>
      </c>
      <c r="B189" s="32">
        <v>9</v>
      </c>
    </row>
    <row r="190" spans="1:2" x14ac:dyDescent="0.25">
      <c r="A190" s="17" t="s">
        <v>683</v>
      </c>
      <c r="B190" s="32">
        <v>1</v>
      </c>
    </row>
    <row r="191" spans="1:2" x14ac:dyDescent="0.25">
      <c r="A191" s="17" t="s">
        <v>684</v>
      </c>
      <c r="B191" s="32">
        <v>12.5</v>
      </c>
    </row>
    <row r="192" spans="1:2" x14ac:dyDescent="0.25">
      <c r="A192" s="17" t="s">
        <v>685</v>
      </c>
      <c r="B192" s="32">
        <v>4</v>
      </c>
    </row>
    <row r="193" spans="1:2" x14ac:dyDescent="0.25">
      <c r="A193" s="17" t="s">
        <v>686</v>
      </c>
      <c r="B193" s="32">
        <v>34</v>
      </c>
    </row>
    <row r="194" spans="1:2" x14ac:dyDescent="0.25">
      <c r="A194" s="17" t="s">
        <v>687</v>
      </c>
      <c r="B194" s="32">
        <v>36</v>
      </c>
    </row>
    <row r="195" spans="1:2" x14ac:dyDescent="0.25">
      <c r="A195" s="17" t="s">
        <v>688</v>
      </c>
      <c r="B195" s="32">
        <v>2.5</v>
      </c>
    </row>
    <row r="196" spans="1:2" x14ac:dyDescent="0.25">
      <c r="A196" s="17" t="s">
        <v>689</v>
      </c>
      <c r="B196" s="32">
        <v>9.5</v>
      </c>
    </row>
    <row r="197" spans="1:2" x14ac:dyDescent="0.25">
      <c r="A197" s="17" t="s">
        <v>690</v>
      </c>
      <c r="B197" s="32">
        <v>8</v>
      </c>
    </row>
    <row r="198" spans="1:2" x14ac:dyDescent="0.25">
      <c r="A198" s="17" t="s">
        <v>691</v>
      </c>
      <c r="B198" s="32">
        <v>0</v>
      </c>
    </row>
    <row r="199" spans="1:2" x14ac:dyDescent="0.25">
      <c r="A199" s="17" t="s">
        <v>692</v>
      </c>
      <c r="B199" s="32">
        <v>2.5</v>
      </c>
    </row>
    <row r="200" spans="1:2" x14ac:dyDescent="0.25">
      <c r="A200" s="17" t="s">
        <v>693</v>
      </c>
      <c r="B200" s="32">
        <v>4.5</v>
      </c>
    </row>
    <row r="201" spans="1:2" x14ac:dyDescent="0.25">
      <c r="A201" s="17" t="s">
        <v>694</v>
      </c>
      <c r="B201" s="32">
        <v>25</v>
      </c>
    </row>
    <row r="202" spans="1:2" x14ac:dyDescent="0.25">
      <c r="A202" s="17" t="s">
        <v>695</v>
      </c>
      <c r="B202" s="32">
        <v>26.5</v>
      </c>
    </row>
    <row r="203" spans="1:2" x14ac:dyDescent="0.25">
      <c r="A203" s="17" t="s">
        <v>696</v>
      </c>
      <c r="B203" s="32">
        <v>16</v>
      </c>
    </row>
    <row r="204" spans="1:2" x14ac:dyDescent="0.25">
      <c r="A204" s="17" t="s">
        <v>697</v>
      </c>
      <c r="B204" s="32">
        <v>28</v>
      </c>
    </row>
    <row r="205" spans="1:2" x14ac:dyDescent="0.25">
      <c r="A205" s="17" t="s">
        <v>698</v>
      </c>
      <c r="B205" s="32">
        <v>2</v>
      </c>
    </row>
    <row r="206" spans="1:2" x14ac:dyDescent="0.25">
      <c r="A206" s="17" t="s">
        <v>699</v>
      </c>
      <c r="B206" s="32">
        <v>2</v>
      </c>
    </row>
    <row r="207" spans="1:2" x14ac:dyDescent="0.25">
      <c r="A207" s="17" t="s">
        <v>700</v>
      </c>
      <c r="B207" s="32">
        <v>11</v>
      </c>
    </row>
    <row r="208" spans="1:2" x14ac:dyDescent="0.25">
      <c r="A208" s="17" t="s">
        <v>701</v>
      </c>
      <c r="B208" s="32">
        <v>22.5</v>
      </c>
    </row>
    <row r="209" spans="1:57" x14ac:dyDescent="0.25">
      <c r="A209" s="17" t="s">
        <v>702</v>
      </c>
      <c r="B209" s="32">
        <v>3.5</v>
      </c>
    </row>
    <row r="210" spans="1:57" x14ac:dyDescent="0.25">
      <c r="A210" s="17" t="s">
        <v>703</v>
      </c>
      <c r="B210" s="32">
        <v>6.5</v>
      </c>
    </row>
    <row r="211" spans="1:57" x14ac:dyDescent="0.25">
      <c r="A211" s="17" t="s">
        <v>704</v>
      </c>
      <c r="B211" s="32">
        <v>3</v>
      </c>
    </row>
    <row r="212" spans="1:57" x14ac:dyDescent="0.25">
      <c r="A212" s="17" t="s">
        <v>705</v>
      </c>
      <c r="B212" s="32">
        <v>20</v>
      </c>
    </row>
    <row r="213" spans="1:57" x14ac:dyDescent="0.25">
      <c r="A213" s="17" t="s">
        <v>706</v>
      </c>
      <c r="B213" s="32">
        <v>25.5</v>
      </c>
    </row>
    <row r="214" spans="1:57" x14ac:dyDescent="0.25">
      <c r="A214" s="17" t="s">
        <v>707</v>
      </c>
      <c r="B214" s="32">
        <v>5</v>
      </c>
    </row>
    <row r="215" spans="1:57" x14ac:dyDescent="0.25">
      <c r="A215" s="17" t="s">
        <v>708</v>
      </c>
      <c r="B215" s="32">
        <v>12</v>
      </c>
    </row>
    <row r="216" spans="1:57" x14ac:dyDescent="0.25">
      <c r="A216" s="17" t="s">
        <v>709</v>
      </c>
      <c r="B216" s="32">
        <v>0.5</v>
      </c>
      <c r="BD216" s="16" t="s">
        <v>350</v>
      </c>
      <c r="BE216" t="s">
        <v>355</v>
      </c>
    </row>
    <row r="217" spans="1:57" x14ac:dyDescent="0.25">
      <c r="A217" s="17" t="s">
        <v>710</v>
      </c>
      <c r="B217" s="32">
        <v>3</v>
      </c>
      <c r="BD217" s="17" t="s">
        <v>466</v>
      </c>
      <c r="BE217" s="18">
        <v>0.63526570048309183</v>
      </c>
    </row>
    <row r="218" spans="1:57" x14ac:dyDescent="0.25">
      <c r="A218" s="17" t="s">
        <v>711</v>
      </c>
      <c r="B218" s="32">
        <v>2</v>
      </c>
      <c r="BD218" s="21" t="s">
        <v>928</v>
      </c>
      <c r="BE218" s="18">
        <v>0.20772946859903382</v>
      </c>
    </row>
    <row r="219" spans="1:57" x14ac:dyDescent="0.25">
      <c r="A219" s="17" t="s">
        <v>712</v>
      </c>
      <c r="B219" s="32">
        <v>28.5</v>
      </c>
      <c r="BD219" s="22" t="s">
        <v>431</v>
      </c>
      <c r="BE219" s="18">
        <v>7.7294685990338161E-2</v>
      </c>
    </row>
    <row r="220" spans="1:57" x14ac:dyDescent="0.25">
      <c r="A220" s="17" t="s">
        <v>713</v>
      </c>
      <c r="B220" s="32">
        <v>1</v>
      </c>
      <c r="BD220" s="22" t="s">
        <v>416</v>
      </c>
      <c r="BE220" s="18">
        <v>4.1062801932367152E-2</v>
      </c>
    </row>
    <row r="221" spans="1:57" x14ac:dyDescent="0.25">
      <c r="A221" s="17" t="s">
        <v>714</v>
      </c>
      <c r="B221" s="32">
        <v>1</v>
      </c>
      <c r="BD221" s="22" t="s">
        <v>430</v>
      </c>
      <c r="BE221" s="18">
        <v>8.9371980676328497E-2</v>
      </c>
    </row>
    <row r="222" spans="1:57" x14ac:dyDescent="0.25">
      <c r="A222" s="17" t="s">
        <v>715</v>
      </c>
      <c r="B222" s="32">
        <v>9</v>
      </c>
      <c r="BD222" s="21" t="s">
        <v>929</v>
      </c>
      <c r="BE222" s="18">
        <v>0.18357487922705315</v>
      </c>
    </row>
    <row r="223" spans="1:57" x14ac:dyDescent="0.25">
      <c r="A223" s="17" t="s">
        <v>716</v>
      </c>
      <c r="B223" s="32">
        <v>5.5</v>
      </c>
      <c r="BD223" s="22" t="s">
        <v>425</v>
      </c>
      <c r="BE223" s="18">
        <v>6.7632850241545889E-2</v>
      </c>
    </row>
    <row r="224" spans="1:57" x14ac:dyDescent="0.25">
      <c r="A224" s="17" t="s">
        <v>717</v>
      </c>
      <c r="B224" s="32">
        <v>9</v>
      </c>
      <c r="BD224" s="22" t="s">
        <v>428</v>
      </c>
      <c r="BE224" s="18">
        <v>6.280193236714976E-2</v>
      </c>
    </row>
    <row r="225" spans="1:57" x14ac:dyDescent="0.25">
      <c r="A225" s="17" t="s">
        <v>718</v>
      </c>
      <c r="B225" s="32">
        <v>10</v>
      </c>
      <c r="BD225" s="22" t="s">
        <v>445</v>
      </c>
      <c r="BE225" s="18">
        <v>5.3140096618357488E-2</v>
      </c>
    </row>
    <row r="226" spans="1:57" x14ac:dyDescent="0.25">
      <c r="A226" s="17" t="s">
        <v>719</v>
      </c>
      <c r="B226" s="32">
        <v>16.5</v>
      </c>
      <c r="BD226" s="21" t="s">
        <v>456</v>
      </c>
      <c r="BE226" s="18">
        <v>0.1280193236714976</v>
      </c>
    </row>
    <row r="227" spans="1:57" x14ac:dyDescent="0.25">
      <c r="A227" s="17" t="s">
        <v>720</v>
      </c>
      <c r="B227" s="32">
        <v>5</v>
      </c>
      <c r="BD227" s="22" t="s">
        <v>450</v>
      </c>
      <c r="BE227" s="18">
        <v>3.140096618357488E-2</v>
      </c>
    </row>
    <row r="228" spans="1:57" x14ac:dyDescent="0.25">
      <c r="A228" s="17" t="s">
        <v>721</v>
      </c>
      <c r="B228" s="32">
        <v>13</v>
      </c>
      <c r="BD228" s="22" t="s">
        <v>451</v>
      </c>
      <c r="BE228" s="18">
        <v>4.8309178743961352E-2</v>
      </c>
    </row>
    <row r="229" spans="1:57" x14ac:dyDescent="0.25">
      <c r="A229" s="17" t="s">
        <v>722</v>
      </c>
      <c r="B229" s="32">
        <v>6.5</v>
      </c>
      <c r="BD229" s="22" t="s">
        <v>452</v>
      </c>
      <c r="BE229" s="18">
        <v>4.8309178743961352E-2</v>
      </c>
    </row>
    <row r="230" spans="1:57" x14ac:dyDescent="0.25">
      <c r="A230" s="17" t="s">
        <v>723</v>
      </c>
      <c r="B230" s="32">
        <v>14.5</v>
      </c>
      <c r="BD230" s="21" t="s">
        <v>930</v>
      </c>
      <c r="BE230" s="18">
        <v>0.11594202898550725</v>
      </c>
    </row>
    <row r="231" spans="1:57" x14ac:dyDescent="0.25">
      <c r="A231" s="17" t="s">
        <v>724</v>
      </c>
      <c r="B231" s="32">
        <v>1</v>
      </c>
      <c r="BD231" s="22" t="s">
        <v>467</v>
      </c>
      <c r="BE231" s="18">
        <v>3.6231884057971016E-2</v>
      </c>
    </row>
    <row r="232" spans="1:57" x14ac:dyDescent="0.25">
      <c r="A232" s="17" t="s">
        <v>725</v>
      </c>
      <c r="B232" s="32">
        <v>5</v>
      </c>
      <c r="BD232" s="22" t="s">
        <v>468</v>
      </c>
      <c r="BE232" s="18">
        <v>4.8309178743961352E-2</v>
      </c>
    </row>
    <row r="233" spans="1:57" x14ac:dyDescent="0.25">
      <c r="A233" s="17" t="s">
        <v>726</v>
      </c>
      <c r="B233" s="32">
        <v>6</v>
      </c>
      <c r="BD233" s="22" t="s">
        <v>469</v>
      </c>
      <c r="BE233" s="18">
        <v>3.140096618357488E-2</v>
      </c>
    </row>
    <row r="234" spans="1:57" x14ac:dyDescent="0.25">
      <c r="A234" s="17" t="s">
        <v>727</v>
      </c>
      <c r="B234" s="32">
        <v>3</v>
      </c>
      <c r="BD234" s="17" t="s">
        <v>429</v>
      </c>
      <c r="BE234" s="18">
        <v>0.36473429951690822</v>
      </c>
    </row>
    <row r="235" spans="1:57" x14ac:dyDescent="0.25">
      <c r="A235" s="17" t="s">
        <v>728</v>
      </c>
      <c r="B235" s="32">
        <v>2.5</v>
      </c>
      <c r="BD235" s="21" t="s">
        <v>928</v>
      </c>
      <c r="BE235" s="18">
        <v>7.7294685990338161E-2</v>
      </c>
    </row>
    <row r="236" spans="1:57" x14ac:dyDescent="0.25">
      <c r="A236" s="17" t="s">
        <v>729</v>
      </c>
      <c r="B236" s="32">
        <v>1</v>
      </c>
      <c r="BD236" s="22" t="s">
        <v>431</v>
      </c>
      <c r="BE236" s="18">
        <v>2.8985507246376812E-2</v>
      </c>
    </row>
    <row r="237" spans="1:57" x14ac:dyDescent="0.25">
      <c r="A237" s="17" t="s">
        <v>730</v>
      </c>
      <c r="B237" s="32">
        <v>41.5</v>
      </c>
      <c r="BD237" s="22" t="s">
        <v>416</v>
      </c>
      <c r="BE237" s="18">
        <v>2.4154589371980676E-2</v>
      </c>
    </row>
    <row r="238" spans="1:57" x14ac:dyDescent="0.25">
      <c r="A238" s="17" t="s">
        <v>731</v>
      </c>
      <c r="B238" s="32">
        <v>30</v>
      </c>
      <c r="BD238" s="22" t="s">
        <v>430</v>
      </c>
      <c r="BE238" s="18">
        <v>2.4154589371980676E-2</v>
      </c>
    </row>
    <row r="239" spans="1:57" x14ac:dyDescent="0.25">
      <c r="A239" s="17" t="s">
        <v>732</v>
      </c>
      <c r="B239" s="32">
        <v>3</v>
      </c>
      <c r="BD239" s="21" t="s">
        <v>929</v>
      </c>
      <c r="BE239" s="18">
        <v>0.15217391304347827</v>
      </c>
    </row>
    <row r="240" spans="1:57" x14ac:dyDescent="0.25">
      <c r="A240" s="17" t="s">
        <v>733</v>
      </c>
      <c r="B240" s="32">
        <v>2</v>
      </c>
      <c r="BD240" s="22" t="s">
        <v>425</v>
      </c>
      <c r="BE240" s="18">
        <v>4.8309178743961352E-2</v>
      </c>
    </row>
    <row r="241" spans="1:57" x14ac:dyDescent="0.25">
      <c r="A241" s="17" t="s">
        <v>734</v>
      </c>
      <c r="B241" s="32">
        <v>5</v>
      </c>
      <c r="BD241" s="22" t="s">
        <v>428</v>
      </c>
      <c r="BE241" s="18">
        <v>6.280193236714976E-2</v>
      </c>
    </row>
    <row r="242" spans="1:57" x14ac:dyDescent="0.25">
      <c r="A242" s="17" t="s">
        <v>735</v>
      </c>
      <c r="B242" s="32">
        <v>8</v>
      </c>
      <c r="BD242" s="22" t="s">
        <v>445</v>
      </c>
      <c r="BE242" s="18">
        <v>4.1062801932367152E-2</v>
      </c>
    </row>
    <row r="243" spans="1:57" x14ac:dyDescent="0.25">
      <c r="A243" s="17" t="s">
        <v>736</v>
      </c>
      <c r="B243" s="32">
        <v>4</v>
      </c>
      <c r="BD243" s="21" t="s">
        <v>456</v>
      </c>
      <c r="BE243" s="18">
        <v>0.13526570048309178</v>
      </c>
    </row>
    <row r="244" spans="1:57" x14ac:dyDescent="0.25">
      <c r="A244" s="17" t="s">
        <v>737</v>
      </c>
      <c r="B244" s="32">
        <v>6</v>
      </c>
      <c r="BD244" s="22" t="s">
        <v>450</v>
      </c>
      <c r="BE244" s="18">
        <v>5.0724637681159424E-2</v>
      </c>
    </row>
    <row r="245" spans="1:57" x14ac:dyDescent="0.25">
      <c r="A245" s="17" t="s">
        <v>738</v>
      </c>
      <c r="B245" s="32">
        <v>1</v>
      </c>
      <c r="BD245" s="22" t="s">
        <v>451</v>
      </c>
      <c r="BE245" s="18">
        <v>4.8309178743961352E-2</v>
      </c>
    </row>
    <row r="246" spans="1:57" x14ac:dyDescent="0.25">
      <c r="A246" s="17" t="s">
        <v>739</v>
      </c>
      <c r="B246" s="32">
        <v>4</v>
      </c>
      <c r="BD246" s="22" t="s">
        <v>452</v>
      </c>
      <c r="BE246" s="18">
        <v>3.6231884057971016E-2</v>
      </c>
    </row>
    <row r="247" spans="1:57" x14ac:dyDescent="0.25">
      <c r="A247" s="17" t="s">
        <v>351</v>
      </c>
      <c r="B247" s="32">
        <v>1836.6</v>
      </c>
      <c r="BD247" s="17" t="s">
        <v>351</v>
      </c>
      <c r="BE247" s="18">
        <v>1</v>
      </c>
    </row>
    <row r="269" spans="1:4" x14ac:dyDescent="0.25">
      <c r="A269" s="16" t="s">
        <v>355</v>
      </c>
      <c r="B269" s="16" t="s">
        <v>354</v>
      </c>
    </row>
    <row r="270" spans="1:4" x14ac:dyDescent="0.25">
      <c r="A270" s="16" t="s">
        <v>350</v>
      </c>
      <c r="B270" t="s">
        <v>176</v>
      </c>
      <c r="C270" t="s">
        <v>19</v>
      </c>
      <c r="D270" t="s">
        <v>351</v>
      </c>
    </row>
    <row r="271" spans="1:4" x14ac:dyDescent="0.25">
      <c r="A271" s="17" t="s">
        <v>471</v>
      </c>
      <c r="B271" s="32">
        <v>2</v>
      </c>
      <c r="C271" s="32">
        <v>85</v>
      </c>
      <c r="D271" s="32">
        <v>87</v>
      </c>
    </row>
    <row r="272" spans="1:4" x14ac:dyDescent="0.25">
      <c r="A272" s="17" t="s">
        <v>470</v>
      </c>
      <c r="B272" s="32">
        <v>127</v>
      </c>
      <c r="C272" s="32">
        <v>285</v>
      </c>
      <c r="D272" s="32">
        <v>412</v>
      </c>
    </row>
    <row r="273" spans="1:4" x14ac:dyDescent="0.25">
      <c r="A273" s="17" t="s">
        <v>466</v>
      </c>
      <c r="B273" s="32">
        <v>72</v>
      </c>
      <c r="C273" s="32">
        <v>191</v>
      </c>
      <c r="D273" s="32">
        <v>263</v>
      </c>
    </row>
    <row r="274" spans="1:4" x14ac:dyDescent="0.25">
      <c r="A274" s="17" t="s">
        <v>429</v>
      </c>
      <c r="B274" s="32">
        <v>26</v>
      </c>
      <c r="C274" s="32">
        <v>125</v>
      </c>
      <c r="D274" s="32">
        <v>151</v>
      </c>
    </row>
    <row r="275" spans="1:4" x14ac:dyDescent="0.25">
      <c r="A275" s="17" t="s">
        <v>351</v>
      </c>
      <c r="B275" s="32">
        <v>227</v>
      </c>
      <c r="C275" s="32">
        <v>686</v>
      </c>
      <c r="D275" s="32">
        <v>913</v>
      </c>
    </row>
    <row r="329" spans="1:3" x14ac:dyDescent="0.25">
      <c r="A329" s="16" t="s">
        <v>350</v>
      </c>
      <c r="B329" t="s">
        <v>352</v>
      </c>
      <c r="C329" t="s">
        <v>356</v>
      </c>
    </row>
    <row r="330" spans="1:3" x14ac:dyDescent="0.25">
      <c r="A330" s="17" t="s">
        <v>631</v>
      </c>
      <c r="B330" s="32">
        <v>13</v>
      </c>
      <c r="C330" s="32">
        <v>43.5</v>
      </c>
    </row>
    <row r="331" spans="1:3" x14ac:dyDescent="0.25">
      <c r="A331" s="17" t="s">
        <v>632</v>
      </c>
      <c r="B331" s="32">
        <v>6</v>
      </c>
      <c r="C331" s="32">
        <v>13.5</v>
      </c>
    </row>
    <row r="332" spans="1:3" x14ac:dyDescent="0.25">
      <c r="A332" s="17" t="s">
        <v>633</v>
      </c>
      <c r="B332" s="32">
        <v>2</v>
      </c>
      <c r="C332" s="32">
        <v>18</v>
      </c>
    </row>
    <row r="333" spans="1:3" x14ac:dyDescent="0.25">
      <c r="A333" s="17" t="s">
        <v>634</v>
      </c>
      <c r="B333" s="32">
        <v>5</v>
      </c>
      <c r="C333" s="32">
        <v>16</v>
      </c>
    </row>
    <row r="334" spans="1:3" x14ac:dyDescent="0.25">
      <c r="A334" s="17" t="s">
        <v>635</v>
      </c>
      <c r="B334" s="32">
        <v>24</v>
      </c>
      <c r="C334" s="32">
        <v>72.5</v>
      </c>
    </row>
    <row r="335" spans="1:3" x14ac:dyDescent="0.25">
      <c r="A335" s="17" t="s">
        <v>636</v>
      </c>
      <c r="B335" s="32">
        <v>1</v>
      </c>
      <c r="C335" s="32">
        <v>5</v>
      </c>
    </row>
    <row r="336" spans="1:3" x14ac:dyDescent="0.25">
      <c r="A336" s="17" t="s">
        <v>637</v>
      </c>
      <c r="B336" s="32">
        <v>2</v>
      </c>
      <c r="C336" s="32">
        <v>9</v>
      </c>
    </row>
    <row r="337" spans="1:3" x14ac:dyDescent="0.25">
      <c r="A337" s="17" t="s">
        <v>638</v>
      </c>
      <c r="B337" s="32">
        <v>22</v>
      </c>
      <c r="C337" s="32">
        <v>29.5</v>
      </c>
    </row>
    <row r="338" spans="1:3" x14ac:dyDescent="0.25">
      <c r="A338" s="17" t="s">
        <v>639</v>
      </c>
      <c r="B338" s="32">
        <v>1</v>
      </c>
      <c r="C338" s="32">
        <v>1</v>
      </c>
    </row>
    <row r="339" spans="1:3" x14ac:dyDescent="0.25">
      <c r="A339" s="17" t="s">
        <v>640</v>
      </c>
      <c r="B339" s="32">
        <v>5</v>
      </c>
      <c r="C339" s="32">
        <v>7.5</v>
      </c>
    </row>
    <row r="340" spans="1:3" x14ac:dyDescent="0.25">
      <c r="A340" s="17" t="s">
        <v>730</v>
      </c>
      <c r="B340" s="32">
        <v>14</v>
      </c>
      <c r="C340" s="32">
        <v>41.5</v>
      </c>
    </row>
    <row r="341" spans="1:3" x14ac:dyDescent="0.25">
      <c r="A341" s="17" t="s">
        <v>731</v>
      </c>
      <c r="B341" s="32">
        <v>10</v>
      </c>
      <c r="C341" s="32">
        <v>30</v>
      </c>
    </row>
    <row r="342" spans="1:3" x14ac:dyDescent="0.25">
      <c r="A342" s="17" t="s">
        <v>732</v>
      </c>
      <c r="B342" s="32">
        <v>1</v>
      </c>
      <c r="C342" s="32">
        <v>3</v>
      </c>
    </row>
    <row r="343" spans="1:3" x14ac:dyDescent="0.25">
      <c r="A343" s="17" t="s">
        <v>733</v>
      </c>
      <c r="B343" s="32">
        <v>1</v>
      </c>
      <c r="C343" s="32">
        <v>2</v>
      </c>
    </row>
    <row r="344" spans="1:3" x14ac:dyDescent="0.25">
      <c r="A344" s="17" t="s">
        <v>734</v>
      </c>
      <c r="B344" s="32">
        <v>1</v>
      </c>
      <c r="C344" s="32">
        <v>5</v>
      </c>
    </row>
    <row r="345" spans="1:3" x14ac:dyDescent="0.25">
      <c r="A345" s="17" t="s">
        <v>735</v>
      </c>
      <c r="B345" s="32">
        <v>1</v>
      </c>
      <c r="C345" s="32">
        <v>8</v>
      </c>
    </row>
    <row r="346" spans="1:3" x14ac:dyDescent="0.25">
      <c r="A346" s="17" t="s">
        <v>736</v>
      </c>
      <c r="B346" s="32">
        <v>1</v>
      </c>
      <c r="C346" s="32">
        <v>4</v>
      </c>
    </row>
    <row r="347" spans="1:3" x14ac:dyDescent="0.25">
      <c r="A347" s="17" t="s">
        <v>737</v>
      </c>
      <c r="B347" s="32">
        <v>2</v>
      </c>
      <c r="C347" s="32">
        <v>6</v>
      </c>
    </row>
    <row r="348" spans="1:3" x14ac:dyDescent="0.25">
      <c r="A348" s="17" t="s">
        <v>738</v>
      </c>
      <c r="B348" s="32">
        <v>1</v>
      </c>
      <c r="C348" s="32">
        <v>1</v>
      </c>
    </row>
    <row r="349" spans="1:3" x14ac:dyDescent="0.25">
      <c r="A349" s="17" t="s">
        <v>739</v>
      </c>
      <c r="B349" s="32">
        <v>3</v>
      </c>
      <c r="C349" s="32">
        <v>4</v>
      </c>
    </row>
    <row r="350" spans="1:3" x14ac:dyDescent="0.25">
      <c r="A350" s="17" t="s">
        <v>641</v>
      </c>
      <c r="B350" s="32">
        <v>6</v>
      </c>
      <c r="C350" s="32">
        <v>17</v>
      </c>
    </row>
    <row r="351" spans="1:3" x14ac:dyDescent="0.25">
      <c r="A351" s="17" t="s">
        <v>642</v>
      </c>
      <c r="B351" s="32">
        <v>40</v>
      </c>
      <c r="C351" s="32">
        <v>72.599999999999994</v>
      </c>
    </row>
    <row r="352" spans="1:3" x14ac:dyDescent="0.25">
      <c r="A352" s="17" t="s">
        <v>643</v>
      </c>
      <c r="B352" s="32">
        <v>25</v>
      </c>
      <c r="C352" s="32">
        <v>40.5</v>
      </c>
    </row>
    <row r="353" spans="1:3" x14ac:dyDescent="0.25">
      <c r="A353" s="17" t="s">
        <v>644</v>
      </c>
      <c r="B353" s="32">
        <v>7</v>
      </c>
      <c r="C353" s="32">
        <v>20.5</v>
      </c>
    </row>
    <row r="354" spans="1:3" x14ac:dyDescent="0.25">
      <c r="A354" s="17" t="s">
        <v>645</v>
      </c>
      <c r="B354" s="32">
        <v>32</v>
      </c>
      <c r="C354" s="32">
        <v>49.5</v>
      </c>
    </row>
    <row r="355" spans="1:3" x14ac:dyDescent="0.25">
      <c r="A355" s="17" t="s">
        <v>646</v>
      </c>
      <c r="B355" s="32">
        <v>21</v>
      </c>
      <c r="C355" s="32">
        <v>43.5</v>
      </c>
    </row>
    <row r="356" spans="1:3" x14ac:dyDescent="0.25">
      <c r="A356" s="17" t="s">
        <v>647</v>
      </c>
      <c r="B356" s="32">
        <v>1</v>
      </c>
      <c r="C356" s="32">
        <v>9</v>
      </c>
    </row>
    <row r="357" spans="1:3" x14ac:dyDescent="0.25">
      <c r="A357" s="17" t="s">
        <v>648</v>
      </c>
      <c r="B357" s="32">
        <v>31</v>
      </c>
      <c r="C357" s="32">
        <v>39.5</v>
      </c>
    </row>
    <row r="358" spans="1:3" x14ac:dyDescent="0.25">
      <c r="A358" s="17" t="s">
        <v>649</v>
      </c>
      <c r="B358" s="32">
        <v>24</v>
      </c>
      <c r="C358" s="32">
        <v>29.5</v>
      </c>
    </row>
    <row r="359" spans="1:3" x14ac:dyDescent="0.25">
      <c r="A359" s="17" t="s">
        <v>650</v>
      </c>
      <c r="B359" s="32">
        <v>22</v>
      </c>
      <c r="C359" s="32">
        <v>67.5</v>
      </c>
    </row>
    <row r="360" spans="1:3" x14ac:dyDescent="0.25">
      <c r="A360" s="17" t="s">
        <v>651</v>
      </c>
      <c r="B360" s="32">
        <v>1</v>
      </c>
      <c r="C360" s="32">
        <v>1</v>
      </c>
    </row>
    <row r="361" spans="1:3" x14ac:dyDescent="0.25">
      <c r="A361" s="17" t="s">
        <v>652</v>
      </c>
      <c r="B361" s="32">
        <v>2</v>
      </c>
      <c r="C361" s="32">
        <v>9</v>
      </c>
    </row>
    <row r="362" spans="1:3" x14ac:dyDescent="0.25">
      <c r="A362" s="17" t="s">
        <v>653</v>
      </c>
      <c r="B362" s="32">
        <v>28</v>
      </c>
      <c r="C362" s="32">
        <v>50</v>
      </c>
    </row>
    <row r="363" spans="1:3" x14ac:dyDescent="0.25">
      <c r="A363" s="17" t="s">
        <v>654</v>
      </c>
      <c r="B363" s="32">
        <v>29</v>
      </c>
      <c r="C363" s="32">
        <v>47</v>
      </c>
    </row>
    <row r="364" spans="1:3" x14ac:dyDescent="0.25">
      <c r="A364" s="17" t="s">
        <v>655</v>
      </c>
      <c r="B364" s="32">
        <v>24</v>
      </c>
      <c r="C364" s="32">
        <v>42.5</v>
      </c>
    </row>
    <row r="365" spans="1:3" x14ac:dyDescent="0.25">
      <c r="A365" s="17" t="s">
        <v>656</v>
      </c>
      <c r="B365" s="32">
        <v>27</v>
      </c>
      <c r="C365" s="32">
        <v>31</v>
      </c>
    </row>
    <row r="366" spans="1:3" x14ac:dyDescent="0.25">
      <c r="A366" s="17" t="s">
        <v>657</v>
      </c>
      <c r="B366" s="32">
        <v>3</v>
      </c>
      <c r="C366" s="32">
        <v>4</v>
      </c>
    </row>
    <row r="367" spans="1:3" x14ac:dyDescent="0.25">
      <c r="A367" s="17" t="s">
        <v>658</v>
      </c>
      <c r="B367" s="32">
        <v>4</v>
      </c>
      <c r="C367" s="32">
        <v>26.5</v>
      </c>
    </row>
    <row r="368" spans="1:3" x14ac:dyDescent="0.25">
      <c r="A368" s="17" t="s">
        <v>659</v>
      </c>
      <c r="B368" s="32">
        <v>2</v>
      </c>
      <c r="C368" s="32">
        <v>3</v>
      </c>
    </row>
    <row r="369" spans="1:3" x14ac:dyDescent="0.25">
      <c r="A369" s="17" t="s">
        <v>660</v>
      </c>
      <c r="B369" s="32">
        <v>21</v>
      </c>
      <c r="C369" s="32">
        <v>41</v>
      </c>
    </row>
    <row r="370" spans="1:3" x14ac:dyDescent="0.25">
      <c r="A370" s="17" t="s">
        <v>661</v>
      </c>
      <c r="B370" s="32">
        <v>36</v>
      </c>
      <c r="C370" s="32">
        <v>45.5</v>
      </c>
    </row>
    <row r="371" spans="1:3" x14ac:dyDescent="0.25">
      <c r="A371" s="17" t="s">
        <v>662</v>
      </c>
      <c r="B371" s="32">
        <v>4</v>
      </c>
      <c r="C371" s="32">
        <v>16</v>
      </c>
    </row>
    <row r="372" spans="1:3" x14ac:dyDescent="0.25">
      <c r="A372" s="17" t="s">
        <v>663</v>
      </c>
      <c r="B372" s="32">
        <v>6</v>
      </c>
      <c r="C372" s="32">
        <v>11</v>
      </c>
    </row>
    <row r="373" spans="1:3" x14ac:dyDescent="0.25">
      <c r="A373" s="17" t="s">
        <v>664</v>
      </c>
      <c r="B373" s="32">
        <v>35</v>
      </c>
      <c r="C373" s="32">
        <v>51.5</v>
      </c>
    </row>
    <row r="374" spans="1:3" x14ac:dyDescent="0.25">
      <c r="A374" s="17" t="s">
        <v>665</v>
      </c>
      <c r="B374" s="32">
        <v>1</v>
      </c>
      <c r="C374" s="32">
        <v>1</v>
      </c>
    </row>
    <row r="375" spans="1:3" x14ac:dyDescent="0.25">
      <c r="A375" s="17" t="s">
        <v>666</v>
      </c>
      <c r="B375" s="32">
        <v>24</v>
      </c>
      <c r="C375" s="32">
        <v>39</v>
      </c>
    </row>
    <row r="376" spans="1:3" x14ac:dyDescent="0.25">
      <c r="A376" s="17" t="s">
        <v>667</v>
      </c>
      <c r="B376" s="32">
        <v>5</v>
      </c>
      <c r="C376" s="32">
        <v>6</v>
      </c>
    </row>
    <row r="377" spans="1:3" x14ac:dyDescent="0.25">
      <c r="A377" s="17" t="s">
        <v>668</v>
      </c>
      <c r="B377" s="32">
        <v>2</v>
      </c>
      <c r="C377" s="32">
        <v>14</v>
      </c>
    </row>
    <row r="378" spans="1:3" x14ac:dyDescent="0.25">
      <c r="A378" s="17" t="s">
        <v>669</v>
      </c>
      <c r="B378" s="32">
        <v>2</v>
      </c>
      <c r="C378" s="32">
        <v>13</v>
      </c>
    </row>
    <row r="379" spans="1:3" x14ac:dyDescent="0.25">
      <c r="A379" s="17" t="s">
        <v>670</v>
      </c>
      <c r="B379" s="32">
        <v>1</v>
      </c>
      <c r="C379" s="32">
        <v>1.5</v>
      </c>
    </row>
    <row r="380" spans="1:3" x14ac:dyDescent="0.25">
      <c r="A380" s="17" t="s">
        <v>671</v>
      </c>
      <c r="B380" s="32">
        <v>3</v>
      </c>
      <c r="C380" s="32">
        <v>3</v>
      </c>
    </row>
    <row r="381" spans="1:3" x14ac:dyDescent="0.25">
      <c r="A381" s="17" t="s">
        <v>672</v>
      </c>
      <c r="B381" s="32">
        <v>4</v>
      </c>
      <c r="C381" s="32">
        <v>10</v>
      </c>
    </row>
    <row r="382" spans="1:3" x14ac:dyDescent="0.25">
      <c r="A382" s="17" t="s">
        <v>673</v>
      </c>
      <c r="B382" s="32">
        <v>1</v>
      </c>
      <c r="C382" s="32">
        <v>1.5</v>
      </c>
    </row>
    <row r="383" spans="1:3" x14ac:dyDescent="0.25">
      <c r="A383" s="17" t="s">
        <v>674</v>
      </c>
      <c r="B383" s="32">
        <v>22</v>
      </c>
      <c r="C383" s="32">
        <v>44</v>
      </c>
    </row>
    <row r="384" spans="1:3" x14ac:dyDescent="0.25">
      <c r="A384" s="17" t="s">
        <v>675</v>
      </c>
      <c r="B384" s="32">
        <v>3</v>
      </c>
      <c r="C384" s="32">
        <v>7.5</v>
      </c>
    </row>
    <row r="385" spans="1:3" x14ac:dyDescent="0.25">
      <c r="A385" s="17" t="s">
        <v>676</v>
      </c>
      <c r="B385" s="32">
        <v>21</v>
      </c>
      <c r="C385" s="32">
        <v>34</v>
      </c>
    </row>
    <row r="386" spans="1:3" x14ac:dyDescent="0.25">
      <c r="A386" s="17" t="s">
        <v>677</v>
      </c>
      <c r="B386" s="32">
        <v>14</v>
      </c>
      <c r="C386" s="32">
        <v>26.5</v>
      </c>
    </row>
    <row r="387" spans="1:3" x14ac:dyDescent="0.25">
      <c r="A387" s="17" t="s">
        <v>678</v>
      </c>
      <c r="B387" s="32">
        <v>30</v>
      </c>
      <c r="C387" s="32">
        <v>54</v>
      </c>
    </row>
    <row r="388" spans="1:3" x14ac:dyDescent="0.25">
      <c r="A388" s="17" t="s">
        <v>679</v>
      </c>
      <c r="B388" s="32">
        <v>5</v>
      </c>
      <c r="C388" s="32">
        <v>5.5</v>
      </c>
    </row>
    <row r="389" spans="1:3" x14ac:dyDescent="0.25">
      <c r="A389" s="17" t="s">
        <v>680</v>
      </c>
      <c r="B389" s="32">
        <v>2</v>
      </c>
      <c r="C389" s="32">
        <v>2.5</v>
      </c>
    </row>
    <row r="390" spans="1:3" x14ac:dyDescent="0.25">
      <c r="A390" s="17" t="s">
        <v>681</v>
      </c>
      <c r="B390" s="32">
        <v>9</v>
      </c>
      <c r="C390" s="32">
        <v>10</v>
      </c>
    </row>
    <row r="391" spans="1:3" x14ac:dyDescent="0.25">
      <c r="A391" s="17" t="s">
        <v>682</v>
      </c>
      <c r="B391" s="32">
        <v>1</v>
      </c>
      <c r="C391" s="32">
        <v>9</v>
      </c>
    </row>
    <row r="392" spans="1:3" x14ac:dyDescent="0.25">
      <c r="A392" s="17" t="s">
        <v>683</v>
      </c>
      <c r="B392" s="32">
        <v>1</v>
      </c>
      <c r="C392" s="32">
        <v>1</v>
      </c>
    </row>
    <row r="393" spans="1:3" x14ac:dyDescent="0.25">
      <c r="A393" s="17" t="s">
        <v>684</v>
      </c>
      <c r="B393" s="32">
        <v>7</v>
      </c>
      <c r="C393" s="32">
        <v>12.5</v>
      </c>
    </row>
    <row r="394" spans="1:3" x14ac:dyDescent="0.25">
      <c r="A394" s="17" t="s">
        <v>685</v>
      </c>
      <c r="B394" s="32">
        <v>1</v>
      </c>
      <c r="C394" s="32">
        <v>4</v>
      </c>
    </row>
    <row r="395" spans="1:3" x14ac:dyDescent="0.25">
      <c r="A395" s="17" t="s">
        <v>686</v>
      </c>
      <c r="B395" s="32">
        <v>13</v>
      </c>
      <c r="C395" s="32">
        <v>34</v>
      </c>
    </row>
    <row r="396" spans="1:3" x14ac:dyDescent="0.25">
      <c r="A396" s="17" t="s">
        <v>687</v>
      </c>
      <c r="B396" s="32">
        <v>27</v>
      </c>
      <c r="C396" s="32">
        <v>36</v>
      </c>
    </row>
    <row r="397" spans="1:3" x14ac:dyDescent="0.25">
      <c r="A397" s="17" t="s">
        <v>688</v>
      </c>
      <c r="B397" s="32">
        <v>1</v>
      </c>
      <c r="C397" s="32">
        <v>2.5</v>
      </c>
    </row>
    <row r="398" spans="1:3" x14ac:dyDescent="0.25">
      <c r="A398" s="17" t="s">
        <v>689</v>
      </c>
      <c r="B398" s="32">
        <v>2</v>
      </c>
      <c r="C398" s="32">
        <v>9.5</v>
      </c>
    </row>
    <row r="399" spans="1:3" x14ac:dyDescent="0.25">
      <c r="A399" s="17" t="s">
        <v>690</v>
      </c>
      <c r="B399" s="32">
        <v>4</v>
      </c>
      <c r="C399" s="32">
        <v>8</v>
      </c>
    </row>
    <row r="400" spans="1:3" x14ac:dyDescent="0.25">
      <c r="A400" s="17" t="s">
        <v>691</v>
      </c>
      <c r="B400" s="32">
        <v>1</v>
      </c>
      <c r="C400" s="32">
        <v>0</v>
      </c>
    </row>
    <row r="401" spans="1:3" x14ac:dyDescent="0.25">
      <c r="A401" s="17" t="s">
        <v>692</v>
      </c>
      <c r="B401" s="32">
        <v>1</v>
      </c>
      <c r="C401" s="32">
        <v>2.5</v>
      </c>
    </row>
    <row r="402" spans="1:3" x14ac:dyDescent="0.25">
      <c r="A402" s="17" t="s">
        <v>693</v>
      </c>
      <c r="B402" s="32">
        <v>5</v>
      </c>
      <c r="C402" s="32">
        <v>4.5</v>
      </c>
    </row>
    <row r="403" spans="1:3" x14ac:dyDescent="0.25">
      <c r="A403" s="17" t="s">
        <v>694</v>
      </c>
      <c r="B403" s="32">
        <v>16</v>
      </c>
      <c r="C403" s="32">
        <v>25</v>
      </c>
    </row>
    <row r="404" spans="1:3" x14ac:dyDescent="0.25">
      <c r="A404" s="17" t="s">
        <v>695</v>
      </c>
      <c r="B404" s="32">
        <v>6</v>
      </c>
      <c r="C404" s="32">
        <v>26.5</v>
      </c>
    </row>
    <row r="405" spans="1:3" x14ac:dyDescent="0.25">
      <c r="A405" s="17" t="s">
        <v>696</v>
      </c>
      <c r="B405" s="32">
        <v>9</v>
      </c>
      <c r="C405" s="32">
        <v>16</v>
      </c>
    </row>
    <row r="406" spans="1:3" x14ac:dyDescent="0.25">
      <c r="A406" s="17" t="s">
        <v>697</v>
      </c>
      <c r="B406" s="32">
        <v>22</v>
      </c>
      <c r="C406" s="32">
        <v>28</v>
      </c>
    </row>
    <row r="407" spans="1:3" x14ac:dyDescent="0.25">
      <c r="A407" s="17" t="s">
        <v>698</v>
      </c>
      <c r="B407" s="32">
        <v>1</v>
      </c>
      <c r="C407" s="32">
        <v>2</v>
      </c>
    </row>
    <row r="408" spans="1:3" x14ac:dyDescent="0.25">
      <c r="A408" s="17" t="s">
        <v>699</v>
      </c>
      <c r="B408" s="32">
        <v>1</v>
      </c>
      <c r="C408" s="32">
        <v>2</v>
      </c>
    </row>
    <row r="409" spans="1:3" x14ac:dyDescent="0.25">
      <c r="A409" s="17" t="s">
        <v>700</v>
      </c>
      <c r="B409" s="32">
        <v>2</v>
      </c>
      <c r="C409" s="32">
        <v>11</v>
      </c>
    </row>
    <row r="410" spans="1:3" x14ac:dyDescent="0.25">
      <c r="A410" s="17" t="s">
        <v>701</v>
      </c>
      <c r="B410" s="32">
        <v>8</v>
      </c>
      <c r="C410" s="32">
        <v>22.5</v>
      </c>
    </row>
    <row r="411" spans="1:3" x14ac:dyDescent="0.25">
      <c r="A411" s="17" t="s">
        <v>702</v>
      </c>
      <c r="B411" s="32">
        <v>2</v>
      </c>
      <c r="C411" s="32">
        <v>3.5</v>
      </c>
    </row>
    <row r="412" spans="1:3" x14ac:dyDescent="0.25">
      <c r="A412" s="17" t="s">
        <v>703</v>
      </c>
      <c r="B412" s="32">
        <v>5</v>
      </c>
      <c r="C412" s="32">
        <v>6.5</v>
      </c>
    </row>
    <row r="413" spans="1:3" x14ac:dyDescent="0.25">
      <c r="A413" s="17" t="s">
        <v>704</v>
      </c>
      <c r="B413" s="32">
        <v>1</v>
      </c>
      <c r="C413" s="32">
        <v>3</v>
      </c>
    </row>
    <row r="414" spans="1:3" x14ac:dyDescent="0.25">
      <c r="A414" s="17" t="s">
        <v>705</v>
      </c>
      <c r="B414" s="32">
        <v>5</v>
      </c>
      <c r="C414" s="32">
        <v>20</v>
      </c>
    </row>
    <row r="415" spans="1:3" x14ac:dyDescent="0.25">
      <c r="A415" s="17" t="s">
        <v>706</v>
      </c>
      <c r="B415" s="32">
        <v>6</v>
      </c>
      <c r="C415" s="32">
        <v>25.5</v>
      </c>
    </row>
    <row r="416" spans="1:3" x14ac:dyDescent="0.25">
      <c r="A416" s="17" t="s">
        <v>707</v>
      </c>
      <c r="B416" s="32">
        <v>2</v>
      </c>
      <c r="C416" s="32">
        <v>5</v>
      </c>
    </row>
    <row r="417" spans="1:3" x14ac:dyDescent="0.25">
      <c r="A417" s="17" t="s">
        <v>708</v>
      </c>
      <c r="B417" s="32">
        <v>9</v>
      </c>
      <c r="C417" s="32">
        <v>12</v>
      </c>
    </row>
    <row r="418" spans="1:3" x14ac:dyDescent="0.25">
      <c r="A418" s="17" t="s">
        <v>709</v>
      </c>
      <c r="B418" s="32">
        <v>1</v>
      </c>
      <c r="C418" s="32">
        <v>0.5</v>
      </c>
    </row>
    <row r="419" spans="1:3" x14ac:dyDescent="0.25">
      <c r="A419" s="17" t="s">
        <v>710</v>
      </c>
      <c r="B419" s="32">
        <v>1</v>
      </c>
      <c r="C419" s="32">
        <v>3</v>
      </c>
    </row>
    <row r="420" spans="1:3" x14ac:dyDescent="0.25">
      <c r="A420" s="17" t="s">
        <v>711</v>
      </c>
      <c r="B420" s="32">
        <v>1</v>
      </c>
      <c r="C420" s="32">
        <v>2</v>
      </c>
    </row>
    <row r="421" spans="1:3" x14ac:dyDescent="0.25">
      <c r="A421" s="17" t="s">
        <v>712</v>
      </c>
      <c r="B421" s="32">
        <v>15</v>
      </c>
      <c r="C421" s="32">
        <v>28.5</v>
      </c>
    </row>
    <row r="422" spans="1:3" x14ac:dyDescent="0.25">
      <c r="A422" s="17" t="s">
        <v>713</v>
      </c>
      <c r="B422" s="32">
        <v>1</v>
      </c>
      <c r="C422" s="32">
        <v>1</v>
      </c>
    </row>
    <row r="423" spans="1:3" x14ac:dyDescent="0.25">
      <c r="A423" s="17" t="s">
        <v>714</v>
      </c>
      <c r="B423" s="32">
        <v>1</v>
      </c>
      <c r="C423" s="32">
        <v>1</v>
      </c>
    </row>
    <row r="424" spans="1:3" x14ac:dyDescent="0.25">
      <c r="A424" s="17" t="s">
        <v>715</v>
      </c>
      <c r="B424" s="32">
        <v>3</v>
      </c>
      <c r="C424" s="32">
        <v>9</v>
      </c>
    </row>
    <row r="425" spans="1:3" x14ac:dyDescent="0.25">
      <c r="A425" s="17" t="s">
        <v>716</v>
      </c>
      <c r="B425" s="32">
        <v>3</v>
      </c>
      <c r="C425" s="32">
        <v>5.5</v>
      </c>
    </row>
    <row r="426" spans="1:3" x14ac:dyDescent="0.25">
      <c r="A426" s="17" t="s">
        <v>717</v>
      </c>
      <c r="B426" s="32">
        <v>2</v>
      </c>
      <c r="C426" s="32">
        <v>9</v>
      </c>
    </row>
    <row r="427" spans="1:3" x14ac:dyDescent="0.25">
      <c r="A427" s="17" t="s">
        <v>718</v>
      </c>
      <c r="B427" s="32">
        <v>7</v>
      </c>
      <c r="C427" s="32">
        <v>10</v>
      </c>
    </row>
    <row r="428" spans="1:3" x14ac:dyDescent="0.25">
      <c r="A428" s="17" t="s">
        <v>719</v>
      </c>
      <c r="B428" s="32">
        <v>3</v>
      </c>
      <c r="C428" s="32">
        <v>16.5</v>
      </c>
    </row>
    <row r="429" spans="1:3" x14ac:dyDescent="0.25">
      <c r="A429" s="17" t="s">
        <v>720</v>
      </c>
      <c r="B429" s="32">
        <v>1</v>
      </c>
      <c r="C429" s="32">
        <v>5</v>
      </c>
    </row>
    <row r="430" spans="1:3" x14ac:dyDescent="0.25">
      <c r="A430" s="17" t="s">
        <v>721</v>
      </c>
      <c r="B430" s="32">
        <v>4</v>
      </c>
      <c r="C430" s="32">
        <v>13</v>
      </c>
    </row>
    <row r="431" spans="1:3" x14ac:dyDescent="0.25">
      <c r="A431" s="17" t="s">
        <v>722</v>
      </c>
      <c r="B431" s="32">
        <v>2</v>
      </c>
      <c r="C431" s="32">
        <v>6.5</v>
      </c>
    </row>
    <row r="432" spans="1:3" x14ac:dyDescent="0.25">
      <c r="A432" s="17" t="s">
        <v>723</v>
      </c>
      <c r="B432" s="32">
        <v>2</v>
      </c>
      <c r="C432" s="32">
        <v>14.5</v>
      </c>
    </row>
    <row r="433" spans="1:3" x14ac:dyDescent="0.25">
      <c r="A433" s="17" t="s">
        <v>724</v>
      </c>
      <c r="B433" s="32">
        <v>1</v>
      </c>
      <c r="C433" s="32">
        <v>1</v>
      </c>
    </row>
    <row r="434" spans="1:3" x14ac:dyDescent="0.25">
      <c r="A434" s="17" t="s">
        <v>725</v>
      </c>
      <c r="B434" s="32">
        <v>3</v>
      </c>
      <c r="C434" s="32">
        <v>5</v>
      </c>
    </row>
    <row r="435" spans="1:3" x14ac:dyDescent="0.25">
      <c r="A435" s="17" t="s">
        <v>726</v>
      </c>
      <c r="B435" s="32">
        <v>3</v>
      </c>
      <c r="C435" s="32">
        <v>6</v>
      </c>
    </row>
    <row r="436" spans="1:3" x14ac:dyDescent="0.25">
      <c r="A436" s="17" t="s">
        <v>727</v>
      </c>
      <c r="B436" s="32">
        <v>2</v>
      </c>
      <c r="C436" s="32">
        <v>3</v>
      </c>
    </row>
    <row r="437" spans="1:3" x14ac:dyDescent="0.25">
      <c r="A437" s="17" t="s">
        <v>728</v>
      </c>
      <c r="B437" s="32">
        <v>3</v>
      </c>
      <c r="C437" s="32">
        <v>2.5</v>
      </c>
    </row>
    <row r="438" spans="1:3" x14ac:dyDescent="0.25">
      <c r="A438" s="17" t="s">
        <v>729</v>
      </c>
      <c r="B438" s="32">
        <v>1</v>
      </c>
      <c r="C438" s="32">
        <v>1</v>
      </c>
    </row>
    <row r="439" spans="1:3" x14ac:dyDescent="0.25">
      <c r="A439" s="17" t="s">
        <v>351</v>
      </c>
      <c r="B439" s="32">
        <v>915</v>
      </c>
      <c r="C439" s="32">
        <v>1836.6</v>
      </c>
    </row>
  </sheetData>
  <sheetProtection selectLockedCells="1"/>
  <pageMargins left="0.7" right="0.7" top="0.75" bottom="0.75" header="0.3" footer="0.3"/>
  <headerFooter>
    <oddFooter>&amp;R_x000D_&amp;1#&amp;"Calibri"&amp;12&amp;KFF0000 INTERNAL</oddFooter>
  </headerFooter>
  <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FABDA-F277-4608-9BCA-3375F27BC5E2}">
  <sheetPr codeName="Hoja14"/>
  <dimension ref="A3:B8"/>
  <sheetViews>
    <sheetView workbookViewId="0">
      <selection activeCell="Q16" sqref="Q16"/>
    </sheetView>
  </sheetViews>
  <sheetFormatPr baseColWidth="10" defaultRowHeight="15" x14ac:dyDescent="0.25"/>
  <cols>
    <col min="1" max="1" width="17.5703125" bestFit="1" customWidth="1"/>
    <col min="2" max="2" width="26.5703125" bestFit="1" customWidth="1"/>
  </cols>
  <sheetData>
    <row r="3" spans="1:2" x14ac:dyDescent="0.25">
      <c r="A3" s="16" t="s">
        <v>350</v>
      </c>
      <c r="B3" t="s">
        <v>462</v>
      </c>
    </row>
    <row r="4" spans="1:2" x14ac:dyDescent="0.25">
      <c r="A4" s="17" t="s">
        <v>20</v>
      </c>
      <c r="B4" s="32">
        <v>37.5</v>
      </c>
    </row>
    <row r="5" spans="1:2" x14ac:dyDescent="0.25">
      <c r="A5" s="17" t="s">
        <v>50</v>
      </c>
      <c r="B5" s="32">
        <v>625.5</v>
      </c>
    </row>
    <row r="6" spans="1:2" x14ac:dyDescent="0.25">
      <c r="A6" s="17" t="s">
        <v>54</v>
      </c>
      <c r="B6" s="32">
        <v>2</v>
      </c>
    </row>
    <row r="7" spans="1:2" x14ac:dyDescent="0.25">
      <c r="A7" s="17" t="s">
        <v>63</v>
      </c>
      <c r="B7" s="32">
        <v>2882.3</v>
      </c>
    </row>
    <row r="8" spans="1:2" x14ac:dyDescent="0.25">
      <c r="A8" s="17" t="s">
        <v>351</v>
      </c>
      <c r="B8" s="32">
        <v>3547.3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3:Z919"/>
  <sheetViews>
    <sheetView tabSelected="1" zoomScale="90" zoomScaleNormal="90" workbookViewId="0">
      <selection activeCell="C1" sqref="C1"/>
    </sheetView>
  </sheetViews>
  <sheetFormatPr baseColWidth="10" defaultColWidth="11.5703125" defaultRowHeight="15" x14ac:dyDescent="0.25"/>
  <cols>
    <col min="1" max="1" width="8.7109375" style="1" customWidth="1"/>
    <col min="2" max="2" width="24.7109375" style="1" customWidth="1"/>
    <col min="3" max="3" width="24.28515625" style="1" customWidth="1"/>
    <col min="4" max="4" width="11.28515625" style="1" customWidth="1"/>
    <col min="5" max="5" width="31" style="26" customWidth="1"/>
    <col min="6" max="6" width="39.28515625" style="1" customWidth="1"/>
    <col min="7" max="7" width="14.85546875" style="1" customWidth="1"/>
    <col min="8" max="8" width="25.5703125" style="1" customWidth="1"/>
    <col min="9" max="9" width="49.140625" style="1" customWidth="1"/>
    <col min="10" max="10" width="19" style="1" customWidth="1"/>
    <col min="11" max="11" width="20.7109375" style="1" customWidth="1"/>
    <col min="12" max="12" width="23" style="1" customWidth="1"/>
    <col min="13" max="13" width="14.7109375" style="1" customWidth="1"/>
    <col min="14" max="14" width="15.7109375" style="1" customWidth="1"/>
    <col min="15" max="15" width="17.7109375" style="1" customWidth="1"/>
    <col min="16" max="16" width="27" style="1" customWidth="1"/>
    <col min="17" max="17" width="25.5703125" style="1" customWidth="1"/>
    <col min="18" max="18" width="12.42578125" style="1" customWidth="1"/>
    <col min="19" max="19" width="37.140625" style="1" customWidth="1"/>
    <col min="20" max="20" width="17.28515625" style="1" customWidth="1"/>
    <col min="21" max="21" width="18" style="1" customWidth="1"/>
    <col min="22" max="22" width="20.5703125" style="1" customWidth="1"/>
    <col min="23" max="23" width="22.7109375" style="1" customWidth="1"/>
    <col min="24" max="24" width="25.7109375" style="1" customWidth="1"/>
    <col min="25" max="25" width="34.85546875" style="1" customWidth="1"/>
    <col min="26" max="27" width="11.5703125" style="1"/>
    <col min="28" max="28" width="33.140625" style="1" customWidth="1"/>
    <col min="29" max="33" width="11.5703125" style="1"/>
    <col min="34" max="34" width="3.140625" style="1" customWidth="1"/>
    <col min="35" max="35" width="12.42578125" style="1" customWidth="1"/>
    <col min="36" max="36" width="27.85546875" style="1" customWidth="1"/>
    <col min="37" max="16384" width="11.5703125" style="1"/>
  </cols>
  <sheetData>
    <row r="3" spans="1:25" ht="28.15" customHeight="1" x14ac:dyDescent="0.25">
      <c r="B3" s="14" t="s">
        <v>22</v>
      </c>
      <c r="C3" s="14" t="s">
        <v>23</v>
      </c>
      <c r="D3" s="14" t="s">
        <v>7</v>
      </c>
      <c r="E3" s="25" t="s">
        <v>403</v>
      </c>
      <c r="F3" s="14" t="s">
        <v>14</v>
      </c>
      <c r="G3" s="14" t="s">
        <v>2</v>
      </c>
      <c r="H3" s="14" t="s">
        <v>24</v>
      </c>
      <c r="I3" s="14" t="s">
        <v>1</v>
      </c>
      <c r="J3" s="14" t="s">
        <v>0</v>
      </c>
      <c r="K3" s="14" t="s">
        <v>9</v>
      </c>
      <c r="L3" s="14" t="s">
        <v>10</v>
      </c>
      <c r="M3" s="14" t="s">
        <v>11</v>
      </c>
      <c r="N3" s="14" t="s">
        <v>12</v>
      </c>
      <c r="O3" s="14" t="s">
        <v>25</v>
      </c>
      <c r="P3" s="14" t="s">
        <v>26</v>
      </c>
      <c r="Q3" s="14" t="s">
        <v>6</v>
      </c>
      <c r="R3" s="14" t="s">
        <v>8</v>
      </c>
      <c r="S3" s="14" t="s">
        <v>30</v>
      </c>
      <c r="T3" s="14" t="s">
        <v>3</v>
      </c>
      <c r="U3" s="14" t="s">
        <v>27</v>
      </c>
      <c r="V3" s="14" t="s">
        <v>4</v>
      </c>
      <c r="W3" s="14" t="s">
        <v>5</v>
      </c>
      <c r="X3" s="14" t="s">
        <v>28</v>
      </c>
      <c r="Y3" s="14" t="s">
        <v>29</v>
      </c>
    </row>
    <row r="4" spans="1:25" x14ac:dyDescent="0.25">
      <c r="B4" s="9">
        <v>44316</v>
      </c>
      <c r="C4" s="7">
        <v>600003801355</v>
      </c>
      <c r="D4" s="5">
        <v>1</v>
      </c>
      <c r="E4" t="s">
        <v>482</v>
      </c>
      <c r="F4" t="s">
        <v>526</v>
      </c>
      <c r="G4" t="s">
        <v>631</v>
      </c>
      <c r="H4" t="s">
        <v>740</v>
      </c>
      <c r="I4" t="s">
        <v>752</v>
      </c>
      <c r="J4" s="27" t="s">
        <v>524</v>
      </c>
      <c r="K4" s="5" t="s">
        <v>70</v>
      </c>
      <c r="L4" s="5" t="s">
        <v>79</v>
      </c>
      <c r="M4" s="5" t="s">
        <v>34</v>
      </c>
      <c r="N4" s="5" t="s">
        <v>103</v>
      </c>
      <c r="O4" s="5" t="s">
        <v>19</v>
      </c>
      <c r="P4" s="9">
        <v>44319</v>
      </c>
      <c r="Q4" s="5" t="s">
        <v>472</v>
      </c>
      <c r="R4" s="5" t="s">
        <v>50</v>
      </c>
      <c r="S4" s="5">
        <v>2</v>
      </c>
      <c r="T4" s="5">
        <v>9.3000000000000007</v>
      </c>
      <c r="U4" s="5">
        <v>11.3</v>
      </c>
      <c r="V4" s="5">
        <v>2</v>
      </c>
      <c r="W4" s="5">
        <v>2</v>
      </c>
      <c r="X4" s="5">
        <v>4</v>
      </c>
      <c r="Y4" s="5" t="s">
        <v>46</v>
      </c>
    </row>
    <row r="5" spans="1:25" s="3" customFormat="1" x14ac:dyDescent="0.25">
      <c r="A5" s="30"/>
      <c r="B5" s="9">
        <v>44358</v>
      </c>
      <c r="C5" s="7">
        <v>600003823210</v>
      </c>
      <c r="D5" s="5">
        <v>1</v>
      </c>
      <c r="E5" t="s">
        <v>483</v>
      </c>
      <c r="F5" t="s">
        <v>527</v>
      </c>
      <c r="G5" t="s">
        <v>632</v>
      </c>
      <c r="H5" t="s">
        <v>741</v>
      </c>
      <c r="I5" t="s">
        <v>753</v>
      </c>
      <c r="J5" s="26" t="s">
        <v>524</v>
      </c>
      <c r="K5" s="5" t="s">
        <v>90</v>
      </c>
      <c r="L5" s="5" t="s">
        <v>57</v>
      </c>
      <c r="M5" s="5" t="s">
        <v>55</v>
      </c>
      <c r="N5" s="5" t="s">
        <v>80</v>
      </c>
      <c r="O5" s="5" t="s">
        <v>19</v>
      </c>
      <c r="P5" s="9">
        <v>44358</v>
      </c>
      <c r="Q5" s="5" t="s">
        <v>472</v>
      </c>
      <c r="R5" s="5" t="s">
        <v>63</v>
      </c>
      <c r="S5" s="5">
        <v>1</v>
      </c>
      <c r="T5" s="5">
        <v>10.3</v>
      </c>
      <c r="U5" s="5">
        <v>11.4</v>
      </c>
      <c r="V5" s="5">
        <v>1</v>
      </c>
      <c r="W5" s="5">
        <v>1</v>
      </c>
      <c r="X5" s="5">
        <v>1</v>
      </c>
      <c r="Y5" s="5" t="s">
        <v>46</v>
      </c>
    </row>
    <row r="6" spans="1:25" s="3" customFormat="1" x14ac:dyDescent="0.25">
      <c r="A6" s="31"/>
      <c r="B6" s="9">
        <v>44397</v>
      </c>
      <c r="C6" s="7">
        <v>600003843743</v>
      </c>
      <c r="D6" s="5">
        <v>1</v>
      </c>
      <c r="E6" t="s">
        <v>484</v>
      </c>
      <c r="F6" t="s">
        <v>528</v>
      </c>
      <c r="G6" t="s">
        <v>633</v>
      </c>
      <c r="H6" t="s">
        <v>742</v>
      </c>
      <c r="I6" t="s">
        <v>754</v>
      </c>
      <c r="J6" s="26" t="s">
        <v>524</v>
      </c>
      <c r="K6" s="5" t="s">
        <v>64</v>
      </c>
      <c r="L6" s="5" t="s">
        <v>36</v>
      </c>
      <c r="M6" s="5" t="s">
        <v>96</v>
      </c>
      <c r="N6" s="5" t="s">
        <v>92</v>
      </c>
      <c r="O6" s="5" t="s">
        <v>19</v>
      </c>
      <c r="P6" s="9">
        <v>44425</v>
      </c>
      <c r="Q6" s="5" t="s">
        <v>473</v>
      </c>
      <c r="R6" s="5" t="s">
        <v>63</v>
      </c>
      <c r="S6" s="5">
        <v>1</v>
      </c>
      <c r="T6" s="5">
        <v>7</v>
      </c>
      <c r="U6" s="5">
        <v>16</v>
      </c>
      <c r="V6" s="5">
        <v>9</v>
      </c>
      <c r="W6" s="5">
        <v>9</v>
      </c>
      <c r="X6" s="5">
        <v>9</v>
      </c>
      <c r="Y6" s="5" t="s">
        <v>93</v>
      </c>
    </row>
    <row r="7" spans="1:25" s="3" customFormat="1" x14ac:dyDescent="0.25">
      <c r="B7" s="9">
        <v>44412</v>
      </c>
      <c r="C7" s="7">
        <v>600003852965</v>
      </c>
      <c r="D7" s="5">
        <v>1</v>
      </c>
      <c r="E7" t="s">
        <v>484</v>
      </c>
      <c r="F7" t="s">
        <v>528</v>
      </c>
      <c r="G7" t="s">
        <v>633</v>
      </c>
      <c r="H7" t="s">
        <v>742</v>
      </c>
      <c r="I7" t="s">
        <v>754</v>
      </c>
      <c r="J7" s="27" t="s">
        <v>524</v>
      </c>
      <c r="K7" s="5" t="s">
        <v>64</v>
      </c>
      <c r="L7" s="5" t="s">
        <v>36</v>
      </c>
      <c r="M7" s="5" t="s">
        <v>95</v>
      </c>
      <c r="N7" s="5" t="s">
        <v>94</v>
      </c>
      <c r="O7" s="5" t="s">
        <v>19</v>
      </c>
      <c r="P7" s="9">
        <v>44412</v>
      </c>
      <c r="Q7" s="5" t="s">
        <v>473</v>
      </c>
      <c r="R7" s="5" t="s">
        <v>63</v>
      </c>
      <c r="S7" s="5">
        <v>1</v>
      </c>
      <c r="T7" s="5">
        <v>7</v>
      </c>
      <c r="U7" s="5">
        <v>16</v>
      </c>
      <c r="V7" s="5">
        <v>1</v>
      </c>
      <c r="W7" s="5">
        <v>9</v>
      </c>
      <c r="X7" s="5">
        <v>9</v>
      </c>
      <c r="Y7" s="5" t="s">
        <v>93</v>
      </c>
    </row>
    <row r="8" spans="1:25" s="3" customFormat="1" x14ac:dyDescent="0.25">
      <c r="B8" s="9">
        <v>44442</v>
      </c>
      <c r="C8" s="7">
        <v>600003868405</v>
      </c>
      <c r="D8" s="5">
        <v>1</v>
      </c>
      <c r="E8" t="s">
        <v>485</v>
      </c>
      <c r="F8" t="s">
        <v>529</v>
      </c>
      <c r="G8" t="s">
        <v>634</v>
      </c>
      <c r="H8" t="s">
        <v>742</v>
      </c>
      <c r="I8" t="s">
        <v>755</v>
      </c>
      <c r="J8" s="27" t="s">
        <v>524</v>
      </c>
      <c r="K8" s="5" t="s">
        <v>64</v>
      </c>
      <c r="L8" s="5" t="s">
        <v>65</v>
      </c>
      <c r="M8" s="5" t="s">
        <v>66</v>
      </c>
      <c r="N8" s="5" t="s">
        <v>80</v>
      </c>
      <c r="O8" s="5" t="s">
        <v>19</v>
      </c>
      <c r="P8" s="9">
        <v>44442</v>
      </c>
      <c r="Q8" s="5" t="s">
        <v>474</v>
      </c>
      <c r="R8" s="5" t="s">
        <v>63</v>
      </c>
      <c r="S8" s="5">
        <v>2</v>
      </c>
      <c r="T8" s="5">
        <v>8</v>
      </c>
      <c r="U8" s="5">
        <v>11</v>
      </c>
      <c r="V8" s="5">
        <v>3</v>
      </c>
      <c r="W8" s="5">
        <v>1</v>
      </c>
      <c r="X8" s="5">
        <v>6</v>
      </c>
      <c r="Y8" s="5" t="s">
        <v>46</v>
      </c>
    </row>
    <row r="9" spans="1:25" s="3" customFormat="1" x14ac:dyDescent="0.25">
      <c r="B9" s="9">
        <v>44445</v>
      </c>
      <c r="C9" s="7">
        <v>600003869830</v>
      </c>
      <c r="D9" s="5">
        <v>1</v>
      </c>
      <c r="E9" t="s">
        <v>486</v>
      </c>
      <c r="F9" t="s">
        <v>530</v>
      </c>
      <c r="G9" t="s">
        <v>635</v>
      </c>
      <c r="H9" t="s">
        <v>740</v>
      </c>
      <c r="I9" t="s">
        <v>756</v>
      </c>
      <c r="J9" s="27" t="s">
        <v>525</v>
      </c>
      <c r="K9" s="5" t="s">
        <v>69</v>
      </c>
      <c r="L9" s="5" t="s">
        <v>42</v>
      </c>
      <c r="M9" s="5" t="s">
        <v>101</v>
      </c>
      <c r="N9" s="5" t="s">
        <v>102</v>
      </c>
      <c r="O9" s="5" t="s">
        <v>19</v>
      </c>
      <c r="P9" s="9">
        <v>44446</v>
      </c>
      <c r="Q9" s="5" t="s">
        <v>472</v>
      </c>
      <c r="R9" s="5" t="s">
        <v>63</v>
      </c>
      <c r="S9" s="5">
        <v>1</v>
      </c>
      <c r="T9" s="5">
        <v>8</v>
      </c>
      <c r="U9" s="5">
        <v>9.3000000000000007</v>
      </c>
      <c r="V9" s="5">
        <v>1</v>
      </c>
      <c r="W9" s="5">
        <v>1</v>
      </c>
      <c r="X9" s="5">
        <v>1</v>
      </c>
      <c r="Y9" s="5" t="s">
        <v>21</v>
      </c>
    </row>
    <row r="10" spans="1:25" s="3" customFormat="1" x14ac:dyDescent="0.25">
      <c r="B10" s="9">
        <v>44445</v>
      </c>
      <c r="C10" s="7">
        <v>600003869719</v>
      </c>
      <c r="D10" s="5">
        <v>1</v>
      </c>
      <c r="E10" t="s">
        <v>487</v>
      </c>
      <c r="F10" t="s">
        <v>531</v>
      </c>
      <c r="G10" t="s">
        <v>636</v>
      </c>
      <c r="H10" t="s">
        <v>743</v>
      </c>
      <c r="I10" t="s">
        <v>757</v>
      </c>
      <c r="J10" s="27" t="s">
        <v>525</v>
      </c>
      <c r="K10" s="5" t="s">
        <v>107</v>
      </c>
      <c r="L10" s="5" t="s">
        <v>79</v>
      </c>
      <c r="M10" s="5" t="s">
        <v>108</v>
      </c>
      <c r="N10" s="5" t="s">
        <v>109</v>
      </c>
      <c r="O10" s="5" t="s">
        <v>19</v>
      </c>
      <c r="P10" s="9">
        <v>44529</v>
      </c>
      <c r="Q10" s="5" t="s">
        <v>475</v>
      </c>
      <c r="R10" s="5" t="s">
        <v>50</v>
      </c>
      <c r="S10" s="5">
        <v>2</v>
      </c>
      <c r="T10" s="5">
        <v>10</v>
      </c>
      <c r="U10" s="5">
        <v>15</v>
      </c>
      <c r="V10" s="5">
        <v>5</v>
      </c>
      <c r="W10" s="5">
        <v>5</v>
      </c>
      <c r="X10" s="5">
        <v>10</v>
      </c>
      <c r="Y10" s="5" t="s">
        <v>98</v>
      </c>
    </row>
    <row r="11" spans="1:25" s="3" customFormat="1" x14ac:dyDescent="0.25">
      <c r="B11" s="9">
        <v>44446</v>
      </c>
      <c r="C11" s="7">
        <v>600003870092</v>
      </c>
      <c r="D11" s="5">
        <v>1</v>
      </c>
      <c r="E11" t="s">
        <v>483</v>
      </c>
      <c r="F11" t="s">
        <v>527</v>
      </c>
      <c r="G11" t="s">
        <v>632</v>
      </c>
      <c r="H11" t="s">
        <v>741</v>
      </c>
      <c r="I11" t="s">
        <v>753</v>
      </c>
      <c r="J11" s="27" t="s">
        <v>524</v>
      </c>
      <c r="K11" s="5" t="s">
        <v>90</v>
      </c>
      <c r="L11" s="5" t="s">
        <v>99</v>
      </c>
      <c r="M11" s="5" t="s">
        <v>80</v>
      </c>
      <c r="N11" s="5" t="s">
        <v>100</v>
      </c>
      <c r="O11" s="5" t="s">
        <v>19</v>
      </c>
      <c r="P11" s="9">
        <v>44446</v>
      </c>
      <c r="Q11" s="5" t="s">
        <v>472</v>
      </c>
      <c r="R11" s="5" t="s">
        <v>50</v>
      </c>
      <c r="S11" s="5">
        <v>1</v>
      </c>
      <c r="T11" s="5">
        <v>9</v>
      </c>
      <c r="U11" s="5">
        <v>13.3</v>
      </c>
      <c r="V11" s="5">
        <v>4</v>
      </c>
      <c r="W11" s="5">
        <v>4</v>
      </c>
      <c r="X11" s="5">
        <v>4</v>
      </c>
      <c r="Y11" s="5" t="s">
        <v>98</v>
      </c>
    </row>
    <row r="12" spans="1:25" s="3" customFormat="1" x14ac:dyDescent="0.25">
      <c r="B12" s="9">
        <v>44453</v>
      </c>
      <c r="C12" s="7">
        <v>600003873003</v>
      </c>
      <c r="D12" s="5">
        <v>1</v>
      </c>
      <c r="E12" t="s">
        <v>488</v>
      </c>
      <c r="F12" t="s">
        <v>532</v>
      </c>
      <c r="G12" t="s">
        <v>637</v>
      </c>
      <c r="H12" t="s">
        <v>744</v>
      </c>
      <c r="I12" t="s">
        <v>758</v>
      </c>
      <c r="J12" s="27" t="s">
        <v>524</v>
      </c>
      <c r="K12" s="5" t="s">
        <v>64</v>
      </c>
      <c r="L12" s="5" t="s">
        <v>74</v>
      </c>
      <c r="M12" s="5" t="s">
        <v>32</v>
      </c>
      <c r="N12" s="5" t="s">
        <v>97</v>
      </c>
      <c r="O12" s="5" t="s">
        <v>19</v>
      </c>
      <c r="P12" s="9">
        <v>44459</v>
      </c>
      <c r="Q12" s="5" t="s">
        <v>474</v>
      </c>
      <c r="R12" s="5" t="s">
        <v>63</v>
      </c>
      <c r="S12" s="5">
        <v>2</v>
      </c>
      <c r="T12" s="5">
        <v>8</v>
      </c>
      <c r="U12" s="5">
        <v>16</v>
      </c>
      <c r="V12" s="5">
        <v>8</v>
      </c>
      <c r="W12" s="5">
        <v>8</v>
      </c>
      <c r="X12" s="5">
        <v>16</v>
      </c>
      <c r="Y12" s="5" t="s">
        <v>98</v>
      </c>
    </row>
    <row r="13" spans="1:25" x14ac:dyDescent="0.25">
      <c r="B13" s="9">
        <v>44454</v>
      </c>
      <c r="C13" s="7">
        <v>600003873466</v>
      </c>
      <c r="D13" s="5">
        <v>1</v>
      </c>
      <c r="E13" t="s">
        <v>489</v>
      </c>
      <c r="F13" t="s">
        <v>533</v>
      </c>
      <c r="G13" t="s">
        <v>638</v>
      </c>
      <c r="H13" t="s">
        <v>745</v>
      </c>
      <c r="I13" t="s">
        <v>759</v>
      </c>
      <c r="J13" s="27" t="s">
        <v>525</v>
      </c>
      <c r="K13" s="5" t="s">
        <v>15</v>
      </c>
      <c r="L13" s="5" t="s">
        <v>57</v>
      </c>
      <c r="M13" s="5" t="s">
        <v>71</v>
      </c>
      <c r="N13" s="5" t="s">
        <v>84</v>
      </c>
      <c r="O13" s="5" t="s">
        <v>19</v>
      </c>
      <c r="P13" s="9">
        <v>44462</v>
      </c>
      <c r="Q13" s="5" t="s">
        <v>476</v>
      </c>
      <c r="R13" s="5" t="s">
        <v>63</v>
      </c>
      <c r="S13" s="5">
        <v>2</v>
      </c>
      <c r="T13" s="5">
        <v>9</v>
      </c>
      <c r="U13" s="5">
        <v>10</v>
      </c>
      <c r="V13" s="5">
        <v>1</v>
      </c>
      <c r="W13" s="5">
        <v>1</v>
      </c>
      <c r="X13" s="5">
        <v>2</v>
      </c>
      <c r="Y13" s="5" t="s">
        <v>46</v>
      </c>
    </row>
    <row r="14" spans="1:25" x14ac:dyDescent="0.25">
      <c r="B14" s="9">
        <v>44454</v>
      </c>
      <c r="C14" s="7">
        <v>600003873394</v>
      </c>
      <c r="D14" s="5">
        <v>1</v>
      </c>
      <c r="E14" t="s">
        <v>490</v>
      </c>
      <c r="F14" t="s">
        <v>534</v>
      </c>
      <c r="G14" t="s">
        <v>639</v>
      </c>
      <c r="H14" t="s">
        <v>745</v>
      </c>
      <c r="I14" t="s">
        <v>760</v>
      </c>
      <c r="J14" s="27" t="s">
        <v>525</v>
      </c>
      <c r="K14" s="5" t="s">
        <v>15</v>
      </c>
      <c r="L14" s="5" t="s">
        <v>16</v>
      </c>
      <c r="M14" s="5" t="s">
        <v>101</v>
      </c>
      <c r="N14" s="5" t="s">
        <v>104</v>
      </c>
      <c r="O14" s="5" t="s">
        <v>19</v>
      </c>
      <c r="P14" s="9">
        <v>44530</v>
      </c>
      <c r="Q14" s="5" t="s">
        <v>476</v>
      </c>
      <c r="R14" s="5" t="s">
        <v>63</v>
      </c>
      <c r="S14" s="5">
        <v>1</v>
      </c>
      <c r="T14" s="5">
        <v>14</v>
      </c>
      <c r="U14" s="5" t="s">
        <v>105</v>
      </c>
      <c r="V14" s="5">
        <v>1</v>
      </c>
      <c r="W14" s="5">
        <v>1</v>
      </c>
      <c r="X14" s="5">
        <v>1</v>
      </c>
      <c r="Y14" s="5" t="s">
        <v>46</v>
      </c>
    </row>
    <row r="15" spans="1:25" x14ac:dyDescent="0.25">
      <c r="B15" s="9">
        <v>44455</v>
      </c>
      <c r="C15" s="7">
        <v>600003873997</v>
      </c>
      <c r="D15" s="5">
        <v>1</v>
      </c>
      <c r="E15" t="s">
        <v>482</v>
      </c>
      <c r="F15" t="s">
        <v>526</v>
      </c>
      <c r="G15" t="s">
        <v>631</v>
      </c>
      <c r="H15" t="s">
        <v>740</v>
      </c>
      <c r="I15" t="s">
        <v>752</v>
      </c>
      <c r="J15" s="27" t="s">
        <v>524</v>
      </c>
      <c r="K15" s="5" t="s">
        <v>70</v>
      </c>
      <c r="L15" s="5" t="s">
        <v>57</v>
      </c>
      <c r="M15" s="5" t="s">
        <v>55</v>
      </c>
      <c r="N15" s="5" t="s">
        <v>56</v>
      </c>
      <c r="O15" s="5" t="s">
        <v>19</v>
      </c>
      <c r="P15" s="9">
        <v>44455</v>
      </c>
      <c r="Q15" s="5" t="s">
        <v>474</v>
      </c>
      <c r="R15" s="5" t="s">
        <v>63</v>
      </c>
      <c r="S15" s="5">
        <v>2</v>
      </c>
      <c r="T15" s="10">
        <v>0.39583333333333331</v>
      </c>
      <c r="U15" s="5">
        <v>11</v>
      </c>
      <c r="V15" s="5">
        <v>1</v>
      </c>
      <c r="W15" s="5">
        <v>1</v>
      </c>
      <c r="X15" s="5">
        <v>3</v>
      </c>
      <c r="Y15" s="5" t="s">
        <v>46</v>
      </c>
    </row>
    <row r="16" spans="1:25" x14ac:dyDescent="0.25">
      <c r="B16" s="6">
        <v>44460</v>
      </c>
      <c r="C16" s="7">
        <v>600003876124</v>
      </c>
      <c r="D16" s="4">
        <v>1</v>
      </c>
      <c r="E16" t="s">
        <v>491</v>
      </c>
      <c r="F16" t="s">
        <v>535</v>
      </c>
      <c r="G16" t="s">
        <v>640</v>
      </c>
      <c r="H16" t="s">
        <v>745</v>
      </c>
      <c r="I16" t="s">
        <v>761</v>
      </c>
      <c r="J16" s="28" t="s">
        <v>525</v>
      </c>
      <c r="K16" s="4" t="s">
        <v>44</v>
      </c>
      <c r="L16" s="4" t="s">
        <v>57</v>
      </c>
      <c r="M16" s="4" t="s">
        <v>80</v>
      </c>
      <c r="N16" s="4" t="s">
        <v>45</v>
      </c>
      <c r="O16" s="4" t="s">
        <v>19</v>
      </c>
      <c r="P16" s="6">
        <v>44460</v>
      </c>
      <c r="Q16" s="4" t="s">
        <v>476</v>
      </c>
      <c r="R16" s="4" t="s">
        <v>20</v>
      </c>
      <c r="S16" s="4">
        <v>3</v>
      </c>
      <c r="T16" s="10">
        <v>0.60416666666666663</v>
      </c>
      <c r="U16" s="8">
        <v>0.64583333333333337</v>
      </c>
      <c r="V16" s="5">
        <v>1</v>
      </c>
      <c r="W16" s="5">
        <v>1</v>
      </c>
      <c r="X16" s="4">
        <v>3</v>
      </c>
      <c r="Y16" s="4" t="s">
        <v>46</v>
      </c>
    </row>
    <row r="17" spans="2:25" x14ac:dyDescent="0.25">
      <c r="B17" s="9">
        <v>44466</v>
      </c>
      <c r="C17" s="7">
        <v>600003880303</v>
      </c>
      <c r="D17" s="5">
        <v>1</v>
      </c>
      <c r="E17" t="s">
        <v>486</v>
      </c>
      <c r="F17" t="s">
        <v>530</v>
      </c>
      <c r="G17" t="s">
        <v>635</v>
      </c>
      <c r="H17" t="s">
        <v>740</v>
      </c>
      <c r="I17" t="s">
        <v>756</v>
      </c>
      <c r="J17" s="27" t="s">
        <v>525</v>
      </c>
      <c r="K17" s="5" t="s">
        <v>69</v>
      </c>
      <c r="L17" s="5" t="s">
        <v>42</v>
      </c>
      <c r="M17" s="5" t="s">
        <v>36</v>
      </c>
      <c r="N17" s="5" t="s">
        <v>72</v>
      </c>
      <c r="O17" s="5" t="s">
        <v>19</v>
      </c>
      <c r="P17" s="9">
        <v>44468</v>
      </c>
      <c r="Q17" s="5" t="s">
        <v>474</v>
      </c>
      <c r="R17" s="5" t="s">
        <v>63</v>
      </c>
      <c r="S17" s="5">
        <v>2</v>
      </c>
      <c r="T17" s="5">
        <v>7</v>
      </c>
      <c r="U17" s="5">
        <v>16</v>
      </c>
      <c r="V17" s="5">
        <v>9</v>
      </c>
      <c r="W17" s="5">
        <v>0</v>
      </c>
      <c r="X17" s="5">
        <v>18</v>
      </c>
      <c r="Y17" s="5" t="s">
        <v>21</v>
      </c>
    </row>
    <row r="18" spans="2:25" x14ac:dyDescent="0.25">
      <c r="B18" s="9">
        <v>44466</v>
      </c>
      <c r="C18" s="7">
        <v>600003880305</v>
      </c>
      <c r="D18" s="5">
        <v>1</v>
      </c>
      <c r="E18" t="s">
        <v>492</v>
      </c>
      <c r="F18" t="s">
        <v>536</v>
      </c>
      <c r="G18" t="s">
        <v>641</v>
      </c>
      <c r="H18" t="s">
        <v>740</v>
      </c>
      <c r="I18" t="s">
        <v>762</v>
      </c>
      <c r="J18" s="27" t="s">
        <v>524</v>
      </c>
      <c r="K18" s="5" t="s">
        <v>73</v>
      </c>
      <c r="L18" s="5" t="s">
        <v>74</v>
      </c>
      <c r="M18" s="5" t="s">
        <v>36</v>
      </c>
      <c r="N18" s="5" t="s">
        <v>75</v>
      </c>
      <c r="O18" s="5" t="s">
        <v>19</v>
      </c>
      <c r="P18" s="9">
        <v>44474</v>
      </c>
      <c r="Q18" s="5" t="s">
        <v>474</v>
      </c>
      <c r="R18" s="5" t="s">
        <v>63</v>
      </c>
      <c r="S18" s="5">
        <v>2</v>
      </c>
      <c r="T18" s="5">
        <v>7</v>
      </c>
      <c r="U18" s="5">
        <v>16</v>
      </c>
      <c r="V18" s="5">
        <v>9</v>
      </c>
      <c r="W18" s="5">
        <v>0</v>
      </c>
      <c r="X18" s="5">
        <v>18</v>
      </c>
      <c r="Y18" s="5" t="s">
        <v>21</v>
      </c>
    </row>
    <row r="19" spans="2:25" x14ac:dyDescent="0.25">
      <c r="B19" s="9">
        <v>44466</v>
      </c>
      <c r="C19" s="7">
        <v>600003880181</v>
      </c>
      <c r="D19" s="5">
        <v>1</v>
      </c>
      <c r="E19" t="s">
        <v>493</v>
      </c>
      <c r="F19" t="s">
        <v>537</v>
      </c>
      <c r="G19" t="s">
        <v>642</v>
      </c>
      <c r="H19" t="s">
        <v>745</v>
      </c>
      <c r="I19" t="s">
        <v>763</v>
      </c>
      <c r="J19" s="27" t="s">
        <v>525</v>
      </c>
      <c r="K19" s="5" t="s">
        <v>15</v>
      </c>
      <c r="L19" s="5" t="s">
        <v>16</v>
      </c>
      <c r="M19" s="5" t="s">
        <v>52</v>
      </c>
      <c r="N19" s="5" t="s">
        <v>67</v>
      </c>
      <c r="O19" s="5" t="s">
        <v>19</v>
      </c>
      <c r="P19" s="9">
        <v>44466</v>
      </c>
      <c r="Q19" s="5" t="s">
        <v>477</v>
      </c>
      <c r="R19" s="5" t="s">
        <v>63</v>
      </c>
      <c r="S19" s="5">
        <v>2</v>
      </c>
      <c r="T19" s="5">
        <v>7</v>
      </c>
      <c r="U19" s="5">
        <v>8</v>
      </c>
      <c r="V19" s="5">
        <v>1</v>
      </c>
      <c r="W19" s="5">
        <v>1</v>
      </c>
      <c r="X19" s="5">
        <v>2</v>
      </c>
      <c r="Y19" s="5" t="s">
        <v>46</v>
      </c>
    </row>
    <row r="20" spans="2:25" x14ac:dyDescent="0.25">
      <c r="B20" s="9">
        <v>44466</v>
      </c>
      <c r="C20" s="7">
        <v>600003880281</v>
      </c>
      <c r="D20" s="5">
        <v>1</v>
      </c>
      <c r="E20" t="s">
        <v>485</v>
      </c>
      <c r="F20" t="s">
        <v>529</v>
      </c>
      <c r="G20" t="s">
        <v>634</v>
      </c>
      <c r="H20" t="s">
        <v>742</v>
      </c>
      <c r="I20" t="s">
        <v>755</v>
      </c>
      <c r="J20" s="27" t="s">
        <v>524</v>
      </c>
      <c r="K20" s="5" t="s">
        <v>64</v>
      </c>
      <c r="L20" s="5" t="s">
        <v>34</v>
      </c>
      <c r="M20" s="5" t="s">
        <v>73</v>
      </c>
      <c r="N20" s="5" t="s">
        <v>150</v>
      </c>
      <c r="O20" s="5" t="s">
        <v>19</v>
      </c>
      <c r="P20" s="9">
        <v>44606</v>
      </c>
      <c r="Q20" s="5" t="s">
        <v>473</v>
      </c>
      <c r="R20" s="5" t="s">
        <v>63</v>
      </c>
      <c r="S20" s="5">
        <v>1</v>
      </c>
      <c r="T20" s="10">
        <v>0.54166666666666663</v>
      </c>
      <c r="U20" s="10">
        <v>0.66666666666666663</v>
      </c>
      <c r="V20" s="5">
        <v>3</v>
      </c>
      <c r="W20" s="5">
        <v>3</v>
      </c>
      <c r="X20" s="5">
        <f>PRODUCT(S20,V20)</f>
        <v>3</v>
      </c>
      <c r="Y20" s="5" t="str">
        <f>IF(W20=0,"D",IF(W20&lt;=2,"C",IF(W20&lt;=8,"B",IF(W20&gt;8,"A"))))</f>
        <v>B</v>
      </c>
    </row>
    <row r="21" spans="2:25" x14ac:dyDescent="0.25">
      <c r="B21" s="9">
        <v>44466</v>
      </c>
      <c r="C21" s="7">
        <v>600003880280</v>
      </c>
      <c r="D21" s="5">
        <v>1</v>
      </c>
      <c r="E21" t="s">
        <v>485</v>
      </c>
      <c r="F21" t="s">
        <v>529</v>
      </c>
      <c r="G21" t="s">
        <v>634</v>
      </c>
      <c r="H21" t="s">
        <v>742</v>
      </c>
      <c r="I21" t="s">
        <v>755</v>
      </c>
      <c r="J21" s="27" t="s">
        <v>524</v>
      </c>
      <c r="K21" s="5" t="s">
        <v>64</v>
      </c>
      <c r="L21" s="5" t="s">
        <v>65</v>
      </c>
      <c r="M21" s="5" t="s">
        <v>66</v>
      </c>
      <c r="N21" s="5" t="s">
        <v>53</v>
      </c>
      <c r="O21" s="5" t="s">
        <v>19</v>
      </c>
      <c r="P21" s="9">
        <v>44607</v>
      </c>
      <c r="Q21" s="5" t="s">
        <v>473</v>
      </c>
      <c r="R21" s="5" t="s">
        <v>63</v>
      </c>
      <c r="S21" s="5">
        <v>1</v>
      </c>
      <c r="T21" s="10">
        <v>0.29166666666666669</v>
      </c>
      <c r="U21" s="10">
        <v>0.66666666666666663</v>
      </c>
      <c r="V21" s="5">
        <v>9</v>
      </c>
      <c r="W21" s="5">
        <v>9</v>
      </c>
      <c r="X21" s="5">
        <f>PRODUCT(S21,V21)</f>
        <v>9</v>
      </c>
      <c r="Y21" s="5" t="str">
        <f>IF(W21=0,"D",IF(W21&lt;=2,"C",IF(W21&lt;=8,"B",IF(W21&gt;8,"A"))))</f>
        <v>A</v>
      </c>
    </row>
    <row r="22" spans="2:25" x14ac:dyDescent="0.25">
      <c r="B22" s="9">
        <v>44467</v>
      </c>
      <c r="C22" s="7">
        <v>600003880994</v>
      </c>
      <c r="D22" s="5">
        <v>1</v>
      </c>
      <c r="E22" t="s">
        <v>494</v>
      </c>
      <c r="F22" t="s">
        <v>538</v>
      </c>
      <c r="G22" t="s">
        <v>643</v>
      </c>
      <c r="H22" t="s">
        <v>745</v>
      </c>
      <c r="I22" t="s">
        <v>764</v>
      </c>
      <c r="J22" s="29" t="s">
        <v>525</v>
      </c>
      <c r="K22" s="4" t="s">
        <v>15</v>
      </c>
      <c r="L22" s="5" t="s">
        <v>57</v>
      </c>
      <c r="M22" s="5" t="s">
        <v>85</v>
      </c>
      <c r="N22" s="5" t="s">
        <v>86</v>
      </c>
      <c r="O22" s="5" t="s">
        <v>19</v>
      </c>
      <c r="P22" s="9">
        <v>44467</v>
      </c>
      <c r="Q22" s="5" t="s">
        <v>477</v>
      </c>
      <c r="R22" s="5" t="s">
        <v>63</v>
      </c>
      <c r="S22" s="5">
        <v>3</v>
      </c>
      <c r="T22" s="5">
        <v>9</v>
      </c>
      <c r="U22" s="5">
        <v>11.3</v>
      </c>
      <c r="V22" s="5">
        <v>2</v>
      </c>
      <c r="W22" s="5">
        <v>2</v>
      </c>
      <c r="X22" s="5">
        <v>6</v>
      </c>
      <c r="Y22" s="5" t="s">
        <v>46</v>
      </c>
    </row>
    <row r="23" spans="2:25" x14ac:dyDescent="0.25">
      <c r="B23" s="9">
        <v>44476</v>
      </c>
      <c r="C23" s="7">
        <v>600003885148</v>
      </c>
      <c r="D23" s="5">
        <v>1</v>
      </c>
      <c r="E23" t="s">
        <v>495</v>
      </c>
      <c r="F23" t="s">
        <v>539</v>
      </c>
      <c r="G23" t="s">
        <v>644</v>
      </c>
      <c r="H23" t="s">
        <v>740</v>
      </c>
      <c r="I23" t="s">
        <v>765</v>
      </c>
      <c r="J23" s="27" t="s">
        <v>524</v>
      </c>
      <c r="K23" s="5" t="s">
        <v>70</v>
      </c>
      <c r="L23" s="5" t="s">
        <v>57</v>
      </c>
      <c r="M23" s="5" t="s">
        <v>55</v>
      </c>
      <c r="N23" s="5" t="s">
        <v>45</v>
      </c>
      <c r="O23" s="5" t="s">
        <v>19</v>
      </c>
      <c r="P23" s="9">
        <v>44476</v>
      </c>
      <c r="Q23" s="5" t="s">
        <v>473</v>
      </c>
      <c r="R23" s="5" t="s">
        <v>63</v>
      </c>
      <c r="S23" s="5">
        <v>1</v>
      </c>
      <c r="T23" s="5">
        <v>15</v>
      </c>
      <c r="U23" s="5">
        <v>16</v>
      </c>
      <c r="V23" s="5">
        <v>1</v>
      </c>
      <c r="W23" s="5">
        <v>1</v>
      </c>
      <c r="X23" s="5">
        <v>1</v>
      </c>
      <c r="Y23" s="5" t="s">
        <v>46</v>
      </c>
    </row>
    <row r="24" spans="2:25" x14ac:dyDescent="0.25">
      <c r="B24" s="6">
        <v>44483</v>
      </c>
      <c r="C24" s="7">
        <v>600003887875</v>
      </c>
      <c r="D24" s="4">
        <v>1</v>
      </c>
      <c r="E24" t="s">
        <v>496</v>
      </c>
      <c r="F24" t="s">
        <v>540</v>
      </c>
      <c r="G24" t="s">
        <v>645</v>
      </c>
      <c r="H24" t="s">
        <v>745</v>
      </c>
      <c r="I24" t="s">
        <v>766</v>
      </c>
      <c r="J24" s="29" t="s">
        <v>525</v>
      </c>
      <c r="K24" s="4" t="s">
        <v>15</v>
      </c>
      <c r="L24" s="4" t="s">
        <v>47</v>
      </c>
      <c r="M24" s="4" t="s">
        <v>48</v>
      </c>
      <c r="N24" s="4" t="s">
        <v>49</v>
      </c>
      <c r="O24" s="4" t="s">
        <v>19</v>
      </c>
      <c r="P24" s="6">
        <v>44483</v>
      </c>
      <c r="Q24" s="4" t="s">
        <v>478</v>
      </c>
      <c r="R24" s="4" t="s">
        <v>50</v>
      </c>
      <c r="S24" s="4">
        <v>2</v>
      </c>
      <c r="T24" s="4">
        <v>12</v>
      </c>
      <c r="U24" s="8">
        <v>0.5625</v>
      </c>
      <c r="V24" s="5">
        <v>1.5</v>
      </c>
      <c r="W24" s="4">
        <v>1.5</v>
      </c>
      <c r="X24" s="4">
        <v>3</v>
      </c>
      <c r="Y24" s="4" t="s">
        <v>46</v>
      </c>
    </row>
    <row r="25" spans="2:25" x14ac:dyDescent="0.25">
      <c r="B25" s="9">
        <v>44484</v>
      </c>
      <c r="C25" s="7">
        <v>600003888159</v>
      </c>
      <c r="D25" s="5">
        <v>1</v>
      </c>
      <c r="E25" t="s">
        <v>497</v>
      </c>
      <c r="F25" t="s">
        <v>541</v>
      </c>
      <c r="G25" t="s">
        <v>646</v>
      </c>
      <c r="H25" t="s">
        <v>746</v>
      </c>
      <c r="I25" t="s">
        <v>767</v>
      </c>
      <c r="J25" s="27" t="s">
        <v>525</v>
      </c>
      <c r="K25" s="5" t="s">
        <v>76</v>
      </c>
      <c r="L25" s="5" t="s">
        <v>77</v>
      </c>
      <c r="M25" s="5" t="s">
        <v>48</v>
      </c>
      <c r="N25" s="5" t="s">
        <v>49</v>
      </c>
      <c r="O25" s="5" t="s">
        <v>19</v>
      </c>
      <c r="P25" s="9">
        <v>44484</v>
      </c>
      <c r="Q25" s="5" t="s">
        <v>475</v>
      </c>
      <c r="R25" s="5" t="s">
        <v>50</v>
      </c>
      <c r="S25" s="5">
        <v>2</v>
      </c>
      <c r="T25" s="5">
        <v>7</v>
      </c>
      <c r="U25" s="5">
        <v>8.3000000000000007</v>
      </c>
      <c r="V25" s="5">
        <v>1.5</v>
      </c>
      <c r="W25" s="5">
        <v>1</v>
      </c>
      <c r="X25" s="5">
        <v>3</v>
      </c>
      <c r="Y25" s="5" t="s">
        <v>46</v>
      </c>
    </row>
    <row r="26" spans="2:25" x14ac:dyDescent="0.25">
      <c r="B26" s="9">
        <v>44489</v>
      </c>
      <c r="C26" s="7">
        <v>600003890154</v>
      </c>
      <c r="D26" s="5">
        <v>1</v>
      </c>
      <c r="E26" t="s">
        <v>496</v>
      </c>
      <c r="F26" t="s">
        <v>540</v>
      </c>
      <c r="G26" t="s">
        <v>645</v>
      </c>
      <c r="H26" t="s">
        <v>745</v>
      </c>
      <c r="I26" t="s">
        <v>766</v>
      </c>
      <c r="J26" s="27" t="s">
        <v>525</v>
      </c>
      <c r="K26" s="5" t="s">
        <v>15</v>
      </c>
      <c r="L26" s="5" t="s">
        <v>57</v>
      </c>
      <c r="M26" s="5" t="s">
        <v>58</v>
      </c>
      <c r="N26" s="5" t="s">
        <v>59</v>
      </c>
      <c r="O26" s="5" t="s">
        <v>19</v>
      </c>
      <c r="P26" s="9">
        <v>44489</v>
      </c>
      <c r="Q26" s="5" t="s">
        <v>476</v>
      </c>
      <c r="R26" s="5" t="s">
        <v>20</v>
      </c>
      <c r="S26" s="5">
        <v>2</v>
      </c>
      <c r="T26" s="5">
        <v>7</v>
      </c>
      <c r="U26" s="5">
        <v>8.3000000000000007</v>
      </c>
      <c r="V26" s="5">
        <v>1</v>
      </c>
      <c r="W26" s="5">
        <v>1</v>
      </c>
      <c r="X26" s="5">
        <v>3</v>
      </c>
      <c r="Y26" s="5" t="s">
        <v>46</v>
      </c>
    </row>
    <row r="27" spans="2:25" x14ac:dyDescent="0.25">
      <c r="B27" s="9">
        <v>44489</v>
      </c>
      <c r="C27" s="7">
        <v>600003890326</v>
      </c>
      <c r="D27" s="5">
        <v>1</v>
      </c>
      <c r="E27" t="s">
        <v>498</v>
      </c>
      <c r="F27" t="s">
        <v>542</v>
      </c>
      <c r="G27" t="s">
        <v>647</v>
      </c>
      <c r="H27" t="s">
        <v>744</v>
      </c>
      <c r="I27" t="s">
        <v>768</v>
      </c>
      <c r="J27" s="27" t="s">
        <v>524</v>
      </c>
      <c r="K27" s="5" t="s">
        <v>64</v>
      </c>
      <c r="L27" s="5" t="s">
        <v>36</v>
      </c>
      <c r="M27" s="5" t="s">
        <v>91</v>
      </c>
      <c r="N27" s="5" t="s">
        <v>199</v>
      </c>
      <c r="O27" s="5" t="s">
        <v>19</v>
      </c>
      <c r="P27" s="9">
        <v>44531</v>
      </c>
      <c r="Q27" s="5" t="s">
        <v>473</v>
      </c>
      <c r="R27" s="5" t="s">
        <v>63</v>
      </c>
      <c r="S27" s="5">
        <v>1</v>
      </c>
      <c r="T27" s="10">
        <v>0.29166666666666669</v>
      </c>
      <c r="U27" s="10">
        <v>0.66666666666666663</v>
      </c>
      <c r="V27" s="5">
        <v>9</v>
      </c>
      <c r="W27" s="5">
        <v>9</v>
      </c>
      <c r="X27" s="5">
        <f>PRODUCT(S27,V27)</f>
        <v>9</v>
      </c>
      <c r="Y27" s="5" t="str">
        <f>IF(W27=0,"D",IF(W27&lt;=2,"C",IF(W27&lt;=8,"B",IF(W27&gt;8,"A"))))</f>
        <v>A</v>
      </c>
    </row>
    <row r="28" spans="2:25" x14ac:dyDescent="0.25">
      <c r="B28" s="9">
        <v>44494</v>
      </c>
      <c r="C28" s="7">
        <v>600003893693</v>
      </c>
      <c r="D28" s="5">
        <v>1</v>
      </c>
      <c r="E28" t="s">
        <v>499</v>
      </c>
      <c r="F28" t="s">
        <v>543</v>
      </c>
      <c r="G28" t="s">
        <v>648</v>
      </c>
      <c r="H28" t="s">
        <v>745</v>
      </c>
      <c r="I28" t="s">
        <v>769</v>
      </c>
      <c r="J28" s="26" t="s">
        <v>525</v>
      </c>
      <c r="K28" s="5" t="s">
        <v>15</v>
      </c>
      <c r="L28" s="5" t="s">
        <v>60</v>
      </c>
      <c r="M28" s="5" t="s">
        <v>60</v>
      </c>
      <c r="N28" s="5" t="s">
        <v>61</v>
      </c>
      <c r="O28" s="5" t="s">
        <v>19</v>
      </c>
      <c r="P28" s="9">
        <v>44494</v>
      </c>
      <c r="Q28" s="5" t="s">
        <v>479</v>
      </c>
      <c r="R28" s="5" t="s">
        <v>20</v>
      </c>
      <c r="S28" s="5">
        <v>2</v>
      </c>
      <c r="T28" s="5">
        <v>6.5</v>
      </c>
      <c r="U28" s="5">
        <v>7.5</v>
      </c>
      <c r="V28" s="5">
        <v>1</v>
      </c>
      <c r="W28" s="5">
        <v>1</v>
      </c>
      <c r="X28" s="5">
        <v>2</v>
      </c>
      <c r="Y28" s="5" t="s">
        <v>46</v>
      </c>
    </row>
    <row r="29" spans="2:25" x14ac:dyDescent="0.25">
      <c r="B29" s="9">
        <v>44495</v>
      </c>
      <c r="C29" s="7">
        <v>600003894359</v>
      </c>
      <c r="D29" s="5">
        <v>1</v>
      </c>
      <c r="E29" t="s">
        <v>500</v>
      </c>
      <c r="F29" t="s">
        <v>544</v>
      </c>
      <c r="G29" t="s">
        <v>649</v>
      </c>
      <c r="H29" t="s">
        <v>745</v>
      </c>
      <c r="I29" t="s">
        <v>770</v>
      </c>
      <c r="J29" s="27" t="s">
        <v>525</v>
      </c>
      <c r="K29" s="5" t="s">
        <v>15</v>
      </c>
      <c r="L29" s="5" t="s">
        <v>16</v>
      </c>
      <c r="M29" s="5" t="s">
        <v>62</v>
      </c>
      <c r="N29" s="5" t="s">
        <v>45</v>
      </c>
      <c r="O29" s="5" t="s">
        <v>19</v>
      </c>
      <c r="P29" s="9">
        <v>44495</v>
      </c>
      <c r="Q29" s="5" t="s">
        <v>479</v>
      </c>
      <c r="R29" s="5" t="s">
        <v>63</v>
      </c>
      <c r="S29" s="5">
        <v>2</v>
      </c>
      <c r="T29" s="5">
        <v>6.5</v>
      </c>
      <c r="U29" s="5">
        <v>7.5</v>
      </c>
      <c r="V29" s="5">
        <v>1</v>
      </c>
      <c r="W29" s="5">
        <v>1</v>
      </c>
      <c r="X29" s="5">
        <v>3</v>
      </c>
      <c r="Y29" s="5" t="s">
        <v>46</v>
      </c>
    </row>
    <row r="30" spans="2:25" x14ac:dyDescent="0.25">
      <c r="B30" s="9">
        <v>44495</v>
      </c>
      <c r="C30" s="7">
        <v>600003894513</v>
      </c>
      <c r="D30" s="5">
        <v>1</v>
      </c>
      <c r="E30" t="s">
        <v>501</v>
      </c>
      <c r="F30" t="s">
        <v>545</v>
      </c>
      <c r="G30" t="s">
        <v>650</v>
      </c>
      <c r="H30" t="s">
        <v>740</v>
      </c>
      <c r="I30" t="s">
        <v>771</v>
      </c>
      <c r="J30" s="27" t="s">
        <v>524</v>
      </c>
      <c r="K30" s="5" t="s">
        <v>70</v>
      </c>
      <c r="L30" s="5" t="s">
        <v>74</v>
      </c>
      <c r="M30" s="5" t="s">
        <v>55</v>
      </c>
      <c r="N30" s="5" t="s">
        <v>83</v>
      </c>
      <c r="O30" s="5" t="s">
        <v>19</v>
      </c>
      <c r="P30" s="9">
        <v>44499</v>
      </c>
      <c r="Q30" s="5" t="s">
        <v>474</v>
      </c>
      <c r="R30" s="5" t="s">
        <v>63</v>
      </c>
      <c r="S30" s="5">
        <v>2</v>
      </c>
      <c r="T30" s="5">
        <v>6.3</v>
      </c>
      <c r="U30" s="5">
        <v>12</v>
      </c>
      <c r="V30" s="5">
        <v>6</v>
      </c>
      <c r="W30" s="5">
        <v>0</v>
      </c>
      <c r="X30" s="5">
        <v>12</v>
      </c>
      <c r="Y30" s="5" t="s">
        <v>21</v>
      </c>
    </row>
    <row r="31" spans="2:25" x14ac:dyDescent="0.25">
      <c r="B31" s="6">
        <v>44497</v>
      </c>
      <c r="C31" s="7">
        <v>600003895416</v>
      </c>
      <c r="D31" s="4">
        <v>1</v>
      </c>
      <c r="E31" t="s">
        <v>502</v>
      </c>
      <c r="F31" t="s">
        <v>546</v>
      </c>
      <c r="G31" t="s">
        <v>651</v>
      </c>
      <c r="H31" t="s">
        <v>744</v>
      </c>
      <c r="I31" t="s">
        <v>772</v>
      </c>
      <c r="J31" s="28" t="s">
        <v>525</v>
      </c>
      <c r="K31" s="4" t="s">
        <v>51</v>
      </c>
      <c r="L31" s="4" t="s">
        <v>47</v>
      </c>
      <c r="M31" s="4" t="s">
        <v>48</v>
      </c>
      <c r="N31" s="4" t="s">
        <v>49</v>
      </c>
      <c r="O31" s="4" t="s">
        <v>19</v>
      </c>
      <c r="P31" s="6">
        <v>44497</v>
      </c>
      <c r="Q31" s="4" t="s">
        <v>478</v>
      </c>
      <c r="R31" s="4" t="s">
        <v>50</v>
      </c>
      <c r="S31" s="4">
        <v>1</v>
      </c>
      <c r="T31" s="4">
        <v>8</v>
      </c>
      <c r="U31" s="4">
        <v>9</v>
      </c>
      <c r="V31" s="4">
        <v>1</v>
      </c>
      <c r="W31" s="4">
        <v>1</v>
      </c>
      <c r="X31" s="4">
        <v>1</v>
      </c>
      <c r="Y31" s="4" t="s">
        <v>46</v>
      </c>
    </row>
    <row r="32" spans="2:25" x14ac:dyDescent="0.25">
      <c r="B32" s="9">
        <v>44498</v>
      </c>
      <c r="C32" s="7">
        <v>600003895799</v>
      </c>
      <c r="D32" s="5">
        <v>1</v>
      </c>
      <c r="E32" t="s">
        <v>486</v>
      </c>
      <c r="F32" t="s">
        <v>530</v>
      </c>
      <c r="G32" t="s">
        <v>635</v>
      </c>
      <c r="H32" t="s">
        <v>740</v>
      </c>
      <c r="I32" t="s">
        <v>756</v>
      </c>
      <c r="J32" s="27" t="s">
        <v>525</v>
      </c>
      <c r="K32" s="5" t="s">
        <v>69</v>
      </c>
      <c r="L32" s="5" t="s">
        <v>42</v>
      </c>
      <c r="M32" s="5" t="s">
        <v>55</v>
      </c>
      <c r="N32" s="5" t="s">
        <v>56</v>
      </c>
      <c r="O32" s="5" t="s">
        <v>19</v>
      </c>
      <c r="P32" s="9">
        <v>44498</v>
      </c>
      <c r="Q32" s="5" t="s">
        <v>474</v>
      </c>
      <c r="R32" s="5" t="s">
        <v>63</v>
      </c>
      <c r="S32" s="5">
        <v>2</v>
      </c>
      <c r="T32" s="5">
        <v>10</v>
      </c>
      <c r="U32" s="5">
        <v>12</v>
      </c>
      <c r="V32" s="5">
        <v>2</v>
      </c>
      <c r="W32" s="5">
        <v>2</v>
      </c>
      <c r="X32" s="5">
        <v>4</v>
      </c>
      <c r="Y32" s="5" t="s">
        <v>46</v>
      </c>
    </row>
    <row r="33" spans="2:25" x14ac:dyDescent="0.25">
      <c r="B33" s="9">
        <v>44501</v>
      </c>
      <c r="C33" s="7">
        <v>600003896853</v>
      </c>
      <c r="D33" s="5">
        <v>1</v>
      </c>
      <c r="E33" t="s">
        <v>501</v>
      </c>
      <c r="F33" t="s">
        <v>545</v>
      </c>
      <c r="G33" t="s">
        <v>650</v>
      </c>
      <c r="H33" t="s">
        <v>740</v>
      </c>
      <c r="I33" t="s">
        <v>771</v>
      </c>
      <c r="J33" s="27" t="s">
        <v>524</v>
      </c>
      <c r="K33" s="5" t="s">
        <v>70</v>
      </c>
      <c r="L33" s="5" t="s">
        <v>57</v>
      </c>
      <c r="M33" s="5" t="s">
        <v>71</v>
      </c>
      <c r="N33" s="5" t="s">
        <v>67</v>
      </c>
      <c r="O33" s="5" t="s">
        <v>19</v>
      </c>
      <c r="P33" s="9">
        <v>44501</v>
      </c>
      <c r="Q33" s="5" t="s">
        <v>473</v>
      </c>
      <c r="R33" s="5" t="s">
        <v>63</v>
      </c>
      <c r="S33" s="5">
        <v>1</v>
      </c>
      <c r="T33" s="5">
        <v>13</v>
      </c>
      <c r="U33" s="5">
        <v>14.3</v>
      </c>
      <c r="V33" s="5">
        <v>1</v>
      </c>
      <c r="W33" s="5">
        <v>1</v>
      </c>
      <c r="X33" s="5">
        <v>1.5</v>
      </c>
      <c r="Y33" s="5" t="s">
        <v>46</v>
      </c>
    </row>
    <row r="34" spans="2:25" x14ac:dyDescent="0.25">
      <c r="B34" s="6">
        <v>44502</v>
      </c>
      <c r="C34" s="7">
        <v>600003897344</v>
      </c>
      <c r="D34" s="4">
        <v>1</v>
      </c>
      <c r="E34" t="s">
        <v>499</v>
      </c>
      <c r="F34" t="s">
        <v>543</v>
      </c>
      <c r="G34" t="s">
        <v>648</v>
      </c>
      <c r="H34" t="s">
        <v>745</v>
      </c>
      <c r="I34" t="s">
        <v>769</v>
      </c>
      <c r="J34" s="28" t="s">
        <v>525</v>
      </c>
      <c r="K34" s="4" t="s">
        <v>15</v>
      </c>
      <c r="L34" s="4" t="s">
        <v>47</v>
      </c>
      <c r="M34" s="4" t="s">
        <v>52</v>
      </c>
      <c r="N34" s="4" t="s">
        <v>53</v>
      </c>
      <c r="O34" s="4" t="s">
        <v>19</v>
      </c>
      <c r="P34" s="6">
        <v>44509</v>
      </c>
      <c r="Q34" s="4" t="s">
        <v>476</v>
      </c>
      <c r="R34" s="4" t="s">
        <v>54</v>
      </c>
      <c r="S34" s="4">
        <v>2</v>
      </c>
      <c r="T34" s="4">
        <v>9</v>
      </c>
      <c r="U34" s="4">
        <v>10.3</v>
      </c>
      <c r="V34" s="4">
        <v>1.5</v>
      </c>
      <c r="W34" s="4">
        <v>1</v>
      </c>
      <c r="X34" s="4">
        <v>2</v>
      </c>
      <c r="Y34" s="4" t="s">
        <v>46</v>
      </c>
    </row>
    <row r="35" spans="2:25" x14ac:dyDescent="0.25">
      <c r="B35" s="9">
        <v>44505</v>
      </c>
      <c r="C35" s="7">
        <v>600003898670</v>
      </c>
      <c r="D35" s="5">
        <v>1</v>
      </c>
      <c r="E35" t="s">
        <v>503</v>
      </c>
      <c r="F35" t="s">
        <v>547</v>
      </c>
      <c r="G35" t="s">
        <v>652</v>
      </c>
      <c r="H35" t="s">
        <v>747</v>
      </c>
      <c r="I35" t="s">
        <v>773</v>
      </c>
      <c r="J35" s="27" t="s">
        <v>524</v>
      </c>
      <c r="K35" s="5" t="s">
        <v>82</v>
      </c>
      <c r="L35" s="5" t="s">
        <v>34</v>
      </c>
      <c r="M35" s="5" t="s">
        <v>36</v>
      </c>
      <c r="N35" s="5" t="s">
        <v>72</v>
      </c>
      <c r="O35" s="5" t="s">
        <v>19</v>
      </c>
      <c r="P35" s="9">
        <v>44506</v>
      </c>
      <c r="Q35" s="5" t="s">
        <v>474</v>
      </c>
      <c r="R35" s="5" t="s">
        <v>63</v>
      </c>
      <c r="S35" s="5">
        <v>2</v>
      </c>
      <c r="T35" s="5">
        <v>6</v>
      </c>
      <c r="U35" s="5">
        <v>13</v>
      </c>
      <c r="V35" s="5">
        <v>7</v>
      </c>
      <c r="W35" s="5">
        <v>0</v>
      </c>
      <c r="X35" s="5">
        <v>14</v>
      </c>
      <c r="Y35" s="5" t="s">
        <v>21</v>
      </c>
    </row>
    <row r="36" spans="2:25" x14ac:dyDescent="0.25">
      <c r="B36" s="6">
        <v>44508</v>
      </c>
      <c r="C36" s="7">
        <v>600003899451</v>
      </c>
      <c r="D36" s="4">
        <v>1</v>
      </c>
      <c r="E36" t="s">
        <v>494</v>
      </c>
      <c r="F36" t="s">
        <v>538</v>
      </c>
      <c r="G36" t="s">
        <v>643</v>
      </c>
      <c r="H36" t="s">
        <v>745</v>
      </c>
      <c r="I36" t="s">
        <v>764</v>
      </c>
      <c r="J36" s="29" t="s">
        <v>525</v>
      </c>
      <c r="K36" s="4" t="s">
        <v>15</v>
      </c>
      <c r="L36" s="4" t="s">
        <v>47</v>
      </c>
      <c r="M36" s="4" t="s">
        <v>48</v>
      </c>
      <c r="N36" s="4" t="s">
        <v>49</v>
      </c>
      <c r="O36" s="4" t="s">
        <v>19</v>
      </c>
      <c r="P36" s="6">
        <v>44509</v>
      </c>
      <c r="Q36" s="4" t="s">
        <v>475</v>
      </c>
      <c r="R36" s="4" t="s">
        <v>50</v>
      </c>
      <c r="S36" s="4">
        <v>1</v>
      </c>
      <c r="T36" s="8">
        <v>0.5625</v>
      </c>
      <c r="U36" s="4">
        <v>15</v>
      </c>
      <c r="V36" s="4">
        <v>1.5</v>
      </c>
      <c r="W36" s="4">
        <v>1</v>
      </c>
      <c r="X36" s="4">
        <v>1.5</v>
      </c>
      <c r="Y36" s="4" t="s">
        <v>46</v>
      </c>
    </row>
    <row r="37" spans="2:25" x14ac:dyDescent="0.25">
      <c r="B37" s="9">
        <v>44509</v>
      </c>
      <c r="C37" s="7">
        <v>600003900269</v>
      </c>
      <c r="D37" s="5">
        <v>1</v>
      </c>
      <c r="E37" t="s">
        <v>491</v>
      </c>
      <c r="F37" t="s">
        <v>535</v>
      </c>
      <c r="G37" t="s">
        <v>640</v>
      </c>
      <c r="H37" t="s">
        <v>745</v>
      </c>
      <c r="I37" t="s">
        <v>761</v>
      </c>
      <c r="J37" s="27" t="s">
        <v>525</v>
      </c>
      <c r="K37" s="5" t="s">
        <v>44</v>
      </c>
      <c r="L37" s="5" t="s">
        <v>57</v>
      </c>
      <c r="M37" s="5" t="s">
        <v>55</v>
      </c>
      <c r="N37" s="5" t="s">
        <v>56</v>
      </c>
      <c r="O37" s="5" t="s">
        <v>19</v>
      </c>
      <c r="P37" s="9">
        <v>44509</v>
      </c>
      <c r="Q37" s="5" t="s">
        <v>477</v>
      </c>
      <c r="R37" s="5" t="s">
        <v>20</v>
      </c>
      <c r="S37" s="5">
        <v>3</v>
      </c>
      <c r="T37" s="5">
        <v>14</v>
      </c>
      <c r="U37" s="5">
        <v>15.3</v>
      </c>
      <c r="V37" s="5">
        <v>1.5</v>
      </c>
      <c r="W37" s="5">
        <v>1</v>
      </c>
      <c r="X37" s="5">
        <v>4.5</v>
      </c>
      <c r="Y37" s="5" t="s">
        <v>46</v>
      </c>
    </row>
    <row r="38" spans="2:25" x14ac:dyDescent="0.25">
      <c r="B38" s="9">
        <v>44509</v>
      </c>
      <c r="C38" s="7">
        <v>600003900271</v>
      </c>
      <c r="D38" s="5">
        <v>1</v>
      </c>
      <c r="E38" t="s">
        <v>496</v>
      </c>
      <c r="F38" t="s">
        <v>540</v>
      </c>
      <c r="G38" t="s">
        <v>645</v>
      </c>
      <c r="H38" t="s">
        <v>745</v>
      </c>
      <c r="I38" t="s">
        <v>766</v>
      </c>
      <c r="J38" s="27" t="s">
        <v>525</v>
      </c>
      <c r="K38" s="5" t="s">
        <v>15</v>
      </c>
      <c r="L38" s="5" t="s">
        <v>57</v>
      </c>
      <c r="M38" s="5" t="s">
        <v>67</v>
      </c>
      <c r="N38" s="5" t="s">
        <v>68</v>
      </c>
      <c r="O38" s="5" t="s">
        <v>19</v>
      </c>
      <c r="P38" s="9">
        <v>44510</v>
      </c>
      <c r="Q38" s="5" t="s">
        <v>477</v>
      </c>
      <c r="R38" s="5" t="s">
        <v>63</v>
      </c>
      <c r="S38" s="5">
        <v>2</v>
      </c>
      <c r="T38" s="5">
        <v>7.1</v>
      </c>
      <c r="U38" s="5">
        <v>7.4</v>
      </c>
      <c r="V38" s="5">
        <v>0.5</v>
      </c>
      <c r="W38" s="5">
        <v>0</v>
      </c>
      <c r="X38" s="5">
        <v>1</v>
      </c>
      <c r="Y38" s="5" t="s">
        <v>46</v>
      </c>
    </row>
    <row r="39" spans="2:25" x14ac:dyDescent="0.25">
      <c r="B39" s="9">
        <v>44510</v>
      </c>
      <c r="C39" s="7">
        <v>600003900787</v>
      </c>
      <c r="D39" s="5">
        <v>1</v>
      </c>
      <c r="E39" t="s">
        <v>497</v>
      </c>
      <c r="F39" t="s">
        <v>541</v>
      </c>
      <c r="G39" t="s">
        <v>646</v>
      </c>
      <c r="H39" t="s">
        <v>746</v>
      </c>
      <c r="I39" t="s">
        <v>767</v>
      </c>
      <c r="J39" s="27" t="s">
        <v>525</v>
      </c>
      <c r="K39" s="5" t="s">
        <v>76</v>
      </c>
      <c r="L39" s="5" t="s">
        <v>79</v>
      </c>
      <c r="M39" s="5" t="s">
        <v>128</v>
      </c>
      <c r="N39" s="5" t="s">
        <v>139</v>
      </c>
      <c r="O39" s="5" t="s">
        <v>19</v>
      </c>
      <c r="P39" s="9">
        <v>44512</v>
      </c>
      <c r="Q39" s="5" t="s">
        <v>475</v>
      </c>
      <c r="R39" s="5" t="s">
        <v>50</v>
      </c>
      <c r="S39" s="5">
        <v>1</v>
      </c>
      <c r="T39" s="10">
        <v>0.41666666666666669</v>
      </c>
      <c r="U39" s="10">
        <v>0.54166666666666663</v>
      </c>
      <c r="V39" s="5">
        <v>3</v>
      </c>
      <c r="W39" s="5">
        <v>3</v>
      </c>
      <c r="X39" s="5">
        <f>PRODUCT(S39,V39)</f>
        <v>3</v>
      </c>
      <c r="Y39" s="5" t="str">
        <f>IF(W39=0,"D",IF(W39&lt;=2,"C",IF(W39&lt;=8,"B",IF(W39&gt;8,"A"))))</f>
        <v>B</v>
      </c>
    </row>
    <row r="40" spans="2:25" x14ac:dyDescent="0.25">
      <c r="B40" s="9">
        <v>44511</v>
      </c>
      <c r="C40" s="7">
        <v>600003901147</v>
      </c>
      <c r="D40" s="5">
        <v>1</v>
      </c>
      <c r="E40" t="s">
        <v>499</v>
      </c>
      <c r="F40" t="s">
        <v>543</v>
      </c>
      <c r="G40" t="s">
        <v>648</v>
      </c>
      <c r="H40" t="s">
        <v>745</v>
      </c>
      <c r="I40" t="s">
        <v>769</v>
      </c>
      <c r="J40" s="27" t="s">
        <v>525</v>
      </c>
      <c r="K40" s="5" t="s">
        <v>15</v>
      </c>
      <c r="L40" s="5" t="s">
        <v>16</v>
      </c>
      <c r="M40" s="5" t="s">
        <v>52</v>
      </c>
      <c r="N40" s="5" t="s">
        <v>53</v>
      </c>
      <c r="O40" s="5" t="s">
        <v>19</v>
      </c>
      <c r="P40" s="9">
        <v>44511</v>
      </c>
      <c r="Q40" s="5" t="s">
        <v>477</v>
      </c>
      <c r="R40" s="5" t="s">
        <v>63</v>
      </c>
      <c r="S40" s="5">
        <v>4</v>
      </c>
      <c r="T40" s="5">
        <v>10</v>
      </c>
      <c r="U40" s="5">
        <v>11.3</v>
      </c>
      <c r="V40" s="5">
        <v>1</v>
      </c>
      <c r="W40" s="5">
        <v>1</v>
      </c>
      <c r="X40" s="5">
        <v>4</v>
      </c>
      <c r="Y40" s="5" t="s">
        <v>46</v>
      </c>
    </row>
    <row r="41" spans="2:25" x14ac:dyDescent="0.25">
      <c r="B41" s="9">
        <v>44511</v>
      </c>
      <c r="C41" s="7">
        <v>600003901092</v>
      </c>
      <c r="D41" s="5">
        <v>1</v>
      </c>
      <c r="E41" t="s">
        <v>504</v>
      </c>
      <c r="F41" t="s">
        <v>548</v>
      </c>
      <c r="G41" t="s">
        <v>653</v>
      </c>
      <c r="H41" t="s">
        <v>745</v>
      </c>
      <c r="I41" t="s">
        <v>774</v>
      </c>
      <c r="J41" s="27" t="s">
        <v>525</v>
      </c>
      <c r="K41" s="5" t="s">
        <v>15</v>
      </c>
      <c r="L41" s="5" t="s">
        <v>16</v>
      </c>
      <c r="M41" s="5" t="s">
        <v>52</v>
      </c>
      <c r="N41" s="5" t="s">
        <v>45</v>
      </c>
      <c r="O41" s="5" t="s">
        <v>19</v>
      </c>
      <c r="P41" s="9">
        <v>44511</v>
      </c>
      <c r="Q41" s="5" t="s">
        <v>477</v>
      </c>
      <c r="R41" s="5" t="s">
        <v>63</v>
      </c>
      <c r="S41" s="5">
        <v>2</v>
      </c>
      <c r="T41" s="5">
        <v>7.3</v>
      </c>
      <c r="U41" s="5">
        <v>8</v>
      </c>
      <c r="V41" s="5">
        <v>0.5</v>
      </c>
      <c r="W41" s="5">
        <v>0</v>
      </c>
      <c r="X41" s="5">
        <v>1</v>
      </c>
      <c r="Y41" s="5" t="s">
        <v>46</v>
      </c>
    </row>
    <row r="42" spans="2:25" x14ac:dyDescent="0.25">
      <c r="B42" s="9">
        <v>44511</v>
      </c>
      <c r="C42" s="7">
        <v>600003901145</v>
      </c>
      <c r="D42" s="5">
        <v>1</v>
      </c>
      <c r="E42" t="s">
        <v>505</v>
      </c>
      <c r="F42" t="s">
        <v>549</v>
      </c>
      <c r="G42" t="s">
        <v>654</v>
      </c>
      <c r="H42" t="s">
        <v>745</v>
      </c>
      <c r="I42" t="s">
        <v>775</v>
      </c>
      <c r="J42" s="27" t="s">
        <v>525</v>
      </c>
      <c r="K42" s="5" t="s">
        <v>15</v>
      </c>
      <c r="L42" s="5" t="s">
        <v>16</v>
      </c>
      <c r="M42" s="5" t="s">
        <v>55</v>
      </c>
      <c r="N42" s="5" t="s">
        <v>56</v>
      </c>
      <c r="O42" s="5" t="s">
        <v>19</v>
      </c>
      <c r="P42" s="9">
        <v>44511</v>
      </c>
      <c r="Q42" s="5" t="s">
        <v>477</v>
      </c>
      <c r="R42" s="5" t="s">
        <v>63</v>
      </c>
      <c r="S42" s="5">
        <v>2</v>
      </c>
      <c r="T42" s="5">
        <v>8.3000000000000007</v>
      </c>
      <c r="U42" s="5">
        <v>10</v>
      </c>
      <c r="V42" s="5">
        <v>1.5</v>
      </c>
      <c r="W42" s="5">
        <v>1</v>
      </c>
      <c r="X42" s="5">
        <v>3</v>
      </c>
      <c r="Y42" s="5" t="s">
        <v>46</v>
      </c>
    </row>
    <row r="43" spans="2:25" x14ac:dyDescent="0.25">
      <c r="B43" s="9">
        <v>44515</v>
      </c>
      <c r="C43" s="7">
        <v>600003902487</v>
      </c>
      <c r="D43" s="5">
        <v>1</v>
      </c>
      <c r="E43" t="s">
        <v>506</v>
      </c>
      <c r="F43" t="s">
        <v>550</v>
      </c>
      <c r="G43" t="s">
        <v>655</v>
      </c>
      <c r="H43" t="s">
        <v>745</v>
      </c>
      <c r="I43" t="s">
        <v>776</v>
      </c>
      <c r="J43" s="27" t="s">
        <v>525</v>
      </c>
      <c r="K43" s="5" t="s">
        <v>15</v>
      </c>
      <c r="L43" s="5" t="s">
        <v>57</v>
      </c>
      <c r="M43" s="5" t="s">
        <v>87</v>
      </c>
      <c r="N43" s="5" t="s">
        <v>56</v>
      </c>
      <c r="O43" s="5" t="s">
        <v>19</v>
      </c>
      <c r="P43" s="9">
        <v>44519</v>
      </c>
      <c r="Q43" s="5" t="s">
        <v>477</v>
      </c>
      <c r="R43" s="5" t="s">
        <v>63</v>
      </c>
      <c r="S43" s="5">
        <v>2</v>
      </c>
      <c r="T43" s="5">
        <v>13</v>
      </c>
      <c r="U43" s="5">
        <v>15.3</v>
      </c>
      <c r="V43" s="5">
        <v>2</v>
      </c>
      <c r="W43" s="5">
        <v>0</v>
      </c>
      <c r="X43" s="5">
        <v>5</v>
      </c>
      <c r="Y43" s="5" t="s">
        <v>21</v>
      </c>
    </row>
    <row r="44" spans="2:25" x14ac:dyDescent="0.25">
      <c r="B44" s="9">
        <v>44516</v>
      </c>
      <c r="C44" s="7">
        <v>600003902914</v>
      </c>
      <c r="D44" s="5">
        <v>1</v>
      </c>
      <c r="E44" t="s">
        <v>507</v>
      </c>
      <c r="F44" t="s">
        <v>551</v>
      </c>
      <c r="G44" t="s">
        <v>656</v>
      </c>
      <c r="H44" t="s">
        <v>745</v>
      </c>
      <c r="I44" t="s">
        <v>777</v>
      </c>
      <c r="J44" s="27" t="s">
        <v>525</v>
      </c>
      <c r="K44" s="5" t="s">
        <v>15</v>
      </c>
      <c r="L44" s="5" t="s">
        <v>16</v>
      </c>
      <c r="M44" s="5" t="s">
        <v>52</v>
      </c>
      <c r="N44" s="5" t="s">
        <v>67</v>
      </c>
      <c r="O44" s="5" t="s">
        <v>19</v>
      </c>
      <c r="P44" s="9">
        <v>44516</v>
      </c>
      <c r="Q44" s="5" t="s">
        <v>477</v>
      </c>
      <c r="R44" s="5" t="s">
        <v>63</v>
      </c>
      <c r="S44" s="5">
        <v>3</v>
      </c>
      <c r="T44" s="5">
        <v>9</v>
      </c>
      <c r="U44" s="5">
        <v>10.3</v>
      </c>
      <c r="V44" s="5">
        <v>1</v>
      </c>
      <c r="W44" s="5">
        <v>1</v>
      </c>
      <c r="X44" s="5">
        <v>4.5</v>
      </c>
      <c r="Y44" s="5" t="s">
        <v>46</v>
      </c>
    </row>
    <row r="45" spans="2:25" x14ac:dyDescent="0.25">
      <c r="B45" s="9">
        <v>44518</v>
      </c>
      <c r="C45" s="7">
        <v>600003904084</v>
      </c>
      <c r="D45" s="5">
        <v>1</v>
      </c>
      <c r="E45" t="s">
        <v>508</v>
      </c>
      <c r="F45" t="s">
        <v>552</v>
      </c>
      <c r="G45" t="s">
        <v>657</v>
      </c>
      <c r="H45" t="s">
        <v>747</v>
      </c>
      <c r="I45" t="s">
        <v>778</v>
      </c>
      <c r="J45" s="27" t="s">
        <v>524</v>
      </c>
      <c r="K45" s="5" t="s">
        <v>78</v>
      </c>
      <c r="L45" s="5" t="s">
        <v>79</v>
      </c>
      <c r="M45" s="5" t="s">
        <v>80</v>
      </c>
      <c r="N45" s="5" t="s">
        <v>81</v>
      </c>
      <c r="O45" s="5" t="s">
        <v>19</v>
      </c>
      <c r="P45" s="9">
        <v>44518</v>
      </c>
      <c r="Q45" s="5" t="s">
        <v>480</v>
      </c>
      <c r="R45" s="5" t="s">
        <v>50</v>
      </c>
      <c r="S45" s="5">
        <v>2</v>
      </c>
      <c r="T45" s="5">
        <v>10</v>
      </c>
      <c r="U45" s="5">
        <v>11</v>
      </c>
      <c r="V45" s="5">
        <v>1</v>
      </c>
      <c r="W45" s="5">
        <v>1</v>
      </c>
      <c r="X45" s="5">
        <v>2</v>
      </c>
      <c r="Y45" s="5" t="s">
        <v>46</v>
      </c>
    </row>
    <row r="46" spans="2:25" x14ac:dyDescent="0.25">
      <c r="B46" s="9">
        <v>44518</v>
      </c>
      <c r="C46" s="7">
        <v>600003904076</v>
      </c>
      <c r="D46" s="5">
        <v>1</v>
      </c>
      <c r="E46" t="s">
        <v>509</v>
      </c>
      <c r="F46" t="s">
        <v>553</v>
      </c>
      <c r="G46" t="s">
        <v>658</v>
      </c>
      <c r="H46" t="s">
        <v>744</v>
      </c>
      <c r="I46" t="s">
        <v>779</v>
      </c>
      <c r="J46" s="27" t="s">
        <v>525</v>
      </c>
      <c r="K46" s="5" t="s">
        <v>64</v>
      </c>
      <c r="L46" s="5" t="s">
        <v>79</v>
      </c>
      <c r="M46" s="5" t="s">
        <v>35</v>
      </c>
      <c r="N46" s="5" t="s">
        <v>106</v>
      </c>
      <c r="O46" s="5" t="s">
        <v>19</v>
      </c>
      <c r="P46" s="9">
        <v>44525</v>
      </c>
      <c r="Q46" s="5" t="s">
        <v>473</v>
      </c>
      <c r="R46" s="5" t="s">
        <v>63</v>
      </c>
      <c r="S46" s="5">
        <v>1</v>
      </c>
      <c r="T46" s="5">
        <v>7</v>
      </c>
      <c r="U46" s="5">
        <v>16</v>
      </c>
      <c r="V46" s="5">
        <v>1</v>
      </c>
      <c r="W46" s="5">
        <v>9</v>
      </c>
      <c r="X46" s="5">
        <v>9</v>
      </c>
      <c r="Y46" s="5" t="s">
        <v>93</v>
      </c>
    </row>
    <row r="47" spans="2:25" x14ac:dyDescent="0.25">
      <c r="B47" s="9">
        <v>44518</v>
      </c>
      <c r="C47" s="7">
        <v>600003904238</v>
      </c>
      <c r="D47" s="5">
        <v>1</v>
      </c>
      <c r="E47" t="s">
        <v>510</v>
      </c>
      <c r="F47" t="s">
        <v>554</v>
      </c>
      <c r="G47" t="s">
        <v>659</v>
      </c>
      <c r="H47" t="s">
        <v>741</v>
      </c>
      <c r="I47" t="s">
        <v>780</v>
      </c>
      <c r="J47" s="27" t="s">
        <v>524</v>
      </c>
      <c r="K47" s="5" t="s">
        <v>112</v>
      </c>
      <c r="L47" s="5" t="s">
        <v>36</v>
      </c>
      <c r="M47" s="5" t="s">
        <v>112</v>
      </c>
      <c r="N47" s="5" t="s">
        <v>170</v>
      </c>
      <c r="O47" s="5" t="s">
        <v>176</v>
      </c>
      <c r="P47" s="9">
        <v>44575</v>
      </c>
      <c r="Q47" s="5" t="s">
        <v>473</v>
      </c>
      <c r="R47" s="5" t="s">
        <v>63</v>
      </c>
      <c r="S47" s="5">
        <v>1</v>
      </c>
      <c r="T47" s="10">
        <v>0.625</v>
      </c>
      <c r="U47" s="10">
        <v>0.66666666666666663</v>
      </c>
      <c r="V47" s="5">
        <v>1</v>
      </c>
      <c r="W47" s="5">
        <v>1</v>
      </c>
      <c r="X47" s="5">
        <f>PRODUCT(S47,V47)</f>
        <v>1</v>
      </c>
      <c r="Y47" s="5" t="str">
        <f>IF(W47=0,"D",IF(W47&lt;=2,"C",IF(W47&lt;=8,"B",IF(W47&gt;8,"A"))))</f>
        <v>C</v>
      </c>
    </row>
    <row r="48" spans="2:25" x14ac:dyDescent="0.25">
      <c r="B48" s="9">
        <v>44519</v>
      </c>
      <c r="C48" s="7">
        <v>600003904664</v>
      </c>
      <c r="D48" s="5">
        <v>1</v>
      </c>
      <c r="E48" t="s">
        <v>511</v>
      </c>
      <c r="F48" t="s">
        <v>555</v>
      </c>
      <c r="G48" t="s">
        <v>660</v>
      </c>
      <c r="H48" t="s">
        <v>745</v>
      </c>
      <c r="I48" t="s">
        <v>781</v>
      </c>
      <c r="J48" s="27" t="s">
        <v>525</v>
      </c>
      <c r="K48" s="5" t="s">
        <v>15</v>
      </c>
      <c r="L48" s="5" t="s">
        <v>16</v>
      </c>
      <c r="M48" s="5" t="s">
        <v>52</v>
      </c>
      <c r="N48" s="5" t="s">
        <v>53</v>
      </c>
      <c r="O48" s="5" t="s">
        <v>19</v>
      </c>
      <c r="P48" s="9">
        <v>44519</v>
      </c>
      <c r="Q48" s="5" t="s">
        <v>477</v>
      </c>
      <c r="R48" s="5" t="s">
        <v>63</v>
      </c>
      <c r="S48" s="5">
        <v>4</v>
      </c>
      <c r="T48" s="5">
        <v>7</v>
      </c>
      <c r="U48" s="5">
        <v>8.3000000000000007</v>
      </c>
      <c r="V48" s="5">
        <v>1</v>
      </c>
      <c r="W48" s="5">
        <v>1</v>
      </c>
      <c r="X48" s="5">
        <v>6</v>
      </c>
      <c r="Y48" s="5" t="s">
        <v>46</v>
      </c>
    </row>
    <row r="49" spans="2:25" x14ac:dyDescent="0.25">
      <c r="B49" s="9">
        <v>44519</v>
      </c>
      <c r="C49" s="7">
        <v>600003904736</v>
      </c>
      <c r="D49" s="5">
        <v>1</v>
      </c>
      <c r="E49" t="s">
        <v>505</v>
      </c>
      <c r="F49" t="s">
        <v>549</v>
      </c>
      <c r="G49" t="s">
        <v>654</v>
      </c>
      <c r="H49" t="s">
        <v>745</v>
      </c>
      <c r="I49" t="s">
        <v>775</v>
      </c>
      <c r="J49" s="27" t="s">
        <v>525</v>
      </c>
      <c r="K49" s="5" t="s">
        <v>15</v>
      </c>
      <c r="L49" s="5" t="s">
        <v>16</v>
      </c>
      <c r="M49" s="5" t="s">
        <v>52</v>
      </c>
      <c r="N49" s="5" t="s">
        <v>53</v>
      </c>
      <c r="O49" s="5" t="s">
        <v>19</v>
      </c>
      <c r="P49" s="9">
        <v>44519</v>
      </c>
      <c r="Q49" s="5" t="s">
        <v>477</v>
      </c>
      <c r="R49" s="5" t="s">
        <v>63</v>
      </c>
      <c r="S49" s="5">
        <v>2</v>
      </c>
      <c r="T49" s="5">
        <v>9.3000000000000007</v>
      </c>
      <c r="U49" s="5">
        <v>11</v>
      </c>
      <c r="V49" s="5">
        <v>1</v>
      </c>
      <c r="W49" s="5">
        <v>1</v>
      </c>
      <c r="X49" s="5">
        <v>3</v>
      </c>
      <c r="Y49" s="5" t="s">
        <v>46</v>
      </c>
    </row>
    <row r="50" spans="2:25" x14ac:dyDescent="0.25">
      <c r="B50" s="9">
        <v>44523</v>
      </c>
      <c r="C50" s="7">
        <v>600003906409</v>
      </c>
      <c r="D50" s="5">
        <v>1</v>
      </c>
      <c r="E50" t="s">
        <v>506</v>
      </c>
      <c r="F50" t="s">
        <v>550</v>
      </c>
      <c r="G50" t="s">
        <v>655</v>
      </c>
      <c r="H50" t="s">
        <v>745</v>
      </c>
      <c r="I50" t="s">
        <v>776</v>
      </c>
      <c r="J50" s="27" t="s">
        <v>525</v>
      </c>
      <c r="K50" s="5" t="s">
        <v>15</v>
      </c>
      <c r="L50" s="5" t="s">
        <v>57</v>
      </c>
      <c r="M50" s="5" t="s">
        <v>71</v>
      </c>
      <c r="N50" s="5" t="s">
        <v>84</v>
      </c>
      <c r="O50" s="5" t="s">
        <v>19</v>
      </c>
      <c r="P50" s="9">
        <v>44523</v>
      </c>
      <c r="Q50" s="5" t="s">
        <v>479</v>
      </c>
      <c r="R50" s="5" t="s">
        <v>63</v>
      </c>
      <c r="S50" s="5">
        <v>3</v>
      </c>
      <c r="T50" s="5">
        <v>7</v>
      </c>
      <c r="U50" s="5">
        <v>10</v>
      </c>
      <c r="V50" s="5">
        <v>3</v>
      </c>
      <c r="W50" s="5">
        <v>3</v>
      </c>
      <c r="X50" s="5">
        <v>9</v>
      </c>
      <c r="Y50" s="5" t="s">
        <v>46</v>
      </c>
    </row>
    <row r="51" spans="2:25" x14ac:dyDescent="0.25">
      <c r="B51" s="9">
        <v>44523</v>
      </c>
      <c r="C51" s="7">
        <v>600003906412</v>
      </c>
      <c r="D51" s="5">
        <v>1</v>
      </c>
      <c r="E51" t="s">
        <v>512</v>
      </c>
      <c r="F51" t="s">
        <v>556</v>
      </c>
      <c r="G51" t="s">
        <v>661</v>
      </c>
      <c r="H51" t="s">
        <v>745</v>
      </c>
      <c r="I51" t="s">
        <v>782</v>
      </c>
      <c r="J51" s="26" t="s">
        <v>525</v>
      </c>
      <c r="K51" s="5" t="s">
        <v>88</v>
      </c>
      <c r="L51" s="5" t="s">
        <v>89</v>
      </c>
      <c r="M51" s="5" t="s">
        <v>52</v>
      </c>
      <c r="N51" s="5" t="s">
        <v>45</v>
      </c>
      <c r="O51" s="5" t="s">
        <v>19</v>
      </c>
      <c r="P51" s="9">
        <v>44522</v>
      </c>
      <c r="Q51" s="5" t="s">
        <v>476</v>
      </c>
      <c r="R51" s="5" t="s">
        <v>63</v>
      </c>
      <c r="S51" s="5">
        <v>2</v>
      </c>
      <c r="T51" s="5">
        <v>7</v>
      </c>
      <c r="U51" s="5">
        <v>8.3000000000000007</v>
      </c>
      <c r="V51" s="5">
        <v>1</v>
      </c>
      <c r="W51" s="5">
        <v>1</v>
      </c>
      <c r="X51" s="5">
        <v>3</v>
      </c>
      <c r="Y51" s="5" t="s">
        <v>46</v>
      </c>
    </row>
    <row r="52" spans="2:25" x14ac:dyDescent="0.25">
      <c r="B52" s="9">
        <v>44524</v>
      </c>
      <c r="C52" s="7">
        <v>600003908645</v>
      </c>
      <c r="D52" s="5">
        <v>1</v>
      </c>
      <c r="E52" t="s">
        <v>504</v>
      </c>
      <c r="F52" t="s">
        <v>548</v>
      </c>
      <c r="G52" t="s">
        <v>653</v>
      </c>
      <c r="H52" t="s">
        <v>745</v>
      </c>
      <c r="I52" t="s">
        <v>774</v>
      </c>
      <c r="J52" s="27" t="s">
        <v>525</v>
      </c>
      <c r="K52" s="5" t="s">
        <v>15</v>
      </c>
      <c r="L52" s="5" t="s">
        <v>57</v>
      </c>
      <c r="M52" s="5" t="s">
        <v>71</v>
      </c>
      <c r="N52" s="5" t="s">
        <v>84</v>
      </c>
      <c r="O52" s="5" t="s">
        <v>19</v>
      </c>
      <c r="P52" s="9">
        <v>44525</v>
      </c>
      <c r="Q52" s="5" t="s">
        <v>476</v>
      </c>
      <c r="R52" s="5" t="s">
        <v>63</v>
      </c>
      <c r="S52" s="5">
        <v>2</v>
      </c>
      <c r="T52" s="5">
        <v>13</v>
      </c>
      <c r="U52" s="5">
        <v>14</v>
      </c>
      <c r="V52" s="5">
        <v>1</v>
      </c>
      <c r="W52" s="5">
        <v>1</v>
      </c>
      <c r="X52" s="5">
        <v>2</v>
      </c>
      <c r="Y52" s="5" t="s">
        <v>46</v>
      </c>
    </row>
    <row r="53" spans="2:25" x14ac:dyDescent="0.25">
      <c r="B53" s="9">
        <v>44529</v>
      </c>
      <c r="C53" s="7">
        <v>600003910991</v>
      </c>
      <c r="D53" s="5">
        <v>1</v>
      </c>
      <c r="E53" t="s">
        <v>513</v>
      </c>
      <c r="F53" t="s">
        <v>557</v>
      </c>
      <c r="G53" t="s">
        <v>662</v>
      </c>
      <c r="H53" t="s">
        <v>748</v>
      </c>
      <c r="I53" t="s">
        <v>783</v>
      </c>
      <c r="J53" s="27" t="s">
        <v>525</v>
      </c>
      <c r="K53" s="5" t="s">
        <v>13</v>
      </c>
      <c r="L53" s="5" t="s">
        <v>148</v>
      </c>
      <c r="M53" s="5" t="s">
        <v>153</v>
      </c>
      <c r="N53" s="5" t="s">
        <v>154</v>
      </c>
      <c r="O53" s="5" t="s">
        <v>19</v>
      </c>
      <c r="P53" s="9">
        <v>44566</v>
      </c>
      <c r="Q53" s="5" t="s">
        <v>480</v>
      </c>
      <c r="R53" s="5" t="s">
        <v>63</v>
      </c>
      <c r="S53" s="5">
        <v>2</v>
      </c>
      <c r="T53" s="10">
        <v>0.33333333333333331</v>
      </c>
      <c r="U53" s="10">
        <v>0.58333333333333337</v>
      </c>
      <c r="V53" s="5">
        <v>6</v>
      </c>
      <c r="W53" s="5">
        <v>0</v>
      </c>
      <c r="X53" s="5">
        <f t="shared" ref="X53:X68" si="0">PRODUCT(S53,V53)</f>
        <v>12</v>
      </c>
      <c r="Y53" s="5" t="str">
        <f t="shared" ref="Y53:Y68" si="1">IF(W53=0,"D",IF(W53&lt;=2,"C",IF(W53&lt;=8,"B",IF(W53&gt;8,"A"))))</f>
        <v>D</v>
      </c>
    </row>
    <row r="54" spans="2:25" x14ac:dyDescent="0.25">
      <c r="B54" s="9">
        <v>44532</v>
      </c>
      <c r="C54" s="7">
        <v>600003912434</v>
      </c>
      <c r="D54" s="5">
        <v>1</v>
      </c>
      <c r="E54" t="s">
        <v>514</v>
      </c>
      <c r="F54" t="s">
        <v>558</v>
      </c>
      <c r="G54" t="s">
        <v>663</v>
      </c>
      <c r="H54" t="s">
        <v>741</v>
      </c>
      <c r="I54" t="s">
        <v>784</v>
      </c>
      <c r="J54" s="26" t="s">
        <v>524</v>
      </c>
      <c r="K54" s="5" t="s">
        <v>191</v>
      </c>
      <c r="L54" s="5" t="s">
        <v>79</v>
      </c>
      <c r="M54" s="5" t="s">
        <v>128</v>
      </c>
      <c r="N54" s="5" t="s">
        <v>80</v>
      </c>
      <c r="O54" s="5" t="s">
        <v>19</v>
      </c>
      <c r="P54" s="9">
        <v>44532</v>
      </c>
      <c r="Q54" s="5" t="s">
        <v>474</v>
      </c>
      <c r="R54" s="5" t="s">
        <v>50</v>
      </c>
      <c r="S54" s="5">
        <v>2</v>
      </c>
      <c r="T54" s="10">
        <v>0.29166666666666669</v>
      </c>
      <c r="U54" s="10">
        <v>0.35416666666666669</v>
      </c>
      <c r="V54" s="5">
        <v>1.5</v>
      </c>
      <c r="W54" s="5">
        <v>1.5</v>
      </c>
      <c r="X54" s="5">
        <f t="shared" si="0"/>
        <v>3</v>
      </c>
      <c r="Y54" s="5" t="str">
        <f t="shared" si="1"/>
        <v>C</v>
      </c>
    </row>
    <row r="55" spans="2:25" x14ac:dyDescent="0.25">
      <c r="B55" s="9">
        <v>44532</v>
      </c>
      <c r="C55" s="7">
        <v>600003912489</v>
      </c>
      <c r="D55" s="5">
        <v>1</v>
      </c>
      <c r="E55" t="s">
        <v>493</v>
      </c>
      <c r="F55" t="s">
        <v>537</v>
      </c>
      <c r="G55" t="s">
        <v>642</v>
      </c>
      <c r="H55" t="s">
        <v>745</v>
      </c>
      <c r="I55" t="s">
        <v>763</v>
      </c>
      <c r="J55" s="27" t="s">
        <v>525</v>
      </c>
      <c r="K55" s="5" t="s">
        <v>15</v>
      </c>
      <c r="L55" s="5" t="s">
        <v>65</v>
      </c>
      <c r="M55" s="5" t="s">
        <v>137</v>
      </c>
      <c r="N55" s="5" t="s">
        <v>53</v>
      </c>
      <c r="O55" s="5" t="s">
        <v>19</v>
      </c>
      <c r="P55" s="9">
        <v>44532</v>
      </c>
      <c r="Q55" s="5" t="s">
        <v>479</v>
      </c>
      <c r="R55" s="5" t="s">
        <v>63</v>
      </c>
      <c r="S55" s="5">
        <v>3</v>
      </c>
      <c r="T55" s="10">
        <v>0.41666666666666669</v>
      </c>
      <c r="U55" s="10">
        <v>0.45833333333333331</v>
      </c>
      <c r="V55" s="5">
        <v>1</v>
      </c>
      <c r="W55" s="5">
        <v>1</v>
      </c>
      <c r="X55" s="5">
        <f t="shared" si="0"/>
        <v>3</v>
      </c>
      <c r="Y55" s="5" t="str">
        <f t="shared" si="1"/>
        <v>C</v>
      </c>
    </row>
    <row r="56" spans="2:25" x14ac:dyDescent="0.25">
      <c r="B56" s="9">
        <v>44532</v>
      </c>
      <c r="C56" s="7">
        <v>600003912511</v>
      </c>
      <c r="D56" s="5">
        <v>1</v>
      </c>
      <c r="E56" t="s">
        <v>511</v>
      </c>
      <c r="F56" t="s">
        <v>555</v>
      </c>
      <c r="G56" t="s">
        <v>660</v>
      </c>
      <c r="H56" t="s">
        <v>745</v>
      </c>
      <c r="I56" t="s">
        <v>781</v>
      </c>
      <c r="J56" s="27" t="s">
        <v>525</v>
      </c>
      <c r="K56" s="5" t="s">
        <v>15</v>
      </c>
      <c r="L56" s="5" t="s">
        <v>57</v>
      </c>
      <c r="M56" s="5" t="s">
        <v>201</v>
      </c>
      <c r="N56" s="5" t="s">
        <v>200</v>
      </c>
      <c r="O56" s="5" t="s">
        <v>19</v>
      </c>
      <c r="P56" s="9">
        <v>44532</v>
      </c>
      <c r="Q56" s="5" t="s">
        <v>476</v>
      </c>
      <c r="R56" s="5" t="s">
        <v>63</v>
      </c>
      <c r="S56" s="5">
        <v>1</v>
      </c>
      <c r="T56" s="10">
        <v>0.58333333333333337</v>
      </c>
      <c r="U56" s="10">
        <v>0.625</v>
      </c>
      <c r="V56" s="5">
        <v>1</v>
      </c>
      <c r="W56" s="5">
        <v>1</v>
      </c>
      <c r="X56" s="5">
        <f t="shared" si="0"/>
        <v>1</v>
      </c>
      <c r="Y56" s="5" t="str">
        <f t="shared" si="1"/>
        <v>C</v>
      </c>
    </row>
    <row r="57" spans="2:25" x14ac:dyDescent="0.25">
      <c r="B57" s="9">
        <v>44536</v>
      </c>
      <c r="C57" s="7">
        <v>600003914030</v>
      </c>
      <c r="D57" s="5">
        <v>1</v>
      </c>
      <c r="E57" t="s">
        <v>488</v>
      </c>
      <c r="F57" t="s">
        <v>532</v>
      </c>
      <c r="G57" t="s">
        <v>637</v>
      </c>
      <c r="H57" t="s">
        <v>744</v>
      </c>
      <c r="I57" t="s">
        <v>758</v>
      </c>
      <c r="J57" s="27" t="s">
        <v>524</v>
      </c>
      <c r="K57" s="5" t="s">
        <v>64</v>
      </c>
      <c r="L57" s="5" t="s">
        <v>79</v>
      </c>
      <c r="M57" s="5" t="s">
        <v>80</v>
      </c>
      <c r="N57" s="5" t="s">
        <v>152</v>
      </c>
      <c r="O57" s="5" t="s">
        <v>19</v>
      </c>
      <c r="P57" s="9">
        <v>44536</v>
      </c>
      <c r="Q57" s="5" t="s">
        <v>473</v>
      </c>
      <c r="R57" s="5" t="s">
        <v>50</v>
      </c>
      <c r="S57" s="5">
        <v>1</v>
      </c>
      <c r="T57" s="10">
        <v>0.58333333333333337</v>
      </c>
      <c r="U57" s="10">
        <v>0.625</v>
      </c>
      <c r="V57" s="5">
        <v>1</v>
      </c>
      <c r="W57" s="5">
        <v>1</v>
      </c>
      <c r="X57" s="5">
        <f t="shared" si="0"/>
        <v>1</v>
      </c>
      <c r="Y57" s="5" t="str">
        <f t="shared" si="1"/>
        <v>C</v>
      </c>
    </row>
    <row r="58" spans="2:25" x14ac:dyDescent="0.25">
      <c r="B58" s="9">
        <v>44537</v>
      </c>
      <c r="C58" s="7">
        <v>600003914713</v>
      </c>
      <c r="D58" s="5">
        <v>1</v>
      </c>
      <c r="E58" t="s">
        <v>515</v>
      </c>
      <c r="F58" t="s">
        <v>559</v>
      </c>
      <c r="G58" t="s">
        <v>664</v>
      </c>
      <c r="H58" t="s">
        <v>745</v>
      </c>
      <c r="I58" t="s">
        <v>785</v>
      </c>
      <c r="J58" s="26" t="s">
        <v>525</v>
      </c>
      <c r="K58" s="5" t="s">
        <v>122</v>
      </c>
      <c r="L58" s="5" t="s">
        <v>79</v>
      </c>
      <c r="M58" s="5" t="s">
        <v>80</v>
      </c>
      <c r="N58" s="5" t="s">
        <v>110</v>
      </c>
      <c r="O58" s="5" t="s">
        <v>19</v>
      </c>
      <c r="P58" s="9">
        <v>44537</v>
      </c>
      <c r="Q58" s="5" t="s">
        <v>478</v>
      </c>
      <c r="R58" s="5" t="s">
        <v>50</v>
      </c>
      <c r="S58" s="5">
        <v>2</v>
      </c>
      <c r="T58" s="10">
        <v>0.58333333333333337</v>
      </c>
      <c r="U58" s="10">
        <v>0.625</v>
      </c>
      <c r="V58" s="5">
        <v>1</v>
      </c>
      <c r="W58" s="5">
        <v>1</v>
      </c>
      <c r="X58" s="5">
        <f t="shared" si="0"/>
        <v>2</v>
      </c>
      <c r="Y58" s="5" t="str">
        <f t="shared" si="1"/>
        <v>C</v>
      </c>
    </row>
    <row r="59" spans="2:25" x14ac:dyDescent="0.25">
      <c r="B59" s="9">
        <v>44537</v>
      </c>
      <c r="C59" s="7">
        <v>600003914584</v>
      </c>
      <c r="D59" s="5">
        <v>1</v>
      </c>
      <c r="E59" t="s">
        <v>516</v>
      </c>
      <c r="F59" t="s">
        <v>560</v>
      </c>
      <c r="G59" t="s">
        <v>665</v>
      </c>
      <c r="H59" t="s">
        <v>743</v>
      </c>
      <c r="I59" t="s">
        <v>786</v>
      </c>
      <c r="J59" s="27" t="s">
        <v>525</v>
      </c>
      <c r="K59" s="5" t="s">
        <v>168</v>
      </c>
      <c r="L59" s="5" t="s">
        <v>148</v>
      </c>
      <c r="M59" s="5" t="s">
        <v>31</v>
      </c>
      <c r="N59" s="5" t="s">
        <v>45</v>
      </c>
      <c r="O59" s="5" t="s">
        <v>176</v>
      </c>
      <c r="P59" s="9">
        <v>44537</v>
      </c>
      <c r="Q59" s="5" t="s">
        <v>479</v>
      </c>
      <c r="R59" s="5" t="s">
        <v>63</v>
      </c>
      <c r="S59" s="5">
        <v>2</v>
      </c>
      <c r="T59" s="10">
        <v>0.60416666666666663</v>
      </c>
      <c r="U59" s="10">
        <v>0.64583333333333337</v>
      </c>
      <c r="V59" s="5">
        <v>1</v>
      </c>
      <c r="W59" s="5">
        <v>1</v>
      </c>
      <c r="X59" s="5">
        <f t="shared" si="0"/>
        <v>2</v>
      </c>
      <c r="Y59" s="5" t="str">
        <f t="shared" si="1"/>
        <v>C</v>
      </c>
    </row>
    <row r="60" spans="2:25" x14ac:dyDescent="0.25">
      <c r="B60" s="9">
        <v>44537</v>
      </c>
      <c r="C60" s="7">
        <v>600003914561</v>
      </c>
      <c r="D60" s="5">
        <v>1</v>
      </c>
      <c r="E60" t="s">
        <v>513</v>
      </c>
      <c r="F60" t="s">
        <v>557</v>
      </c>
      <c r="G60" t="s">
        <v>662</v>
      </c>
      <c r="H60" t="s">
        <v>748</v>
      </c>
      <c r="I60" t="s">
        <v>783</v>
      </c>
      <c r="J60" s="27" t="s">
        <v>525</v>
      </c>
      <c r="K60" s="5" t="s">
        <v>13</v>
      </c>
      <c r="L60" s="5" t="s">
        <v>197</v>
      </c>
      <c r="M60" s="5" t="s">
        <v>198</v>
      </c>
      <c r="N60" s="5" t="s">
        <v>124</v>
      </c>
      <c r="O60" s="5" t="s">
        <v>19</v>
      </c>
      <c r="P60" s="9">
        <v>44537</v>
      </c>
      <c r="Q60" s="5" t="s">
        <v>473</v>
      </c>
      <c r="R60" s="5" t="s">
        <v>63</v>
      </c>
      <c r="S60" s="5">
        <v>2</v>
      </c>
      <c r="T60" s="10">
        <v>0.45833333333333331</v>
      </c>
      <c r="U60" s="10">
        <v>0.66666666666666663</v>
      </c>
      <c r="V60" s="5">
        <v>5</v>
      </c>
      <c r="W60" s="5">
        <v>5</v>
      </c>
      <c r="X60" s="5">
        <f t="shared" si="0"/>
        <v>10</v>
      </c>
      <c r="Y60" s="5" t="str">
        <f t="shared" si="1"/>
        <v>B</v>
      </c>
    </row>
    <row r="61" spans="2:25" x14ac:dyDescent="0.25">
      <c r="B61" s="9">
        <v>44539</v>
      </c>
      <c r="C61" s="7">
        <v>600003915660</v>
      </c>
      <c r="D61" s="5">
        <v>1</v>
      </c>
      <c r="E61" t="s">
        <v>500</v>
      </c>
      <c r="F61" t="s">
        <v>544</v>
      </c>
      <c r="G61" t="s">
        <v>649</v>
      </c>
      <c r="H61" t="s">
        <v>745</v>
      </c>
      <c r="I61" t="s">
        <v>770</v>
      </c>
      <c r="J61" s="27" t="s">
        <v>525</v>
      </c>
      <c r="K61" s="5" t="s">
        <v>15</v>
      </c>
      <c r="L61" s="5" t="s">
        <v>16</v>
      </c>
      <c r="M61" s="5" t="s">
        <v>137</v>
      </c>
      <c r="N61" s="5" t="s">
        <v>53</v>
      </c>
      <c r="O61" s="5" t="s">
        <v>19</v>
      </c>
      <c r="P61" s="9">
        <v>44539</v>
      </c>
      <c r="Q61" s="5" t="s">
        <v>477</v>
      </c>
      <c r="R61" s="5" t="s">
        <v>63</v>
      </c>
      <c r="S61" s="5">
        <v>2</v>
      </c>
      <c r="T61" s="10">
        <v>0.3125</v>
      </c>
      <c r="U61" s="10">
        <v>0.375</v>
      </c>
      <c r="V61" s="5">
        <v>1.5</v>
      </c>
      <c r="W61" s="5">
        <v>1.5</v>
      </c>
      <c r="X61" s="5">
        <f t="shared" si="0"/>
        <v>3</v>
      </c>
      <c r="Y61" s="5" t="str">
        <f t="shared" si="1"/>
        <v>C</v>
      </c>
    </row>
    <row r="62" spans="2:25" x14ac:dyDescent="0.25">
      <c r="B62" s="9">
        <v>44539</v>
      </c>
      <c r="C62" s="7">
        <v>600003915661</v>
      </c>
      <c r="D62" s="5">
        <v>1</v>
      </c>
      <c r="E62" t="s">
        <v>517</v>
      </c>
      <c r="F62" t="s">
        <v>561</v>
      </c>
      <c r="G62" t="s">
        <v>666</v>
      </c>
      <c r="H62" t="s">
        <v>745</v>
      </c>
      <c r="I62" t="s">
        <v>787</v>
      </c>
      <c r="J62" s="27" t="s">
        <v>525</v>
      </c>
      <c r="K62" s="5" t="s">
        <v>15</v>
      </c>
      <c r="L62" s="5" t="s">
        <v>16</v>
      </c>
      <c r="M62" s="5" t="s">
        <v>137</v>
      </c>
      <c r="N62" s="5" t="s">
        <v>179</v>
      </c>
      <c r="O62" s="5" t="s">
        <v>19</v>
      </c>
      <c r="P62" s="9">
        <v>44539</v>
      </c>
      <c r="Q62" s="5" t="s">
        <v>477</v>
      </c>
      <c r="R62" s="5" t="s">
        <v>63</v>
      </c>
      <c r="S62" s="5">
        <v>2</v>
      </c>
      <c r="T62" s="10">
        <v>0.41666666666666669</v>
      </c>
      <c r="U62" s="10">
        <v>0.47916666666666669</v>
      </c>
      <c r="V62" s="5">
        <v>1.5</v>
      </c>
      <c r="W62" s="5">
        <v>1.5</v>
      </c>
      <c r="X62" s="5">
        <f t="shared" si="0"/>
        <v>3</v>
      </c>
      <c r="Y62" s="5" t="str">
        <f t="shared" si="1"/>
        <v>C</v>
      </c>
    </row>
    <row r="63" spans="2:25" x14ac:dyDescent="0.25">
      <c r="B63" s="9">
        <v>44540</v>
      </c>
      <c r="C63" s="7">
        <v>600003916003</v>
      </c>
      <c r="D63" s="5">
        <v>1</v>
      </c>
      <c r="E63" t="s">
        <v>518</v>
      </c>
      <c r="F63" t="s">
        <v>562</v>
      </c>
      <c r="G63" t="s">
        <v>667</v>
      </c>
      <c r="H63" t="s">
        <v>745</v>
      </c>
      <c r="I63" t="s">
        <v>788</v>
      </c>
      <c r="J63" s="27" t="s">
        <v>525</v>
      </c>
      <c r="K63" s="5" t="s">
        <v>44</v>
      </c>
      <c r="L63" s="5" t="s">
        <v>57</v>
      </c>
      <c r="M63" s="5" t="s">
        <v>114</v>
      </c>
      <c r="N63" s="5" t="s">
        <v>115</v>
      </c>
      <c r="O63" s="5" t="s">
        <v>19</v>
      </c>
      <c r="P63" s="9">
        <v>44540</v>
      </c>
      <c r="Q63" s="5" t="s">
        <v>477</v>
      </c>
      <c r="R63" s="5" t="s">
        <v>63</v>
      </c>
      <c r="S63" s="5">
        <v>1</v>
      </c>
      <c r="T63" s="10">
        <v>0.60416666666666663</v>
      </c>
      <c r="U63" s="10">
        <v>0.625</v>
      </c>
      <c r="V63" s="5">
        <v>0.5</v>
      </c>
      <c r="W63" s="5">
        <v>0.5</v>
      </c>
      <c r="X63" s="5">
        <f t="shared" si="0"/>
        <v>0.5</v>
      </c>
      <c r="Y63" s="5" t="str">
        <f t="shared" si="1"/>
        <v>C</v>
      </c>
    </row>
    <row r="64" spans="2:25" x14ac:dyDescent="0.25">
      <c r="B64" s="9">
        <v>44540</v>
      </c>
      <c r="C64" s="7">
        <v>600003916153</v>
      </c>
      <c r="D64" s="5">
        <v>1</v>
      </c>
      <c r="E64" t="s">
        <v>492</v>
      </c>
      <c r="F64" t="s">
        <v>536</v>
      </c>
      <c r="G64" t="s">
        <v>641</v>
      </c>
      <c r="H64" t="s">
        <v>740</v>
      </c>
      <c r="I64" t="s">
        <v>762</v>
      </c>
      <c r="J64" s="27" t="s">
        <v>524</v>
      </c>
      <c r="K64" s="5" t="s">
        <v>73</v>
      </c>
      <c r="L64" s="5" t="s">
        <v>40</v>
      </c>
      <c r="M64" s="5" t="s">
        <v>73</v>
      </c>
      <c r="N64" s="5" t="s">
        <v>159</v>
      </c>
      <c r="O64" s="5" t="s">
        <v>19</v>
      </c>
      <c r="P64" s="9">
        <v>44541</v>
      </c>
      <c r="Q64" s="5" t="s">
        <v>474</v>
      </c>
      <c r="R64" s="5" t="s">
        <v>63</v>
      </c>
      <c r="S64" s="5">
        <v>2</v>
      </c>
      <c r="T64" s="10">
        <v>0.25</v>
      </c>
      <c r="U64" s="10">
        <v>0.3125</v>
      </c>
      <c r="V64" s="5">
        <v>1.5</v>
      </c>
      <c r="W64" s="5">
        <v>1.5</v>
      </c>
      <c r="X64" s="5">
        <f t="shared" si="0"/>
        <v>3</v>
      </c>
      <c r="Y64" s="5" t="str">
        <f t="shared" si="1"/>
        <v>C</v>
      </c>
    </row>
    <row r="65" spans="2:25" x14ac:dyDescent="0.25">
      <c r="B65" s="9">
        <v>44540</v>
      </c>
      <c r="C65" s="7">
        <v>600003916087</v>
      </c>
      <c r="D65" s="5">
        <v>1</v>
      </c>
      <c r="E65" t="s">
        <v>519</v>
      </c>
      <c r="F65" t="s">
        <v>563</v>
      </c>
      <c r="G65" t="s">
        <v>668</v>
      </c>
      <c r="H65" t="s">
        <v>747</v>
      </c>
      <c r="I65" t="s">
        <v>789</v>
      </c>
      <c r="J65" s="26" t="s">
        <v>524</v>
      </c>
      <c r="K65" s="5" t="s">
        <v>82</v>
      </c>
      <c r="L65" s="5" t="s">
        <v>82</v>
      </c>
      <c r="M65" s="5" t="s">
        <v>162</v>
      </c>
      <c r="N65" s="5" t="s">
        <v>196</v>
      </c>
      <c r="O65" s="5" t="s">
        <v>19</v>
      </c>
      <c r="P65" s="9">
        <v>44541</v>
      </c>
      <c r="Q65" s="5" t="s">
        <v>474</v>
      </c>
      <c r="R65" s="5" t="s">
        <v>63</v>
      </c>
      <c r="S65" s="5">
        <v>2</v>
      </c>
      <c r="T65" s="10">
        <v>0.29166666666666669</v>
      </c>
      <c r="U65" s="10">
        <v>0.45833333333333331</v>
      </c>
      <c r="V65" s="5">
        <v>4</v>
      </c>
      <c r="W65" s="5">
        <v>4</v>
      </c>
      <c r="X65" s="5">
        <f t="shared" si="0"/>
        <v>8</v>
      </c>
      <c r="Y65" s="5" t="str">
        <f t="shared" si="1"/>
        <v>B</v>
      </c>
    </row>
    <row r="66" spans="2:25" x14ac:dyDescent="0.25">
      <c r="B66" s="9">
        <v>44543</v>
      </c>
      <c r="C66" s="7">
        <v>600003917036</v>
      </c>
      <c r="D66" s="5">
        <v>1</v>
      </c>
      <c r="E66" t="s">
        <v>493</v>
      </c>
      <c r="F66" t="s">
        <v>537</v>
      </c>
      <c r="G66" t="s">
        <v>642</v>
      </c>
      <c r="H66" t="s">
        <v>745</v>
      </c>
      <c r="I66" t="s">
        <v>763</v>
      </c>
      <c r="J66" s="26" t="s">
        <v>525</v>
      </c>
      <c r="K66" s="5" t="s">
        <v>15</v>
      </c>
      <c r="L66" s="5" t="s">
        <v>65</v>
      </c>
      <c r="M66" s="5" t="s">
        <v>62</v>
      </c>
      <c r="N66" s="5" t="s">
        <v>53</v>
      </c>
      <c r="O66" s="5" t="s">
        <v>19</v>
      </c>
      <c r="P66" s="9">
        <v>44544</v>
      </c>
      <c r="Q66" s="5" t="s">
        <v>477</v>
      </c>
      <c r="R66" s="5" t="s">
        <v>63</v>
      </c>
      <c r="S66" s="5">
        <v>2</v>
      </c>
      <c r="T66" s="10">
        <v>0.375</v>
      </c>
      <c r="U66" s="10">
        <v>0.4375</v>
      </c>
      <c r="V66" s="5">
        <v>1.5</v>
      </c>
      <c r="W66" s="5">
        <v>1.5</v>
      </c>
      <c r="X66" s="5">
        <f t="shared" si="0"/>
        <v>3</v>
      </c>
      <c r="Y66" s="5" t="str">
        <f t="shared" si="1"/>
        <v>C</v>
      </c>
    </row>
    <row r="67" spans="2:25" x14ac:dyDescent="0.25">
      <c r="B67" s="9">
        <v>44543</v>
      </c>
      <c r="C67" s="7">
        <v>600003916923</v>
      </c>
      <c r="D67" s="5">
        <v>1</v>
      </c>
      <c r="E67" t="s">
        <v>486</v>
      </c>
      <c r="F67" t="s">
        <v>530</v>
      </c>
      <c r="G67" t="s">
        <v>635</v>
      </c>
      <c r="H67" t="s">
        <v>740</v>
      </c>
      <c r="I67" t="s">
        <v>756</v>
      </c>
      <c r="J67" s="27" t="s">
        <v>525</v>
      </c>
      <c r="K67" s="5" t="s">
        <v>69</v>
      </c>
      <c r="L67" s="5" t="s">
        <v>41</v>
      </c>
      <c r="M67" s="5" t="s">
        <v>96</v>
      </c>
      <c r="N67" s="5" t="s">
        <v>75</v>
      </c>
      <c r="O67" s="5" t="s">
        <v>19</v>
      </c>
      <c r="P67" s="9">
        <v>44548</v>
      </c>
      <c r="Q67" s="5" t="s">
        <v>474</v>
      </c>
      <c r="R67" s="5" t="s">
        <v>63</v>
      </c>
      <c r="S67" s="5">
        <v>3</v>
      </c>
      <c r="T67" s="10">
        <v>0.20833333333333334</v>
      </c>
      <c r="U67" s="10">
        <v>0.54166666666666663</v>
      </c>
      <c r="V67" s="5">
        <v>8</v>
      </c>
      <c r="W67" s="5">
        <v>8</v>
      </c>
      <c r="X67" s="5">
        <f t="shared" si="0"/>
        <v>24</v>
      </c>
      <c r="Y67" s="5" t="str">
        <f t="shared" si="1"/>
        <v>B</v>
      </c>
    </row>
    <row r="68" spans="2:25" x14ac:dyDescent="0.25">
      <c r="B68" s="9">
        <v>44543</v>
      </c>
      <c r="C68" s="7">
        <v>600003916920</v>
      </c>
      <c r="D68" s="5">
        <v>1</v>
      </c>
      <c r="E68" t="s">
        <v>501</v>
      </c>
      <c r="F68" t="s">
        <v>545</v>
      </c>
      <c r="G68" t="s">
        <v>650</v>
      </c>
      <c r="H68" t="s">
        <v>740</v>
      </c>
      <c r="I68" t="s">
        <v>771</v>
      </c>
      <c r="J68" s="27" t="s">
        <v>524</v>
      </c>
      <c r="K68" s="5" t="s">
        <v>70</v>
      </c>
      <c r="L68" s="5" t="s">
        <v>36</v>
      </c>
      <c r="M68" s="5" t="s">
        <v>34</v>
      </c>
      <c r="N68" s="5" t="s">
        <v>112</v>
      </c>
      <c r="O68" s="5" t="s">
        <v>19</v>
      </c>
      <c r="P68" s="9">
        <v>44545</v>
      </c>
      <c r="Q68" s="5" t="s">
        <v>474</v>
      </c>
      <c r="R68" s="5" t="s">
        <v>63</v>
      </c>
      <c r="S68" s="5">
        <v>3</v>
      </c>
      <c r="T68" s="10">
        <v>0.54166666666666663</v>
      </c>
      <c r="U68" s="10">
        <v>0.66666666666666663</v>
      </c>
      <c r="V68" s="5">
        <v>3</v>
      </c>
      <c r="W68" s="5">
        <v>3</v>
      </c>
      <c r="X68" s="5">
        <f t="shared" si="0"/>
        <v>9</v>
      </c>
      <c r="Y68" s="5" t="str">
        <f t="shared" si="1"/>
        <v>B</v>
      </c>
    </row>
    <row r="69" spans="2:25" x14ac:dyDescent="0.25">
      <c r="B69" s="9">
        <v>44545</v>
      </c>
      <c r="C69" s="7">
        <v>600003888241</v>
      </c>
      <c r="D69" s="5">
        <v>1</v>
      </c>
      <c r="E69" t="s">
        <v>520</v>
      </c>
      <c r="F69" t="s">
        <v>564</v>
      </c>
      <c r="G69" t="s">
        <v>669</v>
      </c>
      <c r="H69" t="s">
        <v>744</v>
      </c>
      <c r="I69" t="s">
        <v>790</v>
      </c>
      <c r="J69" s="27" t="s">
        <v>524</v>
      </c>
      <c r="K69" s="5" t="s">
        <v>64</v>
      </c>
      <c r="L69" s="5" t="s">
        <v>36</v>
      </c>
      <c r="M69" s="5" t="s">
        <v>91</v>
      </c>
      <c r="N69" s="5" t="s">
        <v>92</v>
      </c>
      <c r="O69" s="5" t="s">
        <v>19</v>
      </c>
      <c r="P69" s="9">
        <v>44511</v>
      </c>
      <c r="Q69" s="5" t="s">
        <v>473</v>
      </c>
      <c r="R69" s="5" t="s">
        <v>63</v>
      </c>
      <c r="S69" s="5">
        <v>1</v>
      </c>
      <c r="T69" s="5">
        <v>7</v>
      </c>
      <c r="U69" s="5">
        <v>16</v>
      </c>
      <c r="V69" s="5">
        <v>9</v>
      </c>
      <c r="W69" s="5">
        <v>9</v>
      </c>
      <c r="X69" s="5">
        <v>9</v>
      </c>
      <c r="Y69" s="5" t="s">
        <v>93</v>
      </c>
    </row>
    <row r="70" spans="2:25" x14ac:dyDescent="0.25">
      <c r="B70" s="9">
        <v>44545</v>
      </c>
      <c r="C70" s="7">
        <v>600003917938</v>
      </c>
      <c r="D70" s="5">
        <v>1</v>
      </c>
      <c r="E70" t="s">
        <v>521</v>
      </c>
      <c r="F70" t="s">
        <v>565</v>
      </c>
      <c r="G70" t="s">
        <v>670</v>
      </c>
      <c r="H70" t="s">
        <v>749</v>
      </c>
      <c r="I70" t="s">
        <v>791</v>
      </c>
      <c r="J70" s="27" t="s">
        <v>524</v>
      </c>
      <c r="K70" s="5" t="s">
        <v>127</v>
      </c>
      <c r="L70" s="5" t="s">
        <v>79</v>
      </c>
      <c r="M70" s="5" t="s">
        <v>128</v>
      </c>
      <c r="N70" s="5" t="s">
        <v>195</v>
      </c>
      <c r="O70" s="5" t="s">
        <v>19</v>
      </c>
      <c r="P70" s="9">
        <v>44545</v>
      </c>
      <c r="Q70" s="5" t="s">
        <v>474</v>
      </c>
      <c r="R70" s="5" t="s">
        <v>50</v>
      </c>
      <c r="S70" s="5">
        <v>1</v>
      </c>
      <c r="T70" s="10">
        <v>0.58333333333333337</v>
      </c>
      <c r="U70" s="10">
        <v>0.64583333333333337</v>
      </c>
      <c r="V70" s="5">
        <v>1.5</v>
      </c>
      <c r="W70" s="5">
        <v>1.5</v>
      </c>
      <c r="X70" s="5">
        <f t="shared" ref="X70:X95" si="2">PRODUCT(S70,V70)</f>
        <v>1.5</v>
      </c>
      <c r="Y70" s="5" t="str">
        <f t="shared" ref="Y70:Y99" si="3">IF(W70=0,"D",IF(W70&lt;=2,"C",IF(W70&lt;=8,"B",IF(W70&gt;8,"A"))))</f>
        <v>C</v>
      </c>
    </row>
    <row r="71" spans="2:25" x14ac:dyDescent="0.25">
      <c r="B71" s="9">
        <v>44546</v>
      </c>
      <c r="C71" s="7">
        <v>600003918382</v>
      </c>
      <c r="D71" s="5">
        <v>1</v>
      </c>
      <c r="E71" t="s">
        <v>507</v>
      </c>
      <c r="F71" t="s">
        <v>551</v>
      </c>
      <c r="G71" t="s">
        <v>656</v>
      </c>
      <c r="H71" t="s">
        <v>745</v>
      </c>
      <c r="I71" t="s">
        <v>777</v>
      </c>
      <c r="J71" s="27" t="s">
        <v>525</v>
      </c>
      <c r="K71" s="5" t="s">
        <v>15</v>
      </c>
      <c r="L71" s="5" t="s">
        <v>57</v>
      </c>
      <c r="M71" s="5" t="s">
        <v>180</v>
      </c>
      <c r="N71" s="5" t="s">
        <v>181</v>
      </c>
      <c r="O71" s="5" t="s">
        <v>19</v>
      </c>
      <c r="P71" s="9">
        <v>44547</v>
      </c>
      <c r="Q71" s="5" t="s">
        <v>476</v>
      </c>
      <c r="R71" s="5" t="s">
        <v>63</v>
      </c>
      <c r="S71" s="5">
        <v>2</v>
      </c>
      <c r="T71" s="10">
        <v>0.375</v>
      </c>
      <c r="U71" s="10">
        <v>0.41666666666666669</v>
      </c>
      <c r="V71" s="5">
        <v>1</v>
      </c>
      <c r="W71" s="5">
        <v>1</v>
      </c>
      <c r="X71" s="5">
        <f t="shared" si="2"/>
        <v>2</v>
      </c>
      <c r="Y71" s="5" t="str">
        <f t="shared" si="3"/>
        <v>C</v>
      </c>
    </row>
    <row r="72" spans="2:25" x14ac:dyDescent="0.25">
      <c r="B72" s="9">
        <v>44546</v>
      </c>
      <c r="C72" s="7">
        <v>600003918276</v>
      </c>
      <c r="D72" s="5">
        <v>1</v>
      </c>
      <c r="E72" t="s">
        <v>504</v>
      </c>
      <c r="F72" t="s">
        <v>548</v>
      </c>
      <c r="G72" t="s">
        <v>653</v>
      </c>
      <c r="H72" t="s">
        <v>745</v>
      </c>
      <c r="I72" t="s">
        <v>774</v>
      </c>
      <c r="J72" s="27" t="s">
        <v>525</v>
      </c>
      <c r="K72" s="5" t="s">
        <v>15</v>
      </c>
      <c r="L72" s="5" t="s">
        <v>89</v>
      </c>
      <c r="M72" s="5" t="s">
        <v>62</v>
      </c>
      <c r="N72" s="5" t="s">
        <v>67</v>
      </c>
      <c r="O72" s="5" t="s">
        <v>19</v>
      </c>
      <c r="P72" s="9">
        <v>44546</v>
      </c>
      <c r="Q72" s="5" t="s">
        <v>477</v>
      </c>
      <c r="R72" s="5" t="s">
        <v>63</v>
      </c>
      <c r="S72" s="5">
        <v>1</v>
      </c>
      <c r="T72" s="10">
        <v>0.27083333333333331</v>
      </c>
      <c r="U72" s="10">
        <v>0.3125</v>
      </c>
      <c r="V72" s="5">
        <v>1</v>
      </c>
      <c r="W72" s="5">
        <v>1</v>
      </c>
      <c r="X72" s="5">
        <f t="shared" si="2"/>
        <v>1</v>
      </c>
      <c r="Y72" s="5" t="str">
        <f t="shared" si="3"/>
        <v>C</v>
      </c>
    </row>
    <row r="73" spans="2:25" x14ac:dyDescent="0.25">
      <c r="B73" s="9">
        <v>44546</v>
      </c>
      <c r="C73" s="7">
        <v>600003918378</v>
      </c>
      <c r="D73" s="5">
        <v>1</v>
      </c>
      <c r="E73" t="s">
        <v>522</v>
      </c>
      <c r="F73" t="s">
        <v>566</v>
      </c>
      <c r="G73" t="s">
        <v>671</v>
      </c>
      <c r="H73" t="s">
        <v>746</v>
      </c>
      <c r="I73" t="s">
        <v>792</v>
      </c>
      <c r="J73" s="26" t="s">
        <v>525</v>
      </c>
      <c r="K73" s="5" t="s">
        <v>185</v>
      </c>
      <c r="L73" s="5" t="s">
        <v>187</v>
      </c>
      <c r="M73" s="5" t="s">
        <v>36</v>
      </c>
      <c r="N73" s="5" t="s">
        <v>186</v>
      </c>
      <c r="O73" s="5" t="s">
        <v>19</v>
      </c>
      <c r="P73" s="9">
        <v>44546</v>
      </c>
      <c r="Q73" s="5" t="s">
        <v>476</v>
      </c>
      <c r="R73" s="5" t="s">
        <v>63</v>
      </c>
      <c r="S73" s="5">
        <v>2</v>
      </c>
      <c r="T73" s="10">
        <v>0.625</v>
      </c>
      <c r="U73" s="10">
        <v>0.66666666666666663</v>
      </c>
      <c r="V73" s="5">
        <v>1</v>
      </c>
      <c r="W73" s="5">
        <v>1</v>
      </c>
      <c r="X73" s="5">
        <f t="shared" si="2"/>
        <v>2</v>
      </c>
      <c r="Y73" s="5" t="str">
        <f t="shared" si="3"/>
        <v>C</v>
      </c>
    </row>
    <row r="74" spans="2:25" x14ac:dyDescent="0.25">
      <c r="B74" s="9">
        <v>44547</v>
      </c>
      <c r="C74" s="7">
        <v>600003918749</v>
      </c>
      <c r="D74" s="5">
        <v>1</v>
      </c>
      <c r="E74" t="s">
        <v>515</v>
      </c>
      <c r="F74" t="s">
        <v>559</v>
      </c>
      <c r="G74" t="s">
        <v>664</v>
      </c>
      <c r="H74" t="s">
        <v>745</v>
      </c>
      <c r="I74" t="s">
        <v>785</v>
      </c>
      <c r="J74" s="27" t="s">
        <v>525</v>
      </c>
      <c r="K74" s="5" t="s">
        <v>122</v>
      </c>
      <c r="L74" s="5" t="s">
        <v>57</v>
      </c>
      <c r="M74" s="5" t="s">
        <v>173</v>
      </c>
      <c r="N74" s="5" t="s">
        <v>129</v>
      </c>
      <c r="O74" s="5" t="s">
        <v>19</v>
      </c>
      <c r="P74" s="9">
        <v>44547</v>
      </c>
      <c r="Q74" s="5" t="s">
        <v>477</v>
      </c>
      <c r="R74" s="5" t="s">
        <v>63</v>
      </c>
      <c r="S74" s="5">
        <v>3</v>
      </c>
      <c r="T74" s="10">
        <v>0.58333333333333337</v>
      </c>
      <c r="U74" s="10">
        <v>0.625</v>
      </c>
      <c r="V74" s="5">
        <v>1</v>
      </c>
      <c r="W74" s="5">
        <v>1</v>
      </c>
      <c r="X74" s="5">
        <f t="shared" si="2"/>
        <v>3</v>
      </c>
      <c r="Y74" s="5" t="str">
        <f t="shared" si="3"/>
        <v>C</v>
      </c>
    </row>
    <row r="75" spans="2:25" x14ac:dyDescent="0.25">
      <c r="B75" s="9">
        <v>44547</v>
      </c>
      <c r="C75" s="7">
        <v>600003918691</v>
      </c>
      <c r="D75" s="5">
        <v>1</v>
      </c>
      <c r="E75" t="s">
        <v>515</v>
      </c>
      <c r="F75" t="s">
        <v>559</v>
      </c>
      <c r="G75" t="s">
        <v>664</v>
      </c>
      <c r="H75" t="s">
        <v>745</v>
      </c>
      <c r="I75" t="s">
        <v>785</v>
      </c>
      <c r="J75" s="27" t="s">
        <v>525</v>
      </c>
      <c r="K75" s="5" t="s">
        <v>122</v>
      </c>
      <c r="L75" s="5" t="s">
        <v>173</v>
      </c>
      <c r="M75" s="5" t="s">
        <v>182</v>
      </c>
      <c r="N75" s="5" t="s">
        <v>183</v>
      </c>
      <c r="O75" s="5" t="s">
        <v>19</v>
      </c>
      <c r="P75" s="9">
        <v>44547</v>
      </c>
      <c r="Q75" s="5" t="s">
        <v>475</v>
      </c>
      <c r="R75" s="5" t="s">
        <v>50</v>
      </c>
      <c r="S75" s="5">
        <v>1</v>
      </c>
      <c r="T75" s="10">
        <v>0.41666666666666669</v>
      </c>
      <c r="U75" s="10">
        <v>0.58333333333333337</v>
      </c>
      <c r="V75" s="5">
        <v>2</v>
      </c>
      <c r="W75" s="5">
        <v>2</v>
      </c>
      <c r="X75" s="5">
        <f t="shared" si="2"/>
        <v>2</v>
      </c>
      <c r="Y75" s="5" t="str">
        <f t="shared" si="3"/>
        <v>C</v>
      </c>
    </row>
    <row r="76" spans="2:25" x14ac:dyDescent="0.25">
      <c r="B76" s="9">
        <v>44550</v>
      </c>
      <c r="C76" s="7">
        <v>600003919922</v>
      </c>
      <c r="D76" s="5">
        <v>1</v>
      </c>
      <c r="E76" t="s">
        <v>486</v>
      </c>
      <c r="F76" t="s">
        <v>530</v>
      </c>
      <c r="G76" t="s">
        <v>635</v>
      </c>
      <c r="H76" t="s">
        <v>740</v>
      </c>
      <c r="I76" t="s">
        <v>756</v>
      </c>
      <c r="J76" s="27" t="s">
        <v>524</v>
      </c>
      <c r="K76" s="5" t="s">
        <v>69</v>
      </c>
      <c r="L76" s="5" t="s">
        <v>79</v>
      </c>
      <c r="M76" s="5" t="s">
        <v>80</v>
      </c>
      <c r="N76" s="5" t="s">
        <v>178</v>
      </c>
      <c r="O76" s="5" t="s">
        <v>19</v>
      </c>
      <c r="P76" s="9">
        <v>44550</v>
      </c>
      <c r="Q76" s="5" t="s">
        <v>475</v>
      </c>
      <c r="R76" s="5" t="s">
        <v>50</v>
      </c>
      <c r="S76" s="5">
        <v>1</v>
      </c>
      <c r="T76" s="10">
        <v>0.5</v>
      </c>
      <c r="U76" s="10">
        <v>0.5625</v>
      </c>
      <c r="V76" s="5">
        <v>1.5</v>
      </c>
      <c r="W76" s="5">
        <v>1.5</v>
      </c>
      <c r="X76" s="5">
        <f t="shared" si="2"/>
        <v>1.5</v>
      </c>
      <c r="Y76" s="5" t="str">
        <f t="shared" si="3"/>
        <v>C</v>
      </c>
    </row>
    <row r="77" spans="2:25" x14ac:dyDescent="0.25">
      <c r="B77" s="9">
        <v>44551</v>
      </c>
      <c r="C77" s="7">
        <v>600003920193</v>
      </c>
      <c r="D77" s="5">
        <v>1</v>
      </c>
      <c r="E77" t="s">
        <v>515</v>
      </c>
      <c r="F77" t="s">
        <v>559</v>
      </c>
      <c r="G77" t="s">
        <v>664</v>
      </c>
      <c r="H77" t="s">
        <v>745</v>
      </c>
      <c r="I77" t="s">
        <v>785</v>
      </c>
      <c r="J77" s="26" t="s">
        <v>525</v>
      </c>
      <c r="K77" s="5" t="s">
        <v>122</v>
      </c>
      <c r="L77" s="5" t="s">
        <v>57</v>
      </c>
      <c r="M77" s="5" t="s">
        <v>184</v>
      </c>
      <c r="N77" s="5" t="s">
        <v>110</v>
      </c>
      <c r="O77" s="5" t="s">
        <v>19</v>
      </c>
      <c r="P77" s="9">
        <v>44916</v>
      </c>
      <c r="Q77" s="5" t="s">
        <v>475</v>
      </c>
      <c r="R77" s="5" t="s">
        <v>50</v>
      </c>
      <c r="S77" s="5">
        <v>1</v>
      </c>
      <c r="T77" s="10">
        <v>0.33333333333333331</v>
      </c>
      <c r="U77" s="10">
        <v>0.41666666666666669</v>
      </c>
      <c r="V77" s="5">
        <v>2</v>
      </c>
      <c r="W77" s="5">
        <v>2</v>
      </c>
      <c r="X77" s="5">
        <f t="shared" si="2"/>
        <v>2</v>
      </c>
      <c r="Y77" s="5" t="str">
        <f t="shared" si="3"/>
        <v>C</v>
      </c>
    </row>
    <row r="78" spans="2:25" x14ac:dyDescent="0.25">
      <c r="B78" s="9">
        <v>44552</v>
      </c>
      <c r="C78" s="7">
        <v>600003920947</v>
      </c>
      <c r="D78" s="5">
        <v>1</v>
      </c>
      <c r="E78" t="s">
        <v>523</v>
      </c>
      <c r="F78" t="s">
        <v>567</v>
      </c>
      <c r="G78" t="s">
        <v>672</v>
      </c>
      <c r="H78" t="s">
        <v>744</v>
      </c>
      <c r="I78" t="s">
        <v>793</v>
      </c>
      <c r="J78" s="27" t="s">
        <v>524</v>
      </c>
      <c r="K78" s="5" t="s">
        <v>123</v>
      </c>
      <c r="L78" s="5" t="s">
        <v>79</v>
      </c>
      <c r="M78" s="5" t="s">
        <v>152</v>
      </c>
      <c r="N78" s="5" t="s">
        <v>158</v>
      </c>
      <c r="O78" s="5" t="s">
        <v>19</v>
      </c>
      <c r="P78" s="9">
        <v>44583</v>
      </c>
      <c r="Q78" s="5" t="s">
        <v>474</v>
      </c>
      <c r="R78" s="5" t="s">
        <v>50</v>
      </c>
      <c r="S78" s="5">
        <v>1</v>
      </c>
      <c r="T78" s="10">
        <v>0.33333333333333331</v>
      </c>
      <c r="U78" s="10">
        <v>0.41666666666666669</v>
      </c>
      <c r="V78" s="5">
        <v>2</v>
      </c>
      <c r="W78" s="5">
        <v>2</v>
      </c>
      <c r="X78" s="5">
        <f t="shared" si="2"/>
        <v>2</v>
      </c>
      <c r="Y78" s="5" t="str">
        <f t="shared" si="3"/>
        <v>C</v>
      </c>
    </row>
    <row r="79" spans="2:25" x14ac:dyDescent="0.25">
      <c r="B79" s="9">
        <v>44552</v>
      </c>
      <c r="C79" s="7">
        <v>600003920948</v>
      </c>
      <c r="D79" s="5">
        <v>1</v>
      </c>
      <c r="E79" t="s">
        <v>500</v>
      </c>
      <c r="F79" t="s">
        <v>544</v>
      </c>
      <c r="G79" t="s">
        <v>649</v>
      </c>
      <c r="H79" t="s">
        <v>745</v>
      </c>
      <c r="I79" t="s">
        <v>770</v>
      </c>
      <c r="J79" s="27" t="s">
        <v>525</v>
      </c>
      <c r="K79" s="5" t="s">
        <v>15</v>
      </c>
      <c r="L79" s="5" t="s">
        <v>65</v>
      </c>
      <c r="M79" s="5" t="s">
        <v>137</v>
      </c>
      <c r="N79" s="5" t="s">
        <v>53</v>
      </c>
      <c r="O79" s="5" t="s">
        <v>19</v>
      </c>
      <c r="P79" s="9">
        <v>44552</v>
      </c>
      <c r="Q79" s="5" t="s">
        <v>479</v>
      </c>
      <c r="R79" s="5" t="s">
        <v>63</v>
      </c>
      <c r="S79" s="5">
        <v>2</v>
      </c>
      <c r="T79" s="10">
        <v>0.625</v>
      </c>
      <c r="U79" s="10">
        <v>0.66666666666666663</v>
      </c>
      <c r="V79" s="5">
        <v>1</v>
      </c>
      <c r="W79" s="5">
        <v>1</v>
      </c>
      <c r="X79" s="5">
        <f t="shared" si="2"/>
        <v>2</v>
      </c>
      <c r="Y79" s="5" t="str">
        <f t="shared" si="3"/>
        <v>C</v>
      </c>
    </row>
    <row r="80" spans="2:25" x14ac:dyDescent="0.25">
      <c r="B80" s="9">
        <v>44552</v>
      </c>
      <c r="C80" s="7">
        <v>600003920860</v>
      </c>
      <c r="D80" s="5">
        <v>1</v>
      </c>
      <c r="E80" t="s">
        <v>486</v>
      </c>
      <c r="F80" t="s">
        <v>530</v>
      </c>
      <c r="G80" t="s">
        <v>635</v>
      </c>
      <c r="H80" t="s">
        <v>740</v>
      </c>
      <c r="I80" t="s">
        <v>756</v>
      </c>
      <c r="J80" s="27" t="s">
        <v>525</v>
      </c>
      <c r="K80" s="5" t="s">
        <v>69</v>
      </c>
      <c r="L80" s="5" t="s">
        <v>192</v>
      </c>
      <c r="M80" s="5" t="s">
        <v>193</v>
      </c>
      <c r="N80" s="5" t="s">
        <v>56</v>
      </c>
      <c r="O80" s="5" t="s">
        <v>19</v>
      </c>
      <c r="P80" s="9">
        <v>44552</v>
      </c>
      <c r="Q80" s="5" t="s">
        <v>474</v>
      </c>
      <c r="R80" s="5" t="s">
        <v>20</v>
      </c>
      <c r="S80" s="5">
        <v>2</v>
      </c>
      <c r="T80" s="10">
        <v>0.625</v>
      </c>
      <c r="U80" s="10">
        <v>0.75</v>
      </c>
      <c r="V80" s="5">
        <v>3</v>
      </c>
      <c r="W80" s="5">
        <v>3</v>
      </c>
      <c r="X80" s="5">
        <f t="shared" si="2"/>
        <v>6</v>
      </c>
      <c r="Y80" s="5" t="str">
        <f t="shared" si="3"/>
        <v>B</v>
      </c>
    </row>
    <row r="81" spans="2:25" x14ac:dyDescent="0.25">
      <c r="B81" s="9">
        <v>44552</v>
      </c>
      <c r="C81" s="7">
        <v>600003920857</v>
      </c>
      <c r="D81" s="5">
        <v>1</v>
      </c>
      <c r="E81" t="s">
        <v>486</v>
      </c>
      <c r="F81" t="s">
        <v>530</v>
      </c>
      <c r="G81" t="s">
        <v>635</v>
      </c>
      <c r="H81" t="s">
        <v>740</v>
      </c>
      <c r="I81" t="s">
        <v>756</v>
      </c>
      <c r="J81" s="27" t="s">
        <v>524</v>
      </c>
      <c r="K81" s="5" t="s">
        <v>69</v>
      </c>
      <c r="L81" s="5" t="s">
        <v>41</v>
      </c>
      <c r="M81" s="5" t="s">
        <v>96</v>
      </c>
      <c r="N81" s="5" t="s">
        <v>75</v>
      </c>
      <c r="O81" s="5" t="s">
        <v>19</v>
      </c>
      <c r="P81" s="9">
        <v>44552</v>
      </c>
      <c r="Q81" s="5" t="s">
        <v>474</v>
      </c>
      <c r="R81" s="5" t="s">
        <v>63</v>
      </c>
      <c r="S81" s="5">
        <v>2</v>
      </c>
      <c r="T81" s="10">
        <v>0.25</v>
      </c>
      <c r="U81" s="10">
        <v>0.41666666666666669</v>
      </c>
      <c r="V81" s="5">
        <v>4</v>
      </c>
      <c r="W81" s="5">
        <v>4</v>
      </c>
      <c r="X81" s="5">
        <f t="shared" si="2"/>
        <v>8</v>
      </c>
      <c r="Y81" s="5" t="str">
        <f t="shared" si="3"/>
        <v>B</v>
      </c>
    </row>
    <row r="82" spans="2:25" x14ac:dyDescent="0.25">
      <c r="B82" s="9">
        <v>44557</v>
      </c>
      <c r="C82" s="7">
        <v>600003924445</v>
      </c>
      <c r="D82" s="5">
        <v>1</v>
      </c>
      <c r="E82" t="s">
        <v>515</v>
      </c>
      <c r="F82" t="s">
        <v>559</v>
      </c>
      <c r="G82" t="s">
        <v>664</v>
      </c>
      <c r="H82" t="s">
        <v>745</v>
      </c>
      <c r="I82" t="s">
        <v>785</v>
      </c>
      <c r="J82" s="27" t="s">
        <v>525</v>
      </c>
      <c r="K82" s="5" t="s">
        <v>122</v>
      </c>
      <c r="L82" s="5" t="s">
        <v>57</v>
      </c>
      <c r="M82" s="5" t="s">
        <v>123</v>
      </c>
      <c r="N82" s="5" t="s">
        <v>147</v>
      </c>
      <c r="O82" s="5" t="s">
        <v>19</v>
      </c>
      <c r="P82" s="9">
        <v>44557</v>
      </c>
      <c r="Q82" s="5" t="s">
        <v>475</v>
      </c>
      <c r="R82" s="5" t="s">
        <v>63</v>
      </c>
      <c r="S82" s="5">
        <v>1</v>
      </c>
      <c r="T82" s="10">
        <v>0.29166666666666669</v>
      </c>
      <c r="U82" s="10">
        <v>0.39583333333333331</v>
      </c>
      <c r="V82" s="5">
        <v>2.5</v>
      </c>
      <c r="W82" s="5">
        <v>2.5</v>
      </c>
      <c r="X82" s="5">
        <f t="shared" si="2"/>
        <v>2.5</v>
      </c>
      <c r="Y82" s="5" t="str">
        <f t="shared" si="3"/>
        <v>B</v>
      </c>
    </row>
    <row r="83" spans="2:25" x14ac:dyDescent="0.25">
      <c r="B83" s="9">
        <v>44557</v>
      </c>
      <c r="C83" s="7">
        <v>600003924449</v>
      </c>
      <c r="D83" s="5">
        <v>1</v>
      </c>
      <c r="E83" t="s">
        <v>861</v>
      </c>
      <c r="F83" t="s">
        <v>568</v>
      </c>
      <c r="G83" t="s">
        <v>673</v>
      </c>
      <c r="H83" t="s">
        <v>745</v>
      </c>
      <c r="I83" t="s">
        <v>794</v>
      </c>
      <c r="J83" s="27" t="s">
        <v>525</v>
      </c>
      <c r="K83" s="5" t="s">
        <v>51</v>
      </c>
      <c r="L83" s="5" t="s">
        <v>79</v>
      </c>
      <c r="M83" s="5" t="s">
        <v>80</v>
      </c>
      <c r="N83" s="5" t="s">
        <v>188</v>
      </c>
      <c r="O83" s="5" t="s">
        <v>19</v>
      </c>
      <c r="P83" s="9">
        <v>44557</v>
      </c>
      <c r="Q83" s="5" t="s">
        <v>475</v>
      </c>
      <c r="R83" s="5" t="s">
        <v>50</v>
      </c>
      <c r="S83" s="5">
        <v>2</v>
      </c>
      <c r="T83" s="10">
        <v>0.29166666666666669</v>
      </c>
      <c r="U83" s="10">
        <v>0.35416666666666669</v>
      </c>
      <c r="V83" s="5">
        <v>1.5</v>
      </c>
      <c r="W83" s="5">
        <v>1.5</v>
      </c>
      <c r="X83" s="5">
        <f t="shared" si="2"/>
        <v>3</v>
      </c>
      <c r="Y83" s="5" t="str">
        <f t="shared" si="3"/>
        <v>C</v>
      </c>
    </row>
    <row r="84" spans="2:25" x14ac:dyDescent="0.25">
      <c r="B84" s="9">
        <v>44557</v>
      </c>
      <c r="C84" s="7">
        <v>600003924447</v>
      </c>
      <c r="D84" s="5">
        <v>1</v>
      </c>
      <c r="E84" t="s">
        <v>505</v>
      </c>
      <c r="F84" t="s">
        <v>549</v>
      </c>
      <c r="G84" t="s">
        <v>654</v>
      </c>
      <c r="H84" t="s">
        <v>745</v>
      </c>
      <c r="I84" t="s">
        <v>775</v>
      </c>
      <c r="J84" s="27" t="s">
        <v>525</v>
      </c>
      <c r="K84" s="5" t="s">
        <v>15</v>
      </c>
      <c r="L84" s="5" t="s">
        <v>79</v>
      </c>
      <c r="M84" s="5" t="s">
        <v>80</v>
      </c>
      <c r="N84" s="5" t="s">
        <v>189</v>
      </c>
      <c r="O84" s="5" t="s">
        <v>19</v>
      </c>
      <c r="P84" s="9">
        <v>44557</v>
      </c>
      <c r="Q84" s="5" t="s">
        <v>475</v>
      </c>
      <c r="R84" s="5" t="s">
        <v>50</v>
      </c>
      <c r="S84" s="5">
        <v>1</v>
      </c>
      <c r="T84" s="10">
        <v>0.41666666666666669</v>
      </c>
      <c r="U84" s="10">
        <v>0.45833333333333331</v>
      </c>
      <c r="V84" s="5">
        <v>1</v>
      </c>
      <c r="W84" s="5">
        <v>1</v>
      </c>
      <c r="X84" s="5">
        <f t="shared" si="2"/>
        <v>1</v>
      </c>
      <c r="Y84" s="5" t="str">
        <f t="shared" si="3"/>
        <v>C</v>
      </c>
    </row>
    <row r="85" spans="2:25" x14ac:dyDescent="0.25">
      <c r="B85" s="9">
        <v>44558</v>
      </c>
      <c r="C85" s="7">
        <v>600003924821</v>
      </c>
      <c r="D85" s="5">
        <v>1</v>
      </c>
      <c r="E85" t="s">
        <v>862</v>
      </c>
      <c r="F85" t="s">
        <v>569</v>
      </c>
      <c r="G85" t="s">
        <v>674</v>
      </c>
      <c r="H85" t="s">
        <v>745</v>
      </c>
      <c r="I85" t="s">
        <v>795</v>
      </c>
      <c r="J85" s="27" t="s">
        <v>525</v>
      </c>
      <c r="K85" s="5" t="s">
        <v>140</v>
      </c>
      <c r="L85" s="5" t="s">
        <v>57</v>
      </c>
      <c r="M85" s="5" t="s">
        <v>33</v>
      </c>
      <c r="N85" s="5" t="s">
        <v>114</v>
      </c>
      <c r="O85" s="5" t="s">
        <v>19</v>
      </c>
      <c r="P85" s="9">
        <v>44558</v>
      </c>
      <c r="Q85" s="5" t="s">
        <v>479</v>
      </c>
      <c r="R85" s="5" t="s">
        <v>63</v>
      </c>
      <c r="S85" s="5">
        <v>2</v>
      </c>
      <c r="T85" s="10">
        <v>0.43055555555555558</v>
      </c>
      <c r="U85" s="10">
        <v>0.47222222222222227</v>
      </c>
      <c r="V85" s="5">
        <v>1</v>
      </c>
      <c r="W85" s="5">
        <v>1</v>
      </c>
      <c r="X85" s="5">
        <f t="shared" si="2"/>
        <v>2</v>
      </c>
      <c r="Y85" s="5" t="str">
        <f t="shared" si="3"/>
        <v>C</v>
      </c>
    </row>
    <row r="86" spans="2:25" x14ac:dyDescent="0.25">
      <c r="B86" s="9">
        <v>44558</v>
      </c>
      <c r="C86" s="7">
        <v>600003924776</v>
      </c>
      <c r="D86" s="5">
        <v>1</v>
      </c>
      <c r="E86" t="s">
        <v>515</v>
      </c>
      <c r="F86" t="s">
        <v>559</v>
      </c>
      <c r="G86" t="s">
        <v>664</v>
      </c>
      <c r="H86" t="s">
        <v>745</v>
      </c>
      <c r="I86" t="s">
        <v>785</v>
      </c>
      <c r="J86" s="27" t="s">
        <v>525</v>
      </c>
      <c r="K86" s="5" t="s">
        <v>122</v>
      </c>
      <c r="L86" s="5" t="s">
        <v>79</v>
      </c>
      <c r="M86" s="5" t="s">
        <v>80</v>
      </c>
      <c r="N86" s="5" t="s">
        <v>190</v>
      </c>
      <c r="O86" s="5" t="s">
        <v>19</v>
      </c>
      <c r="P86" s="9">
        <v>44558</v>
      </c>
      <c r="Q86" s="5" t="s">
        <v>475</v>
      </c>
      <c r="R86" s="5" t="s">
        <v>50</v>
      </c>
      <c r="S86" s="5">
        <v>1</v>
      </c>
      <c r="T86" s="10">
        <v>0.29166666666666669</v>
      </c>
      <c r="U86" s="10">
        <v>0.33333333333333331</v>
      </c>
      <c r="V86" s="5">
        <v>1</v>
      </c>
      <c r="W86" s="5">
        <v>1</v>
      </c>
      <c r="X86" s="5">
        <f t="shared" si="2"/>
        <v>1</v>
      </c>
      <c r="Y86" s="5" t="str">
        <f t="shared" si="3"/>
        <v>C</v>
      </c>
    </row>
    <row r="87" spans="2:25" x14ac:dyDescent="0.25">
      <c r="B87" s="9">
        <v>44558</v>
      </c>
      <c r="C87" s="7">
        <v>600003924913</v>
      </c>
      <c r="D87" s="5">
        <v>1</v>
      </c>
      <c r="E87" t="s">
        <v>504</v>
      </c>
      <c r="F87" t="s">
        <v>548</v>
      </c>
      <c r="G87" t="s">
        <v>653</v>
      </c>
      <c r="H87" t="s">
        <v>745</v>
      </c>
      <c r="I87" t="s">
        <v>774</v>
      </c>
      <c r="J87" s="26" t="s">
        <v>525</v>
      </c>
      <c r="K87" s="5" t="s">
        <v>15</v>
      </c>
      <c r="L87" s="5" t="s">
        <v>79</v>
      </c>
      <c r="M87" s="5" t="s">
        <v>80</v>
      </c>
      <c r="N87" s="5" t="s">
        <v>188</v>
      </c>
      <c r="O87" s="5" t="s">
        <v>19</v>
      </c>
      <c r="P87" s="9">
        <v>44558</v>
      </c>
      <c r="Q87" s="5" t="s">
        <v>475</v>
      </c>
      <c r="R87" s="5" t="s">
        <v>50</v>
      </c>
      <c r="S87" s="5">
        <v>1</v>
      </c>
      <c r="T87" s="10">
        <v>0.29166666666666669</v>
      </c>
      <c r="U87" s="10">
        <v>0.375</v>
      </c>
      <c r="V87" s="5">
        <v>2</v>
      </c>
      <c r="W87" s="5">
        <v>2</v>
      </c>
      <c r="X87" s="5">
        <f t="shared" si="2"/>
        <v>2</v>
      </c>
      <c r="Y87" s="5" t="str">
        <f t="shared" si="3"/>
        <v>C</v>
      </c>
    </row>
    <row r="88" spans="2:25" x14ac:dyDescent="0.25">
      <c r="B88" s="9">
        <v>44559</v>
      </c>
      <c r="C88" s="7">
        <v>600003925271</v>
      </c>
      <c r="D88" s="5">
        <v>1</v>
      </c>
      <c r="E88" t="s">
        <v>863</v>
      </c>
      <c r="F88" t="s">
        <v>570</v>
      </c>
      <c r="G88" t="s">
        <v>675</v>
      </c>
      <c r="H88" t="s">
        <v>749</v>
      </c>
      <c r="I88" t="s">
        <v>796</v>
      </c>
      <c r="J88" s="27" t="s">
        <v>524</v>
      </c>
      <c r="K88" s="5" t="s">
        <v>44</v>
      </c>
      <c r="L88" s="5" t="s">
        <v>79</v>
      </c>
      <c r="M88" s="5" t="s">
        <v>80</v>
      </c>
      <c r="N88" s="5" t="s">
        <v>110</v>
      </c>
      <c r="O88" s="5" t="s">
        <v>19</v>
      </c>
      <c r="P88" s="9">
        <v>44559</v>
      </c>
      <c r="Q88" s="5" t="s">
        <v>478</v>
      </c>
      <c r="R88" s="5" t="s">
        <v>50</v>
      </c>
      <c r="S88" s="5">
        <v>1</v>
      </c>
      <c r="T88" s="10">
        <v>0.54166666666666663</v>
      </c>
      <c r="U88" s="10">
        <v>0.58333333333333337</v>
      </c>
      <c r="V88" s="5">
        <v>1</v>
      </c>
      <c r="W88" s="5">
        <v>1</v>
      </c>
      <c r="X88" s="5">
        <f t="shared" si="2"/>
        <v>1</v>
      </c>
      <c r="Y88" s="5" t="str">
        <f t="shared" si="3"/>
        <v>C</v>
      </c>
    </row>
    <row r="89" spans="2:25" x14ac:dyDescent="0.25">
      <c r="B89" s="9">
        <v>44559</v>
      </c>
      <c r="C89" s="7">
        <v>600003925233</v>
      </c>
      <c r="D89" s="5">
        <v>1</v>
      </c>
      <c r="E89" t="s">
        <v>515</v>
      </c>
      <c r="F89" t="s">
        <v>559</v>
      </c>
      <c r="G89" t="s">
        <v>664</v>
      </c>
      <c r="H89" t="s">
        <v>745</v>
      </c>
      <c r="I89" t="s">
        <v>785</v>
      </c>
      <c r="J89" s="27" t="s">
        <v>525</v>
      </c>
      <c r="K89" s="5" t="s">
        <v>122</v>
      </c>
      <c r="L89" s="5" t="s">
        <v>174</v>
      </c>
      <c r="M89" s="5" t="s">
        <v>126</v>
      </c>
      <c r="N89" s="5" t="s">
        <v>138</v>
      </c>
      <c r="O89" s="5" t="s">
        <v>19</v>
      </c>
      <c r="P89" s="9">
        <v>44200</v>
      </c>
      <c r="Q89" s="5" t="s">
        <v>479</v>
      </c>
      <c r="R89" s="5" t="s">
        <v>63</v>
      </c>
      <c r="S89" s="5">
        <v>1</v>
      </c>
      <c r="T89" s="10">
        <v>0.625</v>
      </c>
      <c r="U89" s="10">
        <v>0.66666666666666663</v>
      </c>
      <c r="V89" s="5">
        <v>1</v>
      </c>
      <c r="W89" s="5">
        <v>1</v>
      </c>
      <c r="X89" s="5">
        <f t="shared" si="2"/>
        <v>1</v>
      </c>
      <c r="Y89" s="5" t="str">
        <f t="shared" si="3"/>
        <v>C</v>
      </c>
    </row>
    <row r="90" spans="2:25" x14ac:dyDescent="0.25">
      <c r="B90" s="9">
        <v>44560</v>
      </c>
      <c r="C90" s="7">
        <v>600003925622</v>
      </c>
      <c r="D90" s="5">
        <v>1</v>
      </c>
      <c r="E90" t="s">
        <v>493</v>
      </c>
      <c r="F90" t="s">
        <v>537</v>
      </c>
      <c r="G90" t="s">
        <v>642</v>
      </c>
      <c r="H90" t="s">
        <v>745</v>
      </c>
      <c r="I90" t="s">
        <v>763</v>
      </c>
      <c r="J90" s="27" t="s">
        <v>525</v>
      </c>
      <c r="K90" s="5" t="s">
        <v>15</v>
      </c>
      <c r="L90" s="5" t="s">
        <v>65</v>
      </c>
      <c r="M90" s="5" t="s">
        <v>52</v>
      </c>
      <c r="N90" s="5" t="s">
        <v>53</v>
      </c>
      <c r="O90" s="5" t="s">
        <v>19</v>
      </c>
      <c r="P90" s="9">
        <v>44560</v>
      </c>
      <c r="Q90" s="5" t="s">
        <v>479</v>
      </c>
      <c r="R90" s="5" t="s">
        <v>63</v>
      </c>
      <c r="S90" s="5">
        <v>2</v>
      </c>
      <c r="T90" s="10">
        <v>0.39583333333333331</v>
      </c>
      <c r="U90" s="10">
        <v>0.47916666666666669</v>
      </c>
      <c r="V90" s="5">
        <v>2</v>
      </c>
      <c r="W90" s="5">
        <v>2</v>
      </c>
      <c r="X90" s="5">
        <f t="shared" si="2"/>
        <v>4</v>
      </c>
      <c r="Y90" s="5" t="str">
        <f t="shared" si="3"/>
        <v>C</v>
      </c>
    </row>
    <row r="91" spans="2:25" x14ac:dyDescent="0.25">
      <c r="B91" s="9">
        <v>44564</v>
      </c>
      <c r="C91" s="7">
        <v>600003931225</v>
      </c>
      <c r="D91" s="5">
        <v>1</v>
      </c>
      <c r="E91" t="s">
        <v>864</v>
      </c>
      <c r="F91" t="s">
        <v>571</v>
      </c>
      <c r="G91" t="s">
        <v>676</v>
      </c>
      <c r="H91" t="s">
        <v>745</v>
      </c>
      <c r="I91" t="s">
        <v>797</v>
      </c>
      <c r="J91" s="27" t="s">
        <v>525</v>
      </c>
      <c r="K91" s="5" t="s">
        <v>15</v>
      </c>
      <c r="L91" s="5" t="s">
        <v>126</v>
      </c>
      <c r="M91" s="5" t="s">
        <v>60</v>
      </c>
      <c r="N91" s="5" t="s">
        <v>71</v>
      </c>
      <c r="O91" s="5" t="s">
        <v>19</v>
      </c>
      <c r="P91" s="9">
        <v>44564</v>
      </c>
      <c r="Q91" s="5" t="s">
        <v>479</v>
      </c>
      <c r="R91" s="5" t="s">
        <v>63</v>
      </c>
      <c r="S91" s="5">
        <v>2</v>
      </c>
      <c r="T91" s="10">
        <v>0.27083333333333331</v>
      </c>
      <c r="U91" s="10">
        <v>0.3125</v>
      </c>
      <c r="V91" s="5">
        <v>1</v>
      </c>
      <c r="W91" s="5">
        <v>1</v>
      </c>
      <c r="X91" s="5">
        <f t="shared" si="2"/>
        <v>2</v>
      </c>
      <c r="Y91" s="5" t="str">
        <f t="shared" si="3"/>
        <v>C</v>
      </c>
    </row>
    <row r="92" spans="2:25" x14ac:dyDescent="0.25">
      <c r="B92" s="9">
        <v>44564</v>
      </c>
      <c r="C92" s="7">
        <v>600003931224</v>
      </c>
      <c r="D92" s="5">
        <v>1</v>
      </c>
      <c r="E92" t="s">
        <v>865</v>
      </c>
      <c r="F92" t="s">
        <v>572</v>
      </c>
      <c r="G92" t="s">
        <v>677</v>
      </c>
      <c r="H92" t="s">
        <v>745</v>
      </c>
      <c r="I92" t="s">
        <v>798</v>
      </c>
      <c r="J92" s="27" t="s">
        <v>525</v>
      </c>
      <c r="K92" s="5" t="s">
        <v>168</v>
      </c>
      <c r="L92" s="5" t="s">
        <v>79</v>
      </c>
      <c r="M92" s="5" t="s">
        <v>112</v>
      </c>
      <c r="N92" s="5" t="s">
        <v>110</v>
      </c>
      <c r="O92" s="5" t="s">
        <v>19</v>
      </c>
      <c r="P92" s="9">
        <v>44564</v>
      </c>
      <c r="Q92" s="5" t="s">
        <v>478</v>
      </c>
      <c r="R92" s="5" t="s">
        <v>50</v>
      </c>
      <c r="S92" s="5">
        <v>1</v>
      </c>
      <c r="T92" s="10">
        <v>0.5</v>
      </c>
      <c r="U92" s="10">
        <v>0.58333333333333337</v>
      </c>
      <c r="V92" s="5">
        <v>2</v>
      </c>
      <c r="W92" s="5">
        <v>2</v>
      </c>
      <c r="X92" s="5">
        <f t="shared" si="2"/>
        <v>2</v>
      </c>
      <c r="Y92" s="5" t="str">
        <f t="shared" si="3"/>
        <v>C</v>
      </c>
    </row>
    <row r="93" spans="2:25" x14ac:dyDescent="0.25">
      <c r="B93" s="9">
        <v>44565</v>
      </c>
      <c r="C93" s="7">
        <v>600003931959</v>
      </c>
      <c r="D93" s="5">
        <v>1</v>
      </c>
      <c r="E93" t="s">
        <v>866</v>
      </c>
      <c r="F93" t="s">
        <v>573</v>
      </c>
      <c r="G93" t="s">
        <v>678</v>
      </c>
      <c r="H93" t="s">
        <v>745</v>
      </c>
      <c r="I93" t="s">
        <v>799</v>
      </c>
      <c r="J93" s="27" t="s">
        <v>524</v>
      </c>
      <c r="K93" s="5" t="s">
        <v>15</v>
      </c>
      <c r="L93" s="5" t="s">
        <v>57</v>
      </c>
      <c r="M93" s="5" t="s">
        <v>175</v>
      </c>
      <c r="N93" s="5" t="s">
        <v>120</v>
      </c>
      <c r="O93" s="5" t="s">
        <v>19</v>
      </c>
      <c r="P93" s="9">
        <v>44565</v>
      </c>
      <c r="Q93" s="5" t="s">
        <v>479</v>
      </c>
      <c r="R93" s="5" t="s">
        <v>63</v>
      </c>
      <c r="S93" s="5">
        <v>1</v>
      </c>
      <c r="T93" s="10">
        <v>0.27083333333333331</v>
      </c>
      <c r="U93" s="10">
        <v>0.3125</v>
      </c>
      <c r="V93" s="5">
        <v>1</v>
      </c>
      <c r="W93" s="5">
        <v>1</v>
      </c>
      <c r="X93" s="5">
        <f t="shared" si="2"/>
        <v>1</v>
      </c>
      <c r="Y93" s="5" t="str">
        <f t="shared" si="3"/>
        <v>C</v>
      </c>
    </row>
    <row r="94" spans="2:25" x14ac:dyDescent="0.25">
      <c r="B94" s="9">
        <v>44565</v>
      </c>
      <c r="C94" s="7">
        <v>600003932070</v>
      </c>
      <c r="D94" s="5">
        <v>1</v>
      </c>
      <c r="E94" t="s">
        <v>862</v>
      </c>
      <c r="F94" t="s">
        <v>569</v>
      </c>
      <c r="G94" t="s">
        <v>674</v>
      </c>
      <c r="H94" t="s">
        <v>745</v>
      </c>
      <c r="I94" t="s">
        <v>795</v>
      </c>
      <c r="J94" s="27" t="s">
        <v>525</v>
      </c>
      <c r="K94" s="5" t="s">
        <v>140</v>
      </c>
      <c r="L94" s="5" t="s">
        <v>57</v>
      </c>
      <c r="M94" s="5" t="s">
        <v>36</v>
      </c>
      <c r="N94" s="5" t="s">
        <v>129</v>
      </c>
      <c r="O94" s="5" t="s">
        <v>19</v>
      </c>
      <c r="P94" s="9">
        <v>44565</v>
      </c>
      <c r="Q94" s="5" t="s">
        <v>478</v>
      </c>
      <c r="R94" s="5" t="s">
        <v>50</v>
      </c>
      <c r="S94" s="5">
        <v>1</v>
      </c>
      <c r="T94" s="10">
        <v>0.375</v>
      </c>
      <c r="U94" s="10">
        <v>0.5</v>
      </c>
      <c r="V94" s="5">
        <v>3</v>
      </c>
      <c r="W94" s="5">
        <v>3</v>
      </c>
      <c r="X94" s="5">
        <f t="shared" si="2"/>
        <v>3</v>
      </c>
      <c r="Y94" s="5" t="str">
        <f t="shared" si="3"/>
        <v>B</v>
      </c>
    </row>
    <row r="95" spans="2:25" x14ac:dyDescent="0.25">
      <c r="B95" s="9">
        <v>44566</v>
      </c>
      <c r="C95" s="7">
        <v>600003933115</v>
      </c>
      <c r="D95" s="5">
        <v>1</v>
      </c>
      <c r="E95" t="s">
        <v>501</v>
      </c>
      <c r="F95" t="s">
        <v>545</v>
      </c>
      <c r="G95" t="s">
        <v>650</v>
      </c>
      <c r="H95" t="s">
        <v>740</v>
      </c>
      <c r="I95" t="s">
        <v>771</v>
      </c>
      <c r="J95" s="27" t="s">
        <v>524</v>
      </c>
      <c r="K95" s="5" t="s">
        <v>70</v>
      </c>
      <c r="L95" s="5" t="s">
        <v>89</v>
      </c>
      <c r="M95" s="5" t="s">
        <v>55</v>
      </c>
      <c r="N95" s="5" t="s">
        <v>83</v>
      </c>
      <c r="O95" s="5" t="s">
        <v>19</v>
      </c>
      <c r="P95" s="9">
        <v>44566</v>
      </c>
      <c r="Q95" s="5" t="s">
        <v>480</v>
      </c>
      <c r="R95" s="5" t="s">
        <v>63</v>
      </c>
      <c r="S95" s="5">
        <v>1</v>
      </c>
      <c r="T95" s="10">
        <v>0.39583333333333331</v>
      </c>
      <c r="U95" s="10">
        <v>0.58333333333333337</v>
      </c>
      <c r="V95" s="5">
        <v>2.5</v>
      </c>
      <c r="W95" s="5">
        <v>2.5</v>
      </c>
      <c r="X95" s="5">
        <f t="shared" si="2"/>
        <v>2.5</v>
      </c>
      <c r="Y95" s="5" t="str">
        <f t="shared" si="3"/>
        <v>B</v>
      </c>
    </row>
    <row r="96" spans="2:25" x14ac:dyDescent="0.25">
      <c r="B96" s="9">
        <v>44566</v>
      </c>
      <c r="C96" s="7">
        <v>600003932819</v>
      </c>
      <c r="D96" s="5">
        <v>1</v>
      </c>
      <c r="E96" t="s">
        <v>867</v>
      </c>
      <c r="F96" t="s">
        <v>574</v>
      </c>
      <c r="G96" t="s">
        <v>679</v>
      </c>
      <c r="H96" t="s">
        <v>745</v>
      </c>
      <c r="I96" t="s">
        <v>800</v>
      </c>
      <c r="J96" s="27" t="s">
        <v>525</v>
      </c>
      <c r="K96" s="5" t="s">
        <v>171</v>
      </c>
      <c r="L96" s="5" t="s">
        <v>79</v>
      </c>
      <c r="M96" s="5" t="s">
        <v>128</v>
      </c>
      <c r="N96" s="5" t="s">
        <v>172</v>
      </c>
      <c r="O96" s="5" t="s">
        <v>19</v>
      </c>
      <c r="P96" s="9">
        <v>44597</v>
      </c>
      <c r="Q96" s="5" t="s">
        <v>478</v>
      </c>
      <c r="R96" s="5" t="s">
        <v>50</v>
      </c>
      <c r="S96" s="5">
        <v>1</v>
      </c>
      <c r="T96" s="10">
        <v>0.29166666666666669</v>
      </c>
      <c r="U96" s="10">
        <v>0.33333333333333331</v>
      </c>
      <c r="V96" s="5">
        <v>1</v>
      </c>
      <c r="W96" s="5">
        <v>1</v>
      </c>
      <c r="X96" s="5">
        <v>1</v>
      </c>
      <c r="Y96" s="5" t="str">
        <f t="shared" si="3"/>
        <v>C</v>
      </c>
    </row>
    <row r="97" spans="2:25" x14ac:dyDescent="0.25">
      <c r="B97" s="9">
        <v>44566</v>
      </c>
      <c r="C97" s="7">
        <v>600003932866</v>
      </c>
      <c r="D97" s="5">
        <v>1</v>
      </c>
      <c r="E97" t="s">
        <v>868</v>
      </c>
      <c r="F97" t="s">
        <v>575</v>
      </c>
      <c r="G97" t="s">
        <v>680</v>
      </c>
      <c r="H97" t="s">
        <v>745</v>
      </c>
      <c r="I97" t="s">
        <v>801</v>
      </c>
      <c r="J97" s="27" t="s">
        <v>525</v>
      </c>
      <c r="K97" s="5" t="s">
        <v>15</v>
      </c>
      <c r="L97" s="5" t="s">
        <v>57</v>
      </c>
      <c r="M97" s="5" t="s">
        <v>65</v>
      </c>
      <c r="N97" s="5" t="s">
        <v>177</v>
      </c>
      <c r="O97" s="5" t="s">
        <v>19</v>
      </c>
      <c r="P97" s="9">
        <v>44566</v>
      </c>
      <c r="Q97" s="5" t="s">
        <v>476</v>
      </c>
      <c r="R97" s="5" t="s">
        <v>63</v>
      </c>
      <c r="S97" s="5">
        <v>1</v>
      </c>
      <c r="T97" s="10">
        <v>0.375</v>
      </c>
      <c r="U97" s="10">
        <v>0.41666666666666669</v>
      </c>
      <c r="V97" s="5">
        <v>1</v>
      </c>
      <c r="W97" s="5">
        <v>1</v>
      </c>
      <c r="X97" s="5">
        <f>PRODUCT(S97,V97)</f>
        <v>1</v>
      </c>
      <c r="Y97" s="5" t="str">
        <f t="shared" si="3"/>
        <v>C</v>
      </c>
    </row>
    <row r="98" spans="2:25" x14ac:dyDescent="0.25">
      <c r="B98" s="9">
        <v>44566</v>
      </c>
      <c r="C98" s="7">
        <v>600003932870</v>
      </c>
      <c r="D98" s="5">
        <v>1</v>
      </c>
      <c r="E98" t="s">
        <v>869</v>
      </c>
      <c r="F98" t="s">
        <v>576</v>
      </c>
      <c r="G98" t="s">
        <v>681</v>
      </c>
      <c r="H98" t="s">
        <v>745</v>
      </c>
      <c r="I98" t="s">
        <v>802</v>
      </c>
      <c r="J98" s="27" t="s">
        <v>525</v>
      </c>
      <c r="K98" s="5" t="s">
        <v>15</v>
      </c>
      <c r="L98" s="5" t="s">
        <v>57</v>
      </c>
      <c r="M98" s="5" t="s">
        <v>65</v>
      </c>
      <c r="N98" s="5" t="s">
        <v>177</v>
      </c>
      <c r="O98" s="5" t="s">
        <v>19</v>
      </c>
      <c r="P98" s="9">
        <v>44566</v>
      </c>
      <c r="Q98" s="5" t="s">
        <v>476</v>
      </c>
      <c r="R98" s="5" t="s">
        <v>63</v>
      </c>
      <c r="S98" s="5">
        <v>1</v>
      </c>
      <c r="T98" s="10">
        <v>0.41666666666666669</v>
      </c>
      <c r="U98" s="10">
        <v>0.45833333333333331</v>
      </c>
      <c r="V98" s="5">
        <v>1</v>
      </c>
      <c r="W98" s="5">
        <v>1</v>
      </c>
      <c r="X98" s="5">
        <f>PRODUCT(S98,V98)</f>
        <v>1</v>
      </c>
      <c r="Y98" s="5" t="str">
        <f t="shared" si="3"/>
        <v>C</v>
      </c>
    </row>
    <row r="99" spans="2:25" x14ac:dyDescent="0.25">
      <c r="B99" s="9">
        <v>44566</v>
      </c>
      <c r="C99" s="7">
        <v>600003932820</v>
      </c>
      <c r="D99" s="5">
        <v>1</v>
      </c>
      <c r="E99" t="s">
        <v>504</v>
      </c>
      <c r="F99" t="s">
        <v>548</v>
      </c>
      <c r="G99" t="s">
        <v>653</v>
      </c>
      <c r="H99" t="s">
        <v>745</v>
      </c>
      <c r="I99" t="s">
        <v>774</v>
      </c>
      <c r="J99" s="27" t="s">
        <v>525</v>
      </c>
      <c r="K99" s="5" t="s">
        <v>15</v>
      </c>
      <c r="L99" s="5" t="s">
        <v>65</v>
      </c>
      <c r="M99" s="5" t="s">
        <v>62</v>
      </c>
      <c r="N99" s="5" t="s">
        <v>134</v>
      </c>
      <c r="O99" s="5" t="s">
        <v>19</v>
      </c>
      <c r="P99" s="9">
        <v>44566</v>
      </c>
      <c r="Q99" s="5" t="s">
        <v>473</v>
      </c>
      <c r="R99" s="5" t="s">
        <v>50</v>
      </c>
      <c r="S99" s="5">
        <v>2</v>
      </c>
      <c r="T99" s="10">
        <v>0.375</v>
      </c>
      <c r="U99" s="10">
        <v>0.625</v>
      </c>
      <c r="V99" s="5">
        <v>6</v>
      </c>
      <c r="W99" s="5">
        <v>6</v>
      </c>
      <c r="X99" s="5">
        <f>PRODUCT(S99,V99)</f>
        <v>12</v>
      </c>
      <c r="Y99" s="5" t="str">
        <f t="shared" si="3"/>
        <v>B</v>
      </c>
    </row>
    <row r="100" spans="2:25" x14ac:dyDescent="0.25">
      <c r="B100" s="9">
        <v>44567</v>
      </c>
      <c r="C100" s="7">
        <v>600003933807</v>
      </c>
      <c r="D100" s="5">
        <v>1</v>
      </c>
      <c r="E100" t="s">
        <v>507</v>
      </c>
      <c r="F100" t="s">
        <v>551</v>
      </c>
      <c r="G100" t="s">
        <v>656</v>
      </c>
      <c r="H100" t="s">
        <v>745</v>
      </c>
      <c r="I100" t="s">
        <v>777</v>
      </c>
      <c r="J100" s="27" t="s">
        <v>525</v>
      </c>
      <c r="K100" s="5" t="s">
        <v>15</v>
      </c>
      <c r="L100" s="5" t="s">
        <v>57</v>
      </c>
      <c r="M100" s="5" t="s">
        <v>126</v>
      </c>
      <c r="N100" s="5" t="s">
        <v>45</v>
      </c>
      <c r="O100" s="5" t="s">
        <v>19</v>
      </c>
      <c r="P100" s="9">
        <v>44593</v>
      </c>
      <c r="Q100" s="5" t="s">
        <v>476</v>
      </c>
      <c r="R100" s="5" t="s">
        <v>63</v>
      </c>
      <c r="S100" s="5">
        <v>1</v>
      </c>
      <c r="T100" s="10">
        <v>0.29166666666666669</v>
      </c>
      <c r="U100" s="10">
        <v>0.33333333333333331</v>
      </c>
      <c r="V100" s="5">
        <v>1</v>
      </c>
      <c r="W100" s="5">
        <v>1</v>
      </c>
      <c r="X100" s="5">
        <v>1</v>
      </c>
      <c r="Y100" s="5" t="s">
        <v>46</v>
      </c>
    </row>
    <row r="101" spans="2:25" x14ac:dyDescent="0.25">
      <c r="B101" s="9">
        <v>44567</v>
      </c>
      <c r="C101" s="7">
        <v>600003933697</v>
      </c>
      <c r="D101" s="5">
        <v>1</v>
      </c>
      <c r="E101" t="s">
        <v>870</v>
      </c>
      <c r="F101" t="s">
        <v>577</v>
      </c>
      <c r="G101" t="s">
        <v>682</v>
      </c>
      <c r="H101" t="s">
        <v>748</v>
      </c>
      <c r="I101" t="s">
        <v>803</v>
      </c>
      <c r="J101" s="27" t="s">
        <v>525</v>
      </c>
      <c r="K101" s="5" t="s">
        <v>51</v>
      </c>
      <c r="L101" s="5" t="s">
        <v>36</v>
      </c>
      <c r="M101" s="5" t="s">
        <v>149</v>
      </c>
      <c r="N101" s="5" t="s">
        <v>96</v>
      </c>
      <c r="O101" s="5" t="s">
        <v>19</v>
      </c>
      <c r="P101" s="9">
        <v>44607</v>
      </c>
      <c r="Q101" s="5" t="s">
        <v>477</v>
      </c>
      <c r="R101" s="5" t="s">
        <v>63</v>
      </c>
      <c r="S101" s="5">
        <v>3</v>
      </c>
      <c r="T101" s="10">
        <v>0.29166666666666669</v>
      </c>
      <c r="U101" s="10">
        <v>0.66666666666666663</v>
      </c>
      <c r="V101" s="5">
        <v>9</v>
      </c>
      <c r="W101" s="5">
        <v>9</v>
      </c>
      <c r="X101" s="5">
        <f>PRODUCT(S101,V101)</f>
        <v>27</v>
      </c>
      <c r="Y101" s="5" t="str">
        <f>IF(W101=0,"D",IF(W101&lt;=2,"C",IF(W101&lt;=8,"B",IF(W101&gt;8,"A"))))</f>
        <v>A</v>
      </c>
    </row>
    <row r="102" spans="2:25" x14ac:dyDescent="0.25">
      <c r="B102" s="9">
        <v>44567</v>
      </c>
      <c r="C102" s="7">
        <v>600003933809</v>
      </c>
      <c r="D102" s="5">
        <v>1</v>
      </c>
      <c r="E102" t="s">
        <v>523</v>
      </c>
      <c r="F102" t="s">
        <v>567</v>
      </c>
      <c r="G102" t="s">
        <v>672</v>
      </c>
      <c r="H102" t="s">
        <v>744</v>
      </c>
      <c r="I102" t="s">
        <v>793</v>
      </c>
      <c r="J102" s="27" t="s">
        <v>524</v>
      </c>
      <c r="K102" s="5" t="s">
        <v>123</v>
      </c>
      <c r="L102" s="5" t="s">
        <v>57</v>
      </c>
      <c r="M102" s="5" t="s">
        <v>128</v>
      </c>
      <c r="N102" s="5" t="s">
        <v>172</v>
      </c>
      <c r="O102" s="5" t="s">
        <v>19</v>
      </c>
      <c r="P102" s="9">
        <v>44567</v>
      </c>
      <c r="Q102" s="5" t="s">
        <v>473</v>
      </c>
      <c r="R102" s="5" t="s">
        <v>50</v>
      </c>
      <c r="S102" s="5">
        <v>1</v>
      </c>
      <c r="T102" s="10">
        <v>0.29166666666666669</v>
      </c>
      <c r="U102" s="10">
        <v>0.45833333333333331</v>
      </c>
      <c r="V102" s="5">
        <v>4</v>
      </c>
      <c r="W102" s="5">
        <v>4</v>
      </c>
      <c r="X102" s="5">
        <f>PRODUCT(S102,V102)</f>
        <v>4</v>
      </c>
      <c r="Y102" s="5" t="str">
        <f>IF(W102=0,"D",IF(W102&lt;=2,"C",IF(W102&lt;=8,"B",IF(W102&gt;8,"A"))))</f>
        <v>B</v>
      </c>
    </row>
    <row r="103" spans="2:25" x14ac:dyDescent="0.25">
      <c r="B103" s="9">
        <v>44568</v>
      </c>
      <c r="C103" s="7">
        <v>600003934195</v>
      </c>
      <c r="D103" s="5">
        <v>1</v>
      </c>
      <c r="E103" t="s">
        <v>864</v>
      </c>
      <c r="F103" t="s">
        <v>571</v>
      </c>
      <c r="G103" t="s">
        <v>676</v>
      </c>
      <c r="H103" t="s">
        <v>745</v>
      </c>
      <c r="I103" t="s">
        <v>797</v>
      </c>
      <c r="J103" s="27" t="s">
        <v>525</v>
      </c>
      <c r="K103" s="5" t="s">
        <v>15</v>
      </c>
      <c r="L103" s="5" t="s">
        <v>65</v>
      </c>
      <c r="M103" s="5" t="s">
        <v>52</v>
      </c>
      <c r="N103" s="5" t="s">
        <v>53</v>
      </c>
      <c r="O103" s="5" t="s">
        <v>19</v>
      </c>
      <c r="P103" s="9">
        <v>44568</v>
      </c>
      <c r="Q103" s="5" t="s">
        <v>478</v>
      </c>
      <c r="R103" s="5" t="s">
        <v>63</v>
      </c>
      <c r="S103" s="5">
        <v>1</v>
      </c>
      <c r="T103" s="10">
        <v>0.39583333333333331</v>
      </c>
      <c r="U103" s="10">
        <v>0.625</v>
      </c>
      <c r="V103" s="5">
        <v>5.5</v>
      </c>
      <c r="W103" s="5">
        <v>5.5</v>
      </c>
      <c r="X103" s="5">
        <v>5.5</v>
      </c>
      <c r="Y103" s="5" t="s">
        <v>98</v>
      </c>
    </row>
    <row r="104" spans="2:25" x14ac:dyDescent="0.25">
      <c r="B104" s="9">
        <v>44568</v>
      </c>
      <c r="C104" s="7">
        <v>600003934197</v>
      </c>
      <c r="D104" s="5">
        <v>1</v>
      </c>
      <c r="E104" t="s">
        <v>505</v>
      </c>
      <c r="F104" t="s">
        <v>549</v>
      </c>
      <c r="G104" t="s">
        <v>654</v>
      </c>
      <c r="H104" t="s">
        <v>745</v>
      </c>
      <c r="I104" t="s">
        <v>775</v>
      </c>
      <c r="J104" s="27" t="s">
        <v>525</v>
      </c>
      <c r="K104" s="5" t="s">
        <v>15</v>
      </c>
      <c r="L104" s="5" t="s">
        <v>57</v>
      </c>
      <c r="M104" s="5" t="s">
        <v>137</v>
      </c>
      <c r="N104" s="5" t="s">
        <v>117</v>
      </c>
      <c r="O104" s="5" t="s">
        <v>19</v>
      </c>
      <c r="P104" s="9">
        <v>44568</v>
      </c>
      <c r="Q104" s="5" t="s">
        <v>476</v>
      </c>
      <c r="R104" s="5" t="s">
        <v>63</v>
      </c>
      <c r="S104" s="5">
        <v>2</v>
      </c>
      <c r="T104" s="10">
        <v>0.29166666666666669</v>
      </c>
      <c r="U104" s="10">
        <v>0.35416666666666669</v>
      </c>
      <c r="V104" s="5">
        <v>1.5</v>
      </c>
      <c r="W104" s="5">
        <v>1.5</v>
      </c>
      <c r="X104" s="5">
        <f>PRODUCT(S104,V104)</f>
        <v>3</v>
      </c>
      <c r="Y104" s="5" t="str">
        <f>IF(W104=0,"D",IF(W104&lt;=2,"C",IF(W104&lt;=8,"B",IF(W104&gt;8,"A"))))</f>
        <v>C</v>
      </c>
    </row>
    <row r="105" spans="2:25" x14ac:dyDescent="0.25">
      <c r="B105" s="9">
        <v>44571</v>
      </c>
      <c r="C105" s="7">
        <v>600003935368</v>
      </c>
      <c r="D105" s="5">
        <v>1</v>
      </c>
      <c r="E105" t="s">
        <v>871</v>
      </c>
      <c r="F105" t="s">
        <v>578</v>
      </c>
      <c r="G105" t="s">
        <v>683</v>
      </c>
      <c r="H105" t="s">
        <v>744</v>
      </c>
      <c r="I105" t="s">
        <v>804</v>
      </c>
      <c r="J105" s="27" t="s">
        <v>524</v>
      </c>
      <c r="K105" s="5" t="s">
        <v>64</v>
      </c>
      <c r="L105" s="5" t="s">
        <v>79</v>
      </c>
      <c r="M105" s="5" t="s">
        <v>80</v>
      </c>
      <c r="N105" s="5" t="s">
        <v>152</v>
      </c>
      <c r="O105" s="5" t="s">
        <v>19</v>
      </c>
      <c r="P105" s="9">
        <v>44571</v>
      </c>
      <c r="Q105" s="5" t="s">
        <v>473</v>
      </c>
      <c r="R105" s="5" t="s">
        <v>50</v>
      </c>
      <c r="S105" s="5">
        <v>1</v>
      </c>
      <c r="T105" s="10">
        <v>0.41666666666666669</v>
      </c>
      <c r="U105" s="10">
        <v>0.45833333333333331</v>
      </c>
      <c r="V105" s="5">
        <v>1</v>
      </c>
      <c r="W105" s="5">
        <v>1</v>
      </c>
      <c r="X105" s="5">
        <f>PRODUCT(S105,V105)</f>
        <v>1</v>
      </c>
      <c r="Y105" s="5" t="str">
        <f>IF(W105=0,"D",IF(W105&lt;=2,"C",IF(W105&lt;=8,"B",IF(W105&gt;8,"A"))))</f>
        <v>C</v>
      </c>
    </row>
    <row r="106" spans="2:25" x14ac:dyDescent="0.25">
      <c r="B106" s="9">
        <v>44571</v>
      </c>
      <c r="C106" s="7">
        <v>600003935373</v>
      </c>
      <c r="D106" s="5">
        <v>1</v>
      </c>
      <c r="E106" t="s">
        <v>872</v>
      </c>
      <c r="F106" t="s">
        <v>579</v>
      </c>
      <c r="G106" t="s">
        <v>684</v>
      </c>
      <c r="H106" t="s">
        <v>746</v>
      </c>
      <c r="I106" t="s">
        <v>805</v>
      </c>
      <c r="J106" s="26" t="s">
        <v>525</v>
      </c>
      <c r="K106" s="5" t="s">
        <v>76</v>
      </c>
      <c r="L106" s="5" t="s">
        <v>57</v>
      </c>
      <c r="M106" s="5" t="s">
        <v>135</v>
      </c>
      <c r="N106" s="5" t="s">
        <v>134</v>
      </c>
      <c r="O106" s="5" t="s">
        <v>19</v>
      </c>
      <c r="P106" s="9">
        <v>44571</v>
      </c>
      <c r="Q106" s="5" t="s">
        <v>476</v>
      </c>
      <c r="R106" s="5" t="s">
        <v>63</v>
      </c>
      <c r="S106" s="5">
        <v>2</v>
      </c>
      <c r="T106" s="10">
        <v>0.4375</v>
      </c>
      <c r="U106" s="10">
        <v>0.47916666666666669</v>
      </c>
      <c r="V106" s="5">
        <v>1</v>
      </c>
      <c r="W106" s="5">
        <v>1</v>
      </c>
      <c r="X106" s="5">
        <f>PRODUCT(S106,V106)</f>
        <v>2</v>
      </c>
      <c r="Y106" s="5" t="str">
        <f>IF(W106=0,"D",IF(W106&lt;=2,"C",IF(W106&lt;=8,"B",IF(W106&gt;8,"A"))))</f>
        <v>C</v>
      </c>
    </row>
    <row r="107" spans="2:25" x14ac:dyDescent="0.25">
      <c r="B107" s="9">
        <v>44571</v>
      </c>
      <c r="C107" s="7">
        <v>600003935434</v>
      </c>
      <c r="D107" s="5">
        <v>1</v>
      </c>
      <c r="E107" t="s">
        <v>873</v>
      </c>
      <c r="F107" t="s">
        <v>580</v>
      </c>
      <c r="G107" t="s">
        <v>685</v>
      </c>
      <c r="H107" t="s">
        <v>744</v>
      </c>
      <c r="I107" t="s">
        <v>806</v>
      </c>
      <c r="J107" s="27" t="s">
        <v>524</v>
      </c>
      <c r="K107" s="5" t="s">
        <v>64</v>
      </c>
      <c r="L107" s="5" t="s">
        <v>57</v>
      </c>
      <c r="M107" s="5" t="s">
        <v>36</v>
      </c>
      <c r="N107" s="5" t="s">
        <v>230</v>
      </c>
      <c r="O107" s="5" t="s">
        <v>19</v>
      </c>
      <c r="P107" s="9">
        <v>44672</v>
      </c>
      <c r="Q107" s="5" t="s">
        <v>473</v>
      </c>
      <c r="R107" s="5" t="s">
        <v>63</v>
      </c>
      <c r="S107" s="5">
        <v>1</v>
      </c>
      <c r="T107" s="10">
        <v>0.375</v>
      </c>
      <c r="U107" s="10">
        <v>0.54166666666666663</v>
      </c>
      <c r="V107" s="5">
        <v>4</v>
      </c>
      <c r="W107" s="5">
        <v>4</v>
      </c>
      <c r="X107" s="5">
        <f>PRODUCT(S107,V107)</f>
        <v>4</v>
      </c>
      <c r="Y107" s="5" t="str">
        <f>IF(W107=0,"D",IF(W107&lt;=2,"C",IF(W107&lt;=8,"B",IF(W107&gt;8,"A"))))</f>
        <v>B</v>
      </c>
    </row>
    <row r="108" spans="2:25" x14ac:dyDescent="0.25">
      <c r="B108" s="9">
        <v>44572</v>
      </c>
      <c r="C108" s="7">
        <v>600003935905</v>
      </c>
      <c r="D108" s="4">
        <v>1</v>
      </c>
      <c r="E108" t="s">
        <v>494</v>
      </c>
      <c r="F108" t="s">
        <v>538</v>
      </c>
      <c r="G108" t="s">
        <v>643</v>
      </c>
      <c r="H108" t="s">
        <v>745</v>
      </c>
      <c r="I108" t="s">
        <v>764</v>
      </c>
      <c r="J108" s="29" t="s">
        <v>525</v>
      </c>
      <c r="K108" s="4" t="s">
        <v>15</v>
      </c>
      <c r="L108" s="5" t="s">
        <v>89</v>
      </c>
      <c r="M108" s="5" t="s">
        <v>67</v>
      </c>
      <c r="N108" s="5" t="s">
        <v>120</v>
      </c>
      <c r="O108" s="5" t="s">
        <v>19</v>
      </c>
      <c r="P108" s="9">
        <v>44573</v>
      </c>
      <c r="Q108" s="5" t="s">
        <v>476</v>
      </c>
      <c r="R108" s="5" t="s">
        <v>63</v>
      </c>
      <c r="S108" s="5">
        <v>1</v>
      </c>
      <c r="T108" s="10">
        <v>0.625</v>
      </c>
      <c r="U108" s="10">
        <v>0.66666666666666663</v>
      </c>
      <c r="V108" s="5">
        <v>1</v>
      </c>
      <c r="W108" s="5">
        <v>1</v>
      </c>
      <c r="X108" s="5">
        <v>1</v>
      </c>
      <c r="Y108" s="5" t="s">
        <v>46</v>
      </c>
    </row>
    <row r="109" spans="2:25" x14ac:dyDescent="0.25">
      <c r="B109" s="9">
        <v>44572</v>
      </c>
      <c r="C109" s="7">
        <v>600003935897</v>
      </c>
      <c r="D109" s="5">
        <v>1</v>
      </c>
      <c r="E109" t="s">
        <v>493</v>
      </c>
      <c r="F109" t="s">
        <v>537</v>
      </c>
      <c r="G109" t="s">
        <v>642</v>
      </c>
      <c r="H109" t="s">
        <v>745</v>
      </c>
      <c r="I109" t="s">
        <v>763</v>
      </c>
      <c r="J109" s="27" t="s">
        <v>525</v>
      </c>
      <c r="K109" s="5" t="s">
        <v>15</v>
      </c>
      <c r="L109" s="5" t="s">
        <v>89</v>
      </c>
      <c r="M109" s="5" t="s">
        <v>62</v>
      </c>
      <c r="N109" s="5" t="s">
        <v>18</v>
      </c>
      <c r="O109" s="5" t="s">
        <v>19</v>
      </c>
      <c r="P109" s="9">
        <v>44572</v>
      </c>
      <c r="Q109" s="10" t="s">
        <v>476</v>
      </c>
      <c r="R109" s="5" t="s">
        <v>63</v>
      </c>
      <c r="S109" s="5">
        <v>2</v>
      </c>
      <c r="T109" s="10">
        <v>0.375</v>
      </c>
      <c r="U109" s="10">
        <v>0.4375</v>
      </c>
      <c r="V109" s="5">
        <v>1.5</v>
      </c>
      <c r="W109" s="5">
        <v>1.5</v>
      </c>
      <c r="X109" s="5">
        <f t="shared" ref="X109:X127" si="4">PRODUCT(S109,V109)</f>
        <v>3</v>
      </c>
      <c r="Y109" s="5" t="str">
        <f t="shared" ref="Y109:Y127" si="5">IF(W109=0,"D",IF(W109&lt;=2,"C",IF(W109&lt;=8,"B",IF(W109&gt;8,"A"))))</f>
        <v>C</v>
      </c>
    </row>
    <row r="110" spans="2:25" x14ac:dyDescent="0.25">
      <c r="B110" s="9">
        <v>44572</v>
      </c>
      <c r="C110" s="7">
        <v>600003935909</v>
      </c>
      <c r="D110" s="4">
        <v>1</v>
      </c>
      <c r="E110" t="s">
        <v>496</v>
      </c>
      <c r="F110" t="s">
        <v>540</v>
      </c>
      <c r="G110" t="s">
        <v>645</v>
      </c>
      <c r="H110" t="s">
        <v>745</v>
      </c>
      <c r="I110" t="s">
        <v>766</v>
      </c>
      <c r="J110" s="29" t="s">
        <v>525</v>
      </c>
      <c r="K110" s="5" t="s">
        <v>15</v>
      </c>
      <c r="L110" s="5" t="s">
        <v>57</v>
      </c>
      <c r="M110" s="5" t="s">
        <v>71</v>
      </c>
      <c r="N110" s="5" t="s">
        <v>194</v>
      </c>
      <c r="O110" s="5" t="s">
        <v>19</v>
      </c>
      <c r="P110" s="9">
        <v>44572</v>
      </c>
      <c r="Q110" s="5" t="s">
        <v>476</v>
      </c>
      <c r="R110" s="5" t="s">
        <v>63</v>
      </c>
      <c r="S110" s="5">
        <v>2</v>
      </c>
      <c r="T110" s="10">
        <v>0.54166666666666663</v>
      </c>
      <c r="U110" s="10">
        <v>0.60416666666666663</v>
      </c>
      <c r="V110" s="5">
        <v>1.5</v>
      </c>
      <c r="W110" s="5">
        <v>1.5</v>
      </c>
      <c r="X110" s="5">
        <f t="shared" si="4"/>
        <v>3</v>
      </c>
      <c r="Y110" s="5" t="str">
        <f t="shared" si="5"/>
        <v>C</v>
      </c>
    </row>
    <row r="111" spans="2:25" x14ac:dyDescent="0.25">
      <c r="B111" s="9">
        <v>44572</v>
      </c>
      <c r="C111" s="7">
        <v>600003935890</v>
      </c>
      <c r="D111" s="5">
        <v>1</v>
      </c>
      <c r="E111" t="s">
        <v>512</v>
      </c>
      <c r="F111" t="s">
        <v>556</v>
      </c>
      <c r="G111" t="s">
        <v>661</v>
      </c>
      <c r="H111" t="s">
        <v>745</v>
      </c>
      <c r="I111" t="s">
        <v>782</v>
      </c>
      <c r="J111" s="27" t="s">
        <v>525</v>
      </c>
      <c r="K111" s="5" t="s">
        <v>88</v>
      </c>
      <c r="L111" s="5" t="s">
        <v>89</v>
      </c>
      <c r="M111" s="5" t="s">
        <v>65</v>
      </c>
      <c r="N111" s="5" t="s">
        <v>67</v>
      </c>
      <c r="O111" s="5" t="s">
        <v>19</v>
      </c>
      <c r="P111" s="9">
        <v>44572</v>
      </c>
      <c r="Q111" s="5" t="s">
        <v>476</v>
      </c>
      <c r="R111" s="5" t="s">
        <v>63</v>
      </c>
      <c r="S111" s="5">
        <v>2</v>
      </c>
      <c r="T111" s="10">
        <v>0.29166666666666669</v>
      </c>
      <c r="U111" s="10">
        <v>0.33333333333333331</v>
      </c>
      <c r="V111" s="5">
        <v>1</v>
      </c>
      <c r="W111" s="5">
        <v>1</v>
      </c>
      <c r="X111" s="5">
        <f t="shared" si="4"/>
        <v>2</v>
      </c>
      <c r="Y111" s="5" t="str">
        <f t="shared" si="5"/>
        <v>C</v>
      </c>
    </row>
    <row r="112" spans="2:25" x14ac:dyDescent="0.25">
      <c r="B112" s="9">
        <v>44573</v>
      </c>
      <c r="C112" s="7">
        <v>600003936769</v>
      </c>
      <c r="D112" s="5">
        <v>1</v>
      </c>
      <c r="E112" t="s">
        <v>874</v>
      </c>
      <c r="F112" t="s">
        <v>572</v>
      </c>
      <c r="G112" t="s">
        <v>686</v>
      </c>
      <c r="H112" t="s">
        <v>745</v>
      </c>
      <c r="I112" t="s">
        <v>807</v>
      </c>
      <c r="J112" s="27" t="s">
        <v>525</v>
      </c>
      <c r="K112" s="5" t="s">
        <v>168</v>
      </c>
      <c r="L112" s="5" t="s">
        <v>71</v>
      </c>
      <c r="M112" s="5" t="s">
        <v>169</v>
      </c>
      <c r="N112" s="5" t="s">
        <v>170</v>
      </c>
      <c r="O112" s="5" t="s">
        <v>19</v>
      </c>
      <c r="P112" s="9">
        <v>44574</v>
      </c>
      <c r="Q112" s="5" t="s">
        <v>476</v>
      </c>
      <c r="R112" s="5" t="s">
        <v>63</v>
      </c>
      <c r="S112" s="5">
        <v>2</v>
      </c>
      <c r="T112" s="10">
        <v>0.375</v>
      </c>
      <c r="U112" s="10">
        <v>0.4375</v>
      </c>
      <c r="V112" s="5">
        <v>1.5</v>
      </c>
      <c r="W112" s="5">
        <v>1.5</v>
      </c>
      <c r="X112" s="5">
        <f t="shared" si="4"/>
        <v>3</v>
      </c>
      <c r="Y112" s="5" t="str">
        <f t="shared" si="5"/>
        <v>C</v>
      </c>
    </row>
    <row r="113" spans="2:25" x14ac:dyDescent="0.25">
      <c r="B113" s="9">
        <v>44573</v>
      </c>
      <c r="C113" s="7">
        <v>600003936733</v>
      </c>
      <c r="D113" s="5">
        <v>1</v>
      </c>
      <c r="E113" t="s">
        <v>489</v>
      </c>
      <c r="F113" t="s">
        <v>533</v>
      </c>
      <c r="G113" t="s">
        <v>638</v>
      </c>
      <c r="H113" t="s">
        <v>745</v>
      </c>
      <c r="I113" t="s">
        <v>759</v>
      </c>
      <c r="J113" s="27" t="s">
        <v>525</v>
      </c>
      <c r="K113" s="5" t="s">
        <v>15</v>
      </c>
      <c r="L113" s="5" t="s">
        <v>16</v>
      </c>
      <c r="M113" s="5" t="s">
        <v>137</v>
      </c>
      <c r="N113" s="5" t="s">
        <v>67</v>
      </c>
      <c r="O113" s="5" t="s">
        <v>19</v>
      </c>
      <c r="P113" s="9">
        <v>44573</v>
      </c>
      <c r="Q113" s="5" t="s">
        <v>476</v>
      </c>
      <c r="R113" s="5" t="s">
        <v>63</v>
      </c>
      <c r="S113" s="5">
        <v>2</v>
      </c>
      <c r="T113" s="10">
        <v>0.29166666666666669</v>
      </c>
      <c r="U113" s="10">
        <v>0.33333333333333331</v>
      </c>
      <c r="V113" s="5">
        <v>1</v>
      </c>
      <c r="W113" s="5">
        <v>1</v>
      </c>
      <c r="X113" s="5">
        <f t="shared" si="4"/>
        <v>2</v>
      </c>
      <c r="Y113" s="5" t="str">
        <f t="shared" si="5"/>
        <v>C</v>
      </c>
    </row>
    <row r="114" spans="2:25" x14ac:dyDescent="0.25">
      <c r="B114" s="9">
        <v>44574</v>
      </c>
      <c r="C114" s="7">
        <v>600003937218</v>
      </c>
      <c r="D114" s="5">
        <v>1</v>
      </c>
      <c r="E114" t="s">
        <v>875</v>
      </c>
      <c r="F114" t="s">
        <v>581</v>
      </c>
      <c r="G114" t="s">
        <v>687</v>
      </c>
      <c r="H114" t="s">
        <v>745</v>
      </c>
      <c r="I114" t="s">
        <v>808</v>
      </c>
      <c r="J114" s="27" t="s">
        <v>525</v>
      </c>
      <c r="K114" s="5" t="s">
        <v>15</v>
      </c>
      <c r="L114" s="5" t="s">
        <v>79</v>
      </c>
      <c r="M114" s="5" t="s">
        <v>80</v>
      </c>
      <c r="N114" s="5" t="s">
        <v>110</v>
      </c>
      <c r="O114" s="5" t="s">
        <v>19</v>
      </c>
      <c r="P114" s="9">
        <v>44575</v>
      </c>
      <c r="Q114" s="5" t="s">
        <v>479</v>
      </c>
      <c r="R114" s="5" t="s">
        <v>50</v>
      </c>
      <c r="S114" s="5">
        <v>2</v>
      </c>
      <c r="T114" s="10">
        <v>0.27083333333333331</v>
      </c>
      <c r="U114" s="10">
        <v>0.3125</v>
      </c>
      <c r="V114" s="5">
        <v>1</v>
      </c>
      <c r="W114" s="5">
        <v>1</v>
      </c>
      <c r="X114" s="5">
        <f t="shared" si="4"/>
        <v>2</v>
      </c>
      <c r="Y114" s="5" t="str">
        <f t="shared" si="5"/>
        <v>C</v>
      </c>
    </row>
    <row r="115" spans="2:25" x14ac:dyDescent="0.25">
      <c r="B115" s="9">
        <v>44574</v>
      </c>
      <c r="C115" s="7">
        <v>600003937211</v>
      </c>
      <c r="D115" s="5">
        <v>1</v>
      </c>
      <c r="E115" t="s">
        <v>512</v>
      </c>
      <c r="F115" t="s">
        <v>556</v>
      </c>
      <c r="G115" t="s">
        <v>661</v>
      </c>
      <c r="H115" t="s">
        <v>745</v>
      </c>
      <c r="I115" t="s">
        <v>782</v>
      </c>
      <c r="J115" s="27" t="s">
        <v>525</v>
      </c>
      <c r="K115" s="5" t="s">
        <v>88</v>
      </c>
      <c r="L115" s="5" t="s">
        <v>57</v>
      </c>
      <c r="M115" s="5" t="s">
        <v>36</v>
      </c>
      <c r="N115" s="5" t="s">
        <v>130</v>
      </c>
      <c r="O115" s="5" t="s">
        <v>19</v>
      </c>
      <c r="P115" s="9">
        <v>44574</v>
      </c>
      <c r="Q115" s="5" t="s">
        <v>479</v>
      </c>
      <c r="R115" s="5" t="s">
        <v>63</v>
      </c>
      <c r="S115" s="5">
        <v>2</v>
      </c>
      <c r="T115" s="10">
        <v>0.27083333333333331</v>
      </c>
      <c r="U115" s="10">
        <v>0.375</v>
      </c>
      <c r="V115" s="5">
        <v>2.5</v>
      </c>
      <c r="W115" s="5">
        <v>2.5</v>
      </c>
      <c r="X115" s="5">
        <f t="shared" si="4"/>
        <v>5</v>
      </c>
      <c r="Y115" s="5" t="str">
        <f t="shared" si="5"/>
        <v>B</v>
      </c>
    </row>
    <row r="116" spans="2:25" x14ac:dyDescent="0.25">
      <c r="B116" s="9">
        <v>44574</v>
      </c>
      <c r="C116" s="7">
        <v>600003937221</v>
      </c>
      <c r="D116" s="5">
        <v>1</v>
      </c>
      <c r="E116" t="s">
        <v>505</v>
      </c>
      <c r="F116" t="s">
        <v>549</v>
      </c>
      <c r="G116" t="s">
        <v>654</v>
      </c>
      <c r="H116" t="s">
        <v>745</v>
      </c>
      <c r="I116" t="s">
        <v>775</v>
      </c>
      <c r="J116" s="27" t="s">
        <v>525</v>
      </c>
      <c r="K116" s="5" t="s">
        <v>15</v>
      </c>
      <c r="L116" s="5" t="s">
        <v>16</v>
      </c>
      <c r="M116" s="5" t="s">
        <v>137</v>
      </c>
      <c r="N116" s="5" t="s">
        <v>53</v>
      </c>
      <c r="O116" s="5" t="s">
        <v>19</v>
      </c>
      <c r="P116" s="9">
        <v>44574</v>
      </c>
      <c r="Q116" s="5" t="s">
        <v>476</v>
      </c>
      <c r="R116" s="5" t="s">
        <v>63</v>
      </c>
      <c r="S116" s="5">
        <v>3</v>
      </c>
      <c r="T116" s="10">
        <v>0.4375</v>
      </c>
      <c r="U116" s="10">
        <v>0.47916666666666669</v>
      </c>
      <c r="V116" s="5">
        <v>1</v>
      </c>
      <c r="W116" s="5">
        <v>1</v>
      </c>
      <c r="X116" s="5">
        <f t="shared" si="4"/>
        <v>3</v>
      </c>
      <c r="Y116" s="5" t="str">
        <f t="shared" si="5"/>
        <v>C</v>
      </c>
    </row>
    <row r="117" spans="2:25" x14ac:dyDescent="0.25">
      <c r="B117" s="11">
        <v>44578</v>
      </c>
      <c r="C117" s="7">
        <v>600003939009</v>
      </c>
      <c r="D117" s="5">
        <v>1</v>
      </c>
      <c r="E117" t="s">
        <v>864</v>
      </c>
      <c r="F117" t="s">
        <v>571</v>
      </c>
      <c r="G117" t="s">
        <v>676</v>
      </c>
      <c r="H117" t="s">
        <v>745</v>
      </c>
      <c r="I117" t="s">
        <v>797</v>
      </c>
      <c r="J117" s="27" t="s">
        <v>525</v>
      </c>
      <c r="K117" s="5" t="s">
        <v>15</v>
      </c>
      <c r="L117" s="1" t="s">
        <v>79</v>
      </c>
      <c r="M117" s="1" t="s">
        <v>114</v>
      </c>
      <c r="N117" s="1" t="s">
        <v>134</v>
      </c>
      <c r="O117" s="1" t="s">
        <v>19</v>
      </c>
      <c r="P117" s="9">
        <v>44582</v>
      </c>
      <c r="Q117" s="1" t="s">
        <v>478</v>
      </c>
      <c r="R117" s="1" t="s">
        <v>50</v>
      </c>
      <c r="S117" s="1">
        <v>1</v>
      </c>
      <c r="T117" s="12">
        <v>0.58333333333333337</v>
      </c>
      <c r="U117" s="12">
        <v>0.625</v>
      </c>
      <c r="V117" s="1">
        <v>1</v>
      </c>
      <c r="W117" s="1">
        <v>0</v>
      </c>
      <c r="X117" s="5">
        <f t="shared" si="4"/>
        <v>1</v>
      </c>
      <c r="Y117" s="5" t="str">
        <f t="shared" si="5"/>
        <v>D</v>
      </c>
    </row>
    <row r="118" spans="2:25" x14ac:dyDescent="0.25">
      <c r="B118" s="11">
        <v>44578</v>
      </c>
      <c r="C118" s="7">
        <v>600003939215</v>
      </c>
      <c r="D118" s="1">
        <v>1</v>
      </c>
      <c r="E118" t="s">
        <v>486</v>
      </c>
      <c r="F118" t="s">
        <v>530</v>
      </c>
      <c r="G118" t="s">
        <v>635</v>
      </c>
      <c r="H118" t="s">
        <v>740</v>
      </c>
      <c r="I118" t="s">
        <v>756</v>
      </c>
      <c r="J118" s="26" t="s">
        <v>524</v>
      </c>
      <c r="K118" s="1" t="s">
        <v>69</v>
      </c>
      <c r="L118" s="1" t="s">
        <v>79</v>
      </c>
      <c r="M118" s="1" t="s">
        <v>80</v>
      </c>
      <c r="N118" s="1" t="s">
        <v>157</v>
      </c>
      <c r="O118" s="1" t="s">
        <v>19</v>
      </c>
      <c r="P118" s="9">
        <v>44578</v>
      </c>
      <c r="Q118" s="1" t="s">
        <v>478</v>
      </c>
      <c r="R118" s="1" t="s">
        <v>50</v>
      </c>
      <c r="S118" s="1">
        <v>2</v>
      </c>
      <c r="T118" s="12">
        <v>0.29166666666666669</v>
      </c>
      <c r="U118" s="12">
        <v>0.375</v>
      </c>
      <c r="V118" s="1">
        <v>2</v>
      </c>
      <c r="W118" s="1">
        <v>2</v>
      </c>
      <c r="X118" s="5">
        <f t="shared" si="4"/>
        <v>4</v>
      </c>
      <c r="Y118" s="5" t="str">
        <f t="shared" si="5"/>
        <v>C</v>
      </c>
    </row>
    <row r="119" spans="2:25" x14ac:dyDescent="0.25">
      <c r="B119" s="11">
        <v>44578</v>
      </c>
      <c r="C119" s="7">
        <v>600003939000</v>
      </c>
      <c r="D119" s="4">
        <v>1</v>
      </c>
      <c r="E119" t="s">
        <v>496</v>
      </c>
      <c r="F119" t="s">
        <v>540</v>
      </c>
      <c r="G119" t="s">
        <v>645</v>
      </c>
      <c r="H119" t="s">
        <v>745</v>
      </c>
      <c r="I119" t="s">
        <v>766</v>
      </c>
      <c r="J119" s="29" t="s">
        <v>525</v>
      </c>
      <c r="K119" s="4" t="s">
        <v>15</v>
      </c>
      <c r="L119" s="1" t="s">
        <v>121</v>
      </c>
      <c r="M119" s="1" t="s">
        <v>167</v>
      </c>
      <c r="N119" s="1" t="s">
        <v>134</v>
      </c>
      <c r="O119" s="1" t="s">
        <v>19</v>
      </c>
      <c r="P119" s="9">
        <v>44578</v>
      </c>
      <c r="Q119" s="1" t="s">
        <v>477</v>
      </c>
      <c r="R119" s="1" t="s">
        <v>63</v>
      </c>
      <c r="S119" s="1">
        <v>1</v>
      </c>
      <c r="T119" s="12">
        <v>0.29166666666666669</v>
      </c>
      <c r="U119" s="12">
        <v>0.375</v>
      </c>
      <c r="V119" s="1">
        <v>2</v>
      </c>
      <c r="W119" s="1">
        <v>2</v>
      </c>
      <c r="X119" s="5">
        <f t="shared" si="4"/>
        <v>2</v>
      </c>
      <c r="Y119" s="5" t="str">
        <f t="shared" si="5"/>
        <v>C</v>
      </c>
    </row>
    <row r="120" spans="2:25" x14ac:dyDescent="0.25">
      <c r="B120" s="11">
        <v>44578</v>
      </c>
      <c r="C120" s="7">
        <v>600003939006</v>
      </c>
      <c r="D120" s="1">
        <v>1</v>
      </c>
      <c r="E120" t="s">
        <v>874</v>
      </c>
      <c r="F120" t="s">
        <v>572</v>
      </c>
      <c r="G120" t="s">
        <v>686</v>
      </c>
      <c r="H120" t="s">
        <v>745</v>
      </c>
      <c r="I120" t="s">
        <v>807</v>
      </c>
      <c r="J120" s="26" t="s">
        <v>525</v>
      </c>
      <c r="K120" s="1" t="s">
        <v>168</v>
      </c>
      <c r="L120" s="1" t="s">
        <v>57</v>
      </c>
      <c r="M120" s="1" t="s">
        <v>71</v>
      </c>
      <c r="N120" s="1" t="s">
        <v>116</v>
      </c>
      <c r="O120" s="1" t="s">
        <v>19</v>
      </c>
      <c r="P120" s="9">
        <v>44578</v>
      </c>
      <c r="Q120" s="1" t="s">
        <v>477</v>
      </c>
      <c r="R120" s="1" t="s">
        <v>63</v>
      </c>
      <c r="S120" s="1">
        <v>1</v>
      </c>
      <c r="T120" s="12">
        <v>0.29166666666666669</v>
      </c>
      <c r="U120" s="12">
        <v>0.33333333333333331</v>
      </c>
      <c r="V120" s="1">
        <v>1</v>
      </c>
      <c r="W120" s="1">
        <v>1</v>
      </c>
      <c r="X120" s="5">
        <f t="shared" si="4"/>
        <v>1</v>
      </c>
      <c r="Y120" s="5" t="str">
        <f t="shared" si="5"/>
        <v>C</v>
      </c>
    </row>
    <row r="121" spans="2:25" x14ac:dyDescent="0.25">
      <c r="B121" s="11">
        <v>44580</v>
      </c>
      <c r="C121" s="7">
        <v>600003940522</v>
      </c>
      <c r="D121" s="5">
        <v>1</v>
      </c>
      <c r="E121" t="s">
        <v>876</v>
      </c>
      <c r="F121" t="s">
        <v>582</v>
      </c>
      <c r="G121" t="s">
        <v>688</v>
      </c>
      <c r="H121" t="s">
        <v>741</v>
      </c>
      <c r="I121" t="s">
        <v>809</v>
      </c>
      <c r="J121" s="27" t="s">
        <v>524</v>
      </c>
      <c r="K121" s="5" t="s">
        <v>151</v>
      </c>
      <c r="L121" s="1" t="s">
        <v>79</v>
      </c>
      <c r="M121" s="1" t="s">
        <v>80</v>
      </c>
      <c r="N121" s="1" t="s">
        <v>157</v>
      </c>
      <c r="O121" s="1" t="s">
        <v>19</v>
      </c>
      <c r="P121" s="9">
        <v>44580</v>
      </c>
      <c r="Q121" s="1" t="s">
        <v>474</v>
      </c>
      <c r="R121" s="1" t="s">
        <v>50</v>
      </c>
      <c r="S121" s="1">
        <v>1</v>
      </c>
      <c r="T121" s="12">
        <v>0.52083333333333337</v>
      </c>
      <c r="U121" s="12">
        <v>0.625</v>
      </c>
      <c r="V121" s="1">
        <v>2.5</v>
      </c>
      <c r="W121" s="1">
        <v>2.5</v>
      </c>
      <c r="X121" s="5">
        <f t="shared" si="4"/>
        <v>2.5</v>
      </c>
      <c r="Y121" s="5" t="str">
        <f t="shared" si="5"/>
        <v>B</v>
      </c>
    </row>
    <row r="122" spans="2:25" x14ac:dyDescent="0.25">
      <c r="B122" s="11">
        <v>44580</v>
      </c>
      <c r="C122" s="7">
        <v>600003940523</v>
      </c>
      <c r="D122" s="1">
        <v>1</v>
      </c>
      <c r="E122" t="s">
        <v>877</v>
      </c>
      <c r="F122" t="s">
        <v>583</v>
      </c>
      <c r="G122" t="s">
        <v>689</v>
      </c>
      <c r="H122" t="s">
        <v>747</v>
      </c>
      <c r="I122" t="s">
        <v>810</v>
      </c>
      <c r="J122" s="26" t="s">
        <v>524</v>
      </c>
      <c r="K122" s="1" t="s">
        <v>151</v>
      </c>
      <c r="L122" s="1" t="s">
        <v>79</v>
      </c>
      <c r="M122" s="1" t="s">
        <v>80</v>
      </c>
      <c r="N122" s="1" t="s">
        <v>157</v>
      </c>
      <c r="O122" s="1" t="s">
        <v>19</v>
      </c>
      <c r="P122" s="9">
        <v>44580</v>
      </c>
      <c r="Q122" s="1" t="s">
        <v>474</v>
      </c>
      <c r="R122" s="1" t="s">
        <v>50</v>
      </c>
      <c r="S122" s="1">
        <v>1</v>
      </c>
      <c r="T122" s="12">
        <v>0.29166666666666669</v>
      </c>
      <c r="U122" s="12">
        <v>0.4375</v>
      </c>
      <c r="V122" s="1">
        <v>3.5</v>
      </c>
      <c r="W122" s="1">
        <v>3.5</v>
      </c>
      <c r="X122" s="5">
        <f t="shared" si="4"/>
        <v>3.5</v>
      </c>
      <c r="Y122" s="5" t="str">
        <f t="shared" si="5"/>
        <v>B</v>
      </c>
    </row>
    <row r="123" spans="2:25" x14ac:dyDescent="0.25">
      <c r="B123" s="11">
        <v>44580</v>
      </c>
      <c r="C123" s="7">
        <v>600003940763</v>
      </c>
      <c r="D123" s="5">
        <v>1</v>
      </c>
      <c r="E123" t="s">
        <v>500</v>
      </c>
      <c r="F123" t="s">
        <v>544</v>
      </c>
      <c r="G123" t="s">
        <v>649</v>
      </c>
      <c r="H123" t="s">
        <v>745</v>
      </c>
      <c r="I123" t="s">
        <v>770</v>
      </c>
      <c r="J123" s="27" t="s">
        <v>525</v>
      </c>
      <c r="K123" s="5" t="s">
        <v>15</v>
      </c>
      <c r="L123" s="1" t="s">
        <v>126</v>
      </c>
      <c r="M123" s="1" t="s">
        <v>62</v>
      </c>
      <c r="N123" s="1" t="s">
        <v>62</v>
      </c>
      <c r="O123" s="1" t="s">
        <v>19</v>
      </c>
      <c r="P123" s="9">
        <v>44580</v>
      </c>
      <c r="Q123" s="1" t="s">
        <v>477</v>
      </c>
      <c r="R123" s="1" t="s">
        <v>63</v>
      </c>
      <c r="S123" s="1">
        <v>2</v>
      </c>
      <c r="T123" s="12">
        <v>0.64583333333333337</v>
      </c>
      <c r="U123" s="12">
        <v>0.66666666666666663</v>
      </c>
      <c r="V123" s="1">
        <v>0.5</v>
      </c>
      <c r="W123" s="1">
        <v>0.5</v>
      </c>
      <c r="X123" s="5">
        <f t="shared" si="4"/>
        <v>1</v>
      </c>
      <c r="Y123" s="5" t="str">
        <f t="shared" si="5"/>
        <v>C</v>
      </c>
    </row>
    <row r="124" spans="2:25" x14ac:dyDescent="0.25">
      <c r="B124" s="11">
        <v>44580</v>
      </c>
      <c r="C124" s="7">
        <v>600003940399</v>
      </c>
      <c r="D124" s="5">
        <v>1</v>
      </c>
      <c r="E124" t="s">
        <v>497</v>
      </c>
      <c r="F124" t="s">
        <v>541</v>
      </c>
      <c r="G124" t="s">
        <v>646</v>
      </c>
      <c r="H124" t="s">
        <v>746</v>
      </c>
      <c r="I124" t="s">
        <v>767</v>
      </c>
      <c r="J124" s="27" t="s">
        <v>525</v>
      </c>
      <c r="K124" s="5" t="s">
        <v>76</v>
      </c>
      <c r="L124" s="1" t="s">
        <v>57</v>
      </c>
      <c r="M124" s="1" t="s">
        <v>76</v>
      </c>
      <c r="N124" s="1" t="s">
        <v>164</v>
      </c>
      <c r="O124" s="1" t="s">
        <v>19</v>
      </c>
      <c r="P124" s="9">
        <v>44580</v>
      </c>
      <c r="Q124" s="1" t="s">
        <v>479</v>
      </c>
      <c r="R124" s="1" t="s">
        <v>63</v>
      </c>
      <c r="S124" s="1">
        <v>3</v>
      </c>
      <c r="T124" s="12">
        <v>0.29166666666666669</v>
      </c>
      <c r="U124" s="12">
        <v>0.39583333333333331</v>
      </c>
      <c r="V124" s="1">
        <v>2.5</v>
      </c>
      <c r="W124" s="1">
        <v>2.5</v>
      </c>
      <c r="X124" s="5">
        <f t="shared" si="4"/>
        <v>7.5</v>
      </c>
      <c r="Y124" s="5" t="str">
        <f t="shared" si="5"/>
        <v>B</v>
      </c>
    </row>
    <row r="125" spans="2:25" x14ac:dyDescent="0.25">
      <c r="B125" s="11">
        <v>44580</v>
      </c>
      <c r="C125" s="7">
        <v>600003940398</v>
      </c>
      <c r="D125" s="1">
        <v>1</v>
      </c>
      <c r="E125" t="s">
        <v>505</v>
      </c>
      <c r="F125" t="s">
        <v>549</v>
      </c>
      <c r="G125" t="s">
        <v>654</v>
      </c>
      <c r="H125" t="s">
        <v>745</v>
      </c>
      <c r="I125" t="s">
        <v>775</v>
      </c>
      <c r="J125" s="26" t="s">
        <v>525</v>
      </c>
      <c r="K125" s="1" t="s">
        <v>15</v>
      </c>
      <c r="L125" s="1" t="s">
        <v>137</v>
      </c>
      <c r="M125" s="1" t="s">
        <v>52</v>
      </c>
      <c r="N125" s="1" t="s">
        <v>165</v>
      </c>
      <c r="O125" s="1" t="s">
        <v>19</v>
      </c>
      <c r="P125" s="9">
        <v>44580</v>
      </c>
      <c r="Q125" s="1" t="s">
        <v>477</v>
      </c>
      <c r="R125" s="1" t="s">
        <v>63</v>
      </c>
      <c r="S125" s="1">
        <v>3</v>
      </c>
      <c r="T125" s="12">
        <v>0.4375</v>
      </c>
      <c r="U125" s="12">
        <v>0.60416666666666663</v>
      </c>
      <c r="V125" s="1">
        <v>4</v>
      </c>
      <c r="W125" s="1">
        <v>4</v>
      </c>
      <c r="X125" s="5">
        <f t="shared" si="4"/>
        <v>12</v>
      </c>
      <c r="Y125" s="5" t="str">
        <f t="shared" si="5"/>
        <v>B</v>
      </c>
    </row>
    <row r="126" spans="2:25" x14ac:dyDescent="0.25">
      <c r="B126" s="11">
        <v>44581</v>
      </c>
      <c r="C126" s="7">
        <v>600003941289</v>
      </c>
      <c r="D126" s="5">
        <v>1</v>
      </c>
      <c r="E126" t="s">
        <v>500</v>
      </c>
      <c r="F126" t="s">
        <v>544</v>
      </c>
      <c r="G126" t="s">
        <v>649</v>
      </c>
      <c r="H126" t="s">
        <v>745</v>
      </c>
      <c r="I126" t="s">
        <v>770</v>
      </c>
      <c r="J126" s="26" t="s">
        <v>525</v>
      </c>
      <c r="K126" s="5" t="s">
        <v>15</v>
      </c>
      <c r="L126" s="1" t="s">
        <v>57</v>
      </c>
      <c r="M126" s="1" t="s">
        <v>71</v>
      </c>
      <c r="N126" s="1" t="s">
        <v>84</v>
      </c>
      <c r="O126" s="1" t="s">
        <v>19</v>
      </c>
      <c r="P126" s="9">
        <v>44582</v>
      </c>
      <c r="Q126" s="1" t="s">
        <v>479</v>
      </c>
      <c r="R126" s="1" t="s">
        <v>63</v>
      </c>
      <c r="S126" s="1">
        <v>2</v>
      </c>
      <c r="T126" s="12">
        <v>0.39583333333333331</v>
      </c>
      <c r="U126" s="12">
        <v>0.4375</v>
      </c>
      <c r="V126" s="1">
        <v>1</v>
      </c>
      <c r="W126" s="1">
        <v>1</v>
      </c>
      <c r="X126" s="5">
        <f t="shared" si="4"/>
        <v>2</v>
      </c>
      <c r="Y126" s="5" t="str">
        <f t="shared" si="5"/>
        <v>C</v>
      </c>
    </row>
    <row r="127" spans="2:25" x14ac:dyDescent="0.25">
      <c r="B127" s="11">
        <v>44581</v>
      </c>
      <c r="C127" s="7">
        <v>600003941290</v>
      </c>
      <c r="D127" s="1">
        <v>1</v>
      </c>
      <c r="E127" t="s">
        <v>517</v>
      </c>
      <c r="F127" t="s">
        <v>561</v>
      </c>
      <c r="G127" t="s">
        <v>666</v>
      </c>
      <c r="H127" t="s">
        <v>745</v>
      </c>
      <c r="I127" t="s">
        <v>787</v>
      </c>
      <c r="J127" s="27" t="s">
        <v>525</v>
      </c>
      <c r="K127" s="5" t="s">
        <v>15</v>
      </c>
      <c r="L127" s="1" t="s">
        <v>57</v>
      </c>
      <c r="M127" s="1" t="s">
        <v>71</v>
      </c>
      <c r="N127" s="1" t="s">
        <v>166</v>
      </c>
      <c r="O127" s="1" t="s">
        <v>19</v>
      </c>
      <c r="P127" s="9">
        <v>44613</v>
      </c>
      <c r="Q127" s="1" t="s">
        <v>479</v>
      </c>
      <c r="R127" s="12" t="s">
        <v>63</v>
      </c>
      <c r="S127" s="1">
        <v>2</v>
      </c>
      <c r="T127" s="12">
        <v>0.29166666666666669</v>
      </c>
      <c r="U127" s="12">
        <v>0.33333333333333331</v>
      </c>
      <c r="V127" s="1">
        <v>1</v>
      </c>
      <c r="W127" s="1">
        <v>1</v>
      </c>
      <c r="X127" s="5">
        <f t="shared" si="4"/>
        <v>2</v>
      </c>
      <c r="Y127" s="5" t="str">
        <f t="shared" si="5"/>
        <v>C</v>
      </c>
    </row>
    <row r="128" spans="2:25" x14ac:dyDescent="0.25">
      <c r="B128" s="11">
        <v>44582</v>
      </c>
      <c r="C128" s="7">
        <v>600003941931</v>
      </c>
      <c r="D128" s="1">
        <v>1</v>
      </c>
      <c r="E128" t="s">
        <v>486</v>
      </c>
      <c r="F128" t="s">
        <v>530</v>
      </c>
      <c r="G128" t="s">
        <v>635</v>
      </c>
      <c r="H128" t="s">
        <v>740</v>
      </c>
      <c r="I128" t="s">
        <v>756</v>
      </c>
      <c r="J128" s="27" t="s">
        <v>525</v>
      </c>
      <c r="K128" s="5" t="s">
        <v>69</v>
      </c>
      <c r="L128" s="1" t="s">
        <v>42</v>
      </c>
      <c r="M128" s="1" t="s">
        <v>101</v>
      </c>
      <c r="N128" s="1" t="s">
        <v>125</v>
      </c>
      <c r="O128" s="1" t="s">
        <v>19</v>
      </c>
      <c r="P128" s="9">
        <v>44582</v>
      </c>
      <c r="Q128" s="1" t="s">
        <v>480</v>
      </c>
      <c r="R128" s="1" t="s">
        <v>63</v>
      </c>
      <c r="S128" s="1">
        <v>1</v>
      </c>
      <c r="T128" s="12">
        <v>0.39583333333333331</v>
      </c>
      <c r="U128" s="12">
        <v>0.45833333333333331</v>
      </c>
      <c r="V128" s="1">
        <v>1.5</v>
      </c>
      <c r="W128" s="1">
        <v>1.5</v>
      </c>
      <c r="X128" s="5">
        <v>1.5</v>
      </c>
      <c r="Y128" s="5" t="s">
        <v>46</v>
      </c>
    </row>
    <row r="129" spans="2:25" x14ac:dyDescent="0.25">
      <c r="B129" s="11">
        <v>44582</v>
      </c>
      <c r="C129" s="7">
        <v>600003942070</v>
      </c>
      <c r="D129" s="1">
        <v>1</v>
      </c>
      <c r="E129" t="s">
        <v>523</v>
      </c>
      <c r="F129" t="s">
        <v>567</v>
      </c>
      <c r="G129" t="s">
        <v>672</v>
      </c>
      <c r="H129" t="s">
        <v>744</v>
      </c>
      <c r="I129" t="s">
        <v>793</v>
      </c>
      <c r="J129" s="26" t="s">
        <v>524</v>
      </c>
      <c r="K129" s="1" t="s">
        <v>123</v>
      </c>
      <c r="L129" s="1" t="s">
        <v>79</v>
      </c>
      <c r="M129" s="1" t="s">
        <v>80</v>
      </c>
      <c r="N129" s="1" t="s">
        <v>152</v>
      </c>
      <c r="O129" s="1" t="s">
        <v>19</v>
      </c>
      <c r="P129" s="9">
        <v>44582</v>
      </c>
      <c r="Q129" s="1" t="s">
        <v>474</v>
      </c>
      <c r="R129" s="1" t="s">
        <v>50</v>
      </c>
      <c r="S129" s="1">
        <v>1</v>
      </c>
      <c r="T129" s="12">
        <v>0.39583333333333331</v>
      </c>
      <c r="U129" s="12">
        <v>0.52083333333333337</v>
      </c>
      <c r="V129" s="1">
        <v>3</v>
      </c>
      <c r="W129" s="1">
        <v>3</v>
      </c>
      <c r="X129" s="5">
        <f t="shared" ref="X129:X141" si="6">PRODUCT(S129,V129)</f>
        <v>3</v>
      </c>
      <c r="Y129" s="5" t="str">
        <f t="shared" ref="Y129:Y141" si="7">IF(W129=0,"D",IF(W129&lt;=2,"C",IF(W129&lt;=8,"B",IF(W129&gt;8,"A"))))</f>
        <v>B</v>
      </c>
    </row>
    <row r="130" spans="2:25" x14ac:dyDescent="0.25">
      <c r="B130" s="11">
        <v>44582</v>
      </c>
      <c r="C130" s="7">
        <v>600003941878</v>
      </c>
      <c r="D130" s="1">
        <v>1</v>
      </c>
      <c r="E130" t="s">
        <v>489</v>
      </c>
      <c r="F130" t="s">
        <v>533</v>
      </c>
      <c r="G130" t="s">
        <v>638</v>
      </c>
      <c r="H130" t="s">
        <v>745</v>
      </c>
      <c r="I130" t="s">
        <v>759</v>
      </c>
      <c r="J130" s="26" t="s">
        <v>525</v>
      </c>
      <c r="K130" s="1" t="s">
        <v>15</v>
      </c>
      <c r="L130" s="1" t="s">
        <v>137</v>
      </c>
      <c r="M130" s="1" t="s">
        <v>52</v>
      </c>
      <c r="N130" s="1" t="s">
        <v>53</v>
      </c>
      <c r="O130" s="1" t="s">
        <v>19</v>
      </c>
      <c r="P130" s="9">
        <v>44582</v>
      </c>
      <c r="Q130" s="1" t="s">
        <v>477</v>
      </c>
      <c r="R130" s="1" t="s">
        <v>63</v>
      </c>
      <c r="S130" s="1">
        <v>3</v>
      </c>
      <c r="T130" s="12">
        <v>0.29166666666666669</v>
      </c>
      <c r="U130" s="12">
        <v>0.35416666666666669</v>
      </c>
      <c r="V130" s="1">
        <v>1.5</v>
      </c>
      <c r="W130" s="1">
        <v>1.5</v>
      </c>
      <c r="X130" s="5">
        <f t="shared" si="6"/>
        <v>4.5</v>
      </c>
      <c r="Y130" s="5" t="str">
        <f t="shared" si="7"/>
        <v>C</v>
      </c>
    </row>
    <row r="131" spans="2:25" x14ac:dyDescent="0.25">
      <c r="B131" s="11">
        <v>44586</v>
      </c>
      <c r="C131" s="7">
        <v>600003945522</v>
      </c>
      <c r="D131" s="5">
        <v>1</v>
      </c>
      <c r="E131" t="s">
        <v>486</v>
      </c>
      <c r="F131" t="s">
        <v>530</v>
      </c>
      <c r="G131" t="s">
        <v>635</v>
      </c>
      <c r="H131" t="s">
        <v>740</v>
      </c>
      <c r="I131" t="s">
        <v>756</v>
      </c>
      <c r="J131" s="27" t="s">
        <v>525</v>
      </c>
      <c r="K131" s="5" t="s">
        <v>69</v>
      </c>
      <c r="L131" s="1" t="s">
        <v>42</v>
      </c>
      <c r="M131" s="1" t="s">
        <v>55</v>
      </c>
      <c r="N131" s="1" t="s">
        <v>56</v>
      </c>
      <c r="O131" s="1" t="s">
        <v>19</v>
      </c>
      <c r="P131" s="9">
        <v>44586</v>
      </c>
      <c r="Q131" s="1" t="s">
        <v>480</v>
      </c>
      <c r="R131" s="1" t="s">
        <v>63</v>
      </c>
      <c r="S131" s="1">
        <v>2</v>
      </c>
      <c r="T131" s="12">
        <v>0.33333333333333331</v>
      </c>
      <c r="U131" s="12">
        <v>0.41666666666666669</v>
      </c>
      <c r="V131" s="1">
        <v>2</v>
      </c>
      <c r="W131" s="1">
        <v>2</v>
      </c>
      <c r="X131" s="5">
        <f t="shared" si="6"/>
        <v>4</v>
      </c>
      <c r="Y131" s="5" t="str">
        <f t="shared" si="7"/>
        <v>C</v>
      </c>
    </row>
    <row r="132" spans="2:25" x14ac:dyDescent="0.25">
      <c r="B132" s="11">
        <v>44588</v>
      </c>
      <c r="C132" s="7">
        <v>600003946841</v>
      </c>
      <c r="D132" s="5">
        <v>1</v>
      </c>
      <c r="E132" t="s">
        <v>504</v>
      </c>
      <c r="F132" t="s">
        <v>548</v>
      </c>
      <c r="G132" t="s">
        <v>653</v>
      </c>
      <c r="H132" t="s">
        <v>745</v>
      </c>
      <c r="I132" t="s">
        <v>774</v>
      </c>
      <c r="J132" s="27" t="s">
        <v>525</v>
      </c>
      <c r="K132" s="1" t="s">
        <v>15</v>
      </c>
      <c r="L132" s="1" t="s">
        <v>79</v>
      </c>
      <c r="M132" s="1" t="s">
        <v>80</v>
      </c>
      <c r="N132" s="1" t="s">
        <v>136</v>
      </c>
      <c r="O132" s="1" t="s">
        <v>19</v>
      </c>
      <c r="P132" s="9">
        <v>44578</v>
      </c>
      <c r="Q132" s="1" t="s">
        <v>478</v>
      </c>
      <c r="R132" s="1" t="s">
        <v>50</v>
      </c>
      <c r="S132" s="1">
        <v>1</v>
      </c>
      <c r="T132" s="12">
        <v>0.375</v>
      </c>
      <c r="U132" s="12">
        <v>0.45833333333333331</v>
      </c>
      <c r="V132" s="1">
        <v>2</v>
      </c>
      <c r="W132" s="1">
        <v>2</v>
      </c>
      <c r="X132" s="5">
        <f t="shared" si="6"/>
        <v>2</v>
      </c>
      <c r="Y132" s="5" t="str">
        <f t="shared" si="7"/>
        <v>C</v>
      </c>
    </row>
    <row r="133" spans="2:25" x14ac:dyDescent="0.25">
      <c r="B133" s="11">
        <v>44588</v>
      </c>
      <c r="C133" s="7">
        <v>600003946705</v>
      </c>
      <c r="D133" s="5">
        <v>1</v>
      </c>
      <c r="E133" t="s">
        <v>504</v>
      </c>
      <c r="F133" t="s">
        <v>548</v>
      </c>
      <c r="G133" t="s">
        <v>653</v>
      </c>
      <c r="H133" t="s">
        <v>745</v>
      </c>
      <c r="I133" t="s">
        <v>774</v>
      </c>
      <c r="J133" s="27" t="s">
        <v>525</v>
      </c>
      <c r="K133" s="5" t="s">
        <v>15</v>
      </c>
      <c r="L133" s="1" t="s">
        <v>79</v>
      </c>
      <c r="M133" s="1" t="s">
        <v>80</v>
      </c>
      <c r="N133" s="1" t="s">
        <v>136</v>
      </c>
      <c r="O133" s="1" t="s">
        <v>19</v>
      </c>
      <c r="P133" s="9">
        <v>44588</v>
      </c>
      <c r="Q133" s="1" t="s">
        <v>478</v>
      </c>
      <c r="R133" s="1" t="s">
        <v>50</v>
      </c>
      <c r="S133" s="1">
        <v>1</v>
      </c>
      <c r="T133" s="12">
        <v>0.5</v>
      </c>
      <c r="U133" s="12">
        <v>0.58333333333333337</v>
      </c>
      <c r="V133" s="1">
        <v>2</v>
      </c>
      <c r="W133" s="1">
        <v>2</v>
      </c>
      <c r="X133" s="5">
        <f t="shared" si="6"/>
        <v>2</v>
      </c>
      <c r="Y133" s="5" t="str">
        <f t="shared" si="7"/>
        <v>C</v>
      </c>
    </row>
    <row r="134" spans="2:25" x14ac:dyDescent="0.25">
      <c r="B134" s="11">
        <v>44588</v>
      </c>
      <c r="C134" s="7">
        <v>600003946706</v>
      </c>
      <c r="D134" s="5">
        <v>1</v>
      </c>
      <c r="E134" t="s">
        <v>507</v>
      </c>
      <c r="F134" t="s">
        <v>551</v>
      </c>
      <c r="G134" t="s">
        <v>656</v>
      </c>
      <c r="H134" t="s">
        <v>745</v>
      </c>
      <c r="I134" t="s">
        <v>777</v>
      </c>
      <c r="J134" s="27" t="s">
        <v>525</v>
      </c>
      <c r="K134" s="5" t="s">
        <v>15</v>
      </c>
      <c r="L134" s="1" t="s">
        <v>16</v>
      </c>
      <c r="M134" s="1" t="s">
        <v>17</v>
      </c>
      <c r="N134" s="1" t="s">
        <v>119</v>
      </c>
      <c r="O134" s="1" t="s">
        <v>19</v>
      </c>
      <c r="P134" s="9">
        <v>44588</v>
      </c>
      <c r="Q134" s="1" t="s">
        <v>477</v>
      </c>
      <c r="R134" s="1" t="s">
        <v>63</v>
      </c>
      <c r="S134" s="1">
        <v>2</v>
      </c>
      <c r="T134" s="12">
        <v>0.29166666666666669</v>
      </c>
      <c r="U134" s="12">
        <v>0.33333333333333331</v>
      </c>
      <c r="V134" s="1">
        <v>1</v>
      </c>
      <c r="W134" s="1">
        <v>1</v>
      </c>
      <c r="X134" s="5">
        <f t="shared" si="6"/>
        <v>2</v>
      </c>
      <c r="Y134" s="5" t="str">
        <f t="shared" si="7"/>
        <v>C</v>
      </c>
    </row>
    <row r="135" spans="2:25" x14ac:dyDescent="0.25">
      <c r="B135" s="11">
        <v>44589</v>
      </c>
      <c r="C135" s="7">
        <v>600003947310</v>
      </c>
      <c r="D135" s="5">
        <v>1</v>
      </c>
      <c r="E135" t="s">
        <v>504</v>
      </c>
      <c r="F135" t="s">
        <v>548</v>
      </c>
      <c r="G135" t="s">
        <v>653</v>
      </c>
      <c r="H135" t="s">
        <v>745</v>
      </c>
      <c r="I135" t="s">
        <v>774</v>
      </c>
      <c r="J135" s="27" t="s">
        <v>525</v>
      </c>
      <c r="K135" s="5" t="s">
        <v>15</v>
      </c>
      <c r="L135" s="1" t="s">
        <v>65</v>
      </c>
      <c r="M135" s="1" t="s">
        <v>137</v>
      </c>
      <c r="N135" s="1" t="s">
        <v>138</v>
      </c>
      <c r="O135" s="1" t="s">
        <v>19</v>
      </c>
      <c r="P135" s="9">
        <v>44589</v>
      </c>
      <c r="Q135" s="1" t="s">
        <v>479</v>
      </c>
      <c r="R135" s="1" t="s">
        <v>63</v>
      </c>
      <c r="S135" s="1">
        <v>2</v>
      </c>
      <c r="T135" s="12">
        <v>0.58333333333333337</v>
      </c>
      <c r="U135" s="12">
        <v>0.625</v>
      </c>
      <c r="V135" s="1">
        <v>1</v>
      </c>
      <c r="W135" s="1">
        <v>1</v>
      </c>
      <c r="X135" s="5">
        <f t="shared" si="6"/>
        <v>2</v>
      </c>
      <c r="Y135" s="5" t="str">
        <f t="shared" si="7"/>
        <v>C</v>
      </c>
    </row>
    <row r="136" spans="2:25" x14ac:dyDescent="0.25">
      <c r="B136" s="11">
        <v>44589</v>
      </c>
      <c r="C136" s="7">
        <v>600003947407</v>
      </c>
      <c r="D136" s="1">
        <v>1</v>
      </c>
      <c r="E136" t="s">
        <v>495</v>
      </c>
      <c r="F136" t="s">
        <v>539</v>
      </c>
      <c r="G136" t="s">
        <v>644</v>
      </c>
      <c r="H136" t="s">
        <v>740</v>
      </c>
      <c r="I136" t="s">
        <v>765</v>
      </c>
      <c r="J136" s="26" t="s">
        <v>524</v>
      </c>
      <c r="K136" s="1" t="s">
        <v>70</v>
      </c>
      <c r="L136" s="1" t="s">
        <v>148</v>
      </c>
      <c r="M136" s="1" t="s">
        <v>87</v>
      </c>
      <c r="N136" s="1" t="s">
        <v>156</v>
      </c>
      <c r="O136" s="1" t="s">
        <v>19</v>
      </c>
      <c r="P136" s="9">
        <v>44589</v>
      </c>
      <c r="Q136" s="1" t="s">
        <v>474</v>
      </c>
      <c r="R136" s="1" t="s">
        <v>63</v>
      </c>
      <c r="S136" s="1">
        <v>1</v>
      </c>
      <c r="T136" s="12">
        <v>0.39583333333333331</v>
      </c>
      <c r="U136" s="12">
        <v>0.5</v>
      </c>
      <c r="V136" s="1">
        <v>2.5</v>
      </c>
      <c r="W136" s="1">
        <v>0</v>
      </c>
      <c r="X136" s="5">
        <f t="shared" si="6"/>
        <v>2.5</v>
      </c>
      <c r="Y136" s="5" t="str">
        <f t="shared" si="7"/>
        <v>D</v>
      </c>
    </row>
    <row r="137" spans="2:25" x14ac:dyDescent="0.25">
      <c r="B137" s="11">
        <v>44589</v>
      </c>
      <c r="C137" s="7">
        <v>600003947568</v>
      </c>
      <c r="D137" s="1">
        <v>1</v>
      </c>
      <c r="E137" t="s">
        <v>495</v>
      </c>
      <c r="F137" t="s">
        <v>539</v>
      </c>
      <c r="G137" t="s">
        <v>644</v>
      </c>
      <c r="H137" t="s">
        <v>740</v>
      </c>
      <c r="I137" t="s">
        <v>765</v>
      </c>
      <c r="J137" s="26" t="s">
        <v>524</v>
      </c>
      <c r="K137" s="1" t="s">
        <v>70</v>
      </c>
      <c r="L137" s="1" t="s">
        <v>79</v>
      </c>
      <c r="M137" s="1" t="s">
        <v>36</v>
      </c>
      <c r="N137" s="1" t="s">
        <v>112</v>
      </c>
      <c r="O137" s="1" t="s">
        <v>19</v>
      </c>
      <c r="P137" s="9">
        <v>44593</v>
      </c>
      <c r="Q137" s="1" t="s">
        <v>474</v>
      </c>
      <c r="R137" s="1" t="s">
        <v>63</v>
      </c>
      <c r="S137" s="1">
        <v>2</v>
      </c>
      <c r="T137" s="12">
        <v>0.25</v>
      </c>
      <c r="U137" s="12">
        <v>0.35416666666666669</v>
      </c>
      <c r="V137" s="1">
        <v>2.5</v>
      </c>
      <c r="W137" s="1">
        <v>2.5</v>
      </c>
      <c r="X137" s="5">
        <f t="shared" si="6"/>
        <v>5</v>
      </c>
      <c r="Y137" s="5" t="str">
        <f t="shared" si="7"/>
        <v>B</v>
      </c>
    </row>
    <row r="138" spans="2:25" x14ac:dyDescent="0.25">
      <c r="B138" s="11">
        <v>44595</v>
      </c>
      <c r="C138" s="7">
        <v>600003950406</v>
      </c>
      <c r="D138" s="1">
        <v>1</v>
      </c>
      <c r="E138" t="s">
        <v>878</v>
      </c>
      <c r="F138" t="s">
        <v>584</v>
      </c>
      <c r="G138" t="s">
        <v>690</v>
      </c>
      <c r="H138" t="s">
        <v>747</v>
      </c>
      <c r="I138" t="s">
        <v>811</v>
      </c>
      <c r="J138" s="26" t="s">
        <v>524</v>
      </c>
      <c r="K138" s="1" t="s">
        <v>73</v>
      </c>
      <c r="L138" s="1" t="s">
        <v>73</v>
      </c>
      <c r="M138" s="1" t="s">
        <v>55</v>
      </c>
      <c r="N138" s="1" t="s">
        <v>159</v>
      </c>
      <c r="O138" s="1" t="s">
        <v>19</v>
      </c>
      <c r="P138" s="9">
        <v>44597</v>
      </c>
      <c r="Q138" s="1" t="s">
        <v>474</v>
      </c>
      <c r="R138" s="1" t="s">
        <v>63</v>
      </c>
      <c r="S138" s="1">
        <v>2</v>
      </c>
      <c r="T138" s="12">
        <v>0.41666666666666669</v>
      </c>
      <c r="U138" s="12">
        <v>0.5</v>
      </c>
      <c r="V138" s="1">
        <v>2</v>
      </c>
      <c r="W138" s="1">
        <v>2</v>
      </c>
      <c r="X138" s="5">
        <f t="shared" si="6"/>
        <v>4</v>
      </c>
      <c r="Y138" s="5" t="str">
        <f t="shared" si="7"/>
        <v>C</v>
      </c>
    </row>
    <row r="139" spans="2:25" x14ac:dyDescent="0.25">
      <c r="B139" s="11">
        <v>44596</v>
      </c>
      <c r="C139" s="7">
        <v>600003950997</v>
      </c>
      <c r="D139" s="5">
        <v>1</v>
      </c>
      <c r="E139" t="s">
        <v>864</v>
      </c>
      <c r="F139" t="s">
        <v>571</v>
      </c>
      <c r="G139" t="s">
        <v>676</v>
      </c>
      <c r="H139" t="s">
        <v>745</v>
      </c>
      <c r="I139" t="s">
        <v>797</v>
      </c>
      <c r="J139" s="27" t="s">
        <v>525</v>
      </c>
      <c r="K139" s="5" t="s">
        <v>15</v>
      </c>
      <c r="L139" s="1" t="s">
        <v>65</v>
      </c>
      <c r="M139" s="1" t="s">
        <v>52</v>
      </c>
      <c r="N139" s="1" t="s">
        <v>53</v>
      </c>
      <c r="O139" s="1" t="s">
        <v>19</v>
      </c>
      <c r="P139" s="9">
        <v>44596</v>
      </c>
      <c r="Q139" s="1" t="s">
        <v>477</v>
      </c>
      <c r="R139" s="1" t="s">
        <v>63</v>
      </c>
      <c r="S139" s="1">
        <v>1</v>
      </c>
      <c r="T139" s="12">
        <v>0.29166666666666669</v>
      </c>
      <c r="U139" s="12">
        <v>0.66666666666666663</v>
      </c>
      <c r="V139" s="1">
        <v>9</v>
      </c>
      <c r="W139" s="1">
        <v>0</v>
      </c>
      <c r="X139" s="5">
        <f t="shared" si="6"/>
        <v>9</v>
      </c>
      <c r="Y139" s="5" t="str">
        <f t="shared" si="7"/>
        <v>D</v>
      </c>
    </row>
    <row r="140" spans="2:25" x14ac:dyDescent="0.25">
      <c r="B140" s="11">
        <v>44596</v>
      </c>
      <c r="C140" s="7">
        <v>600003951014</v>
      </c>
      <c r="D140" s="1">
        <v>1</v>
      </c>
      <c r="E140" t="s">
        <v>879</v>
      </c>
      <c r="F140" t="s">
        <v>585</v>
      </c>
      <c r="G140" t="s">
        <v>691</v>
      </c>
      <c r="H140" t="s">
        <v>746</v>
      </c>
      <c r="I140" t="s">
        <v>812</v>
      </c>
      <c r="J140" s="26" t="s">
        <v>525</v>
      </c>
      <c r="K140" s="1" t="s">
        <v>143</v>
      </c>
      <c r="L140" s="1" t="s">
        <v>144</v>
      </c>
      <c r="M140" s="1" t="s">
        <v>80</v>
      </c>
      <c r="N140" s="1" t="s">
        <v>118</v>
      </c>
      <c r="O140" s="1" t="s">
        <v>19</v>
      </c>
      <c r="P140" s="9">
        <v>44597</v>
      </c>
      <c r="Q140" s="1" t="s">
        <v>478</v>
      </c>
      <c r="R140" s="1" t="s">
        <v>50</v>
      </c>
      <c r="S140" s="1">
        <v>1</v>
      </c>
      <c r="T140" s="12">
        <v>0.29166666666666669</v>
      </c>
      <c r="U140" s="12">
        <v>0.41666666666666669</v>
      </c>
      <c r="V140" s="1">
        <v>3</v>
      </c>
      <c r="W140" s="1">
        <v>0</v>
      </c>
      <c r="X140" s="5">
        <f t="shared" si="6"/>
        <v>3</v>
      </c>
      <c r="Y140" s="5" t="str">
        <f t="shared" si="7"/>
        <v>D</v>
      </c>
    </row>
    <row r="141" spans="2:25" x14ac:dyDescent="0.25">
      <c r="B141" s="11">
        <v>44596</v>
      </c>
      <c r="C141" s="7">
        <v>600003951195</v>
      </c>
      <c r="D141" s="5">
        <v>1</v>
      </c>
      <c r="E141" t="s">
        <v>501</v>
      </c>
      <c r="F141" t="s">
        <v>545</v>
      </c>
      <c r="G141" t="s">
        <v>650</v>
      </c>
      <c r="H141" t="s">
        <v>740</v>
      </c>
      <c r="I141" t="s">
        <v>771</v>
      </c>
      <c r="J141" s="27" t="s">
        <v>524</v>
      </c>
      <c r="K141" s="5" t="s">
        <v>70</v>
      </c>
      <c r="L141" s="1" t="s">
        <v>36</v>
      </c>
      <c r="M141" s="1" t="s">
        <v>96</v>
      </c>
      <c r="N141" s="1" t="s">
        <v>155</v>
      </c>
      <c r="O141" s="1" t="s">
        <v>19</v>
      </c>
      <c r="P141" s="9">
        <v>44597</v>
      </c>
      <c r="Q141" s="1" t="s">
        <v>473</v>
      </c>
      <c r="R141" s="1" t="s">
        <v>63</v>
      </c>
      <c r="S141" s="1">
        <v>2</v>
      </c>
      <c r="T141" s="12">
        <v>0.25</v>
      </c>
      <c r="U141" s="12">
        <v>0.41666666666666669</v>
      </c>
      <c r="V141" s="1">
        <v>4</v>
      </c>
      <c r="W141" s="1">
        <v>4</v>
      </c>
      <c r="X141" s="5">
        <f t="shared" si="6"/>
        <v>8</v>
      </c>
      <c r="Y141" s="5" t="str">
        <f t="shared" si="7"/>
        <v>B</v>
      </c>
    </row>
    <row r="142" spans="2:25" x14ac:dyDescent="0.25">
      <c r="B142" s="11">
        <v>44599</v>
      </c>
      <c r="C142" s="7">
        <v>600003952023</v>
      </c>
      <c r="D142" s="5">
        <v>1</v>
      </c>
      <c r="E142" t="s">
        <v>508</v>
      </c>
      <c r="F142" t="s">
        <v>552</v>
      </c>
      <c r="G142" t="s">
        <v>657</v>
      </c>
      <c r="H142" t="s">
        <v>747</v>
      </c>
      <c r="I142" t="s">
        <v>778</v>
      </c>
      <c r="J142" s="27" t="s">
        <v>524</v>
      </c>
      <c r="K142" s="5" t="s">
        <v>78</v>
      </c>
      <c r="L142" s="1" t="s">
        <v>79</v>
      </c>
      <c r="M142" s="1" t="s">
        <v>80</v>
      </c>
      <c r="N142" s="1" t="s">
        <v>118</v>
      </c>
      <c r="O142" s="1" t="s">
        <v>19</v>
      </c>
      <c r="P142" s="9">
        <v>44628</v>
      </c>
      <c r="Q142" s="1" t="s">
        <v>478</v>
      </c>
      <c r="R142" s="1" t="s">
        <v>50</v>
      </c>
      <c r="S142" s="1">
        <v>1</v>
      </c>
      <c r="T142" s="12">
        <v>0.39583333333333331</v>
      </c>
      <c r="U142" s="12">
        <v>0.47916666666666669</v>
      </c>
      <c r="V142" s="1">
        <v>2</v>
      </c>
      <c r="W142" s="1">
        <v>2</v>
      </c>
      <c r="X142" s="5">
        <v>2</v>
      </c>
      <c r="Y142" s="5" t="s">
        <v>46</v>
      </c>
    </row>
    <row r="143" spans="2:25" x14ac:dyDescent="0.25">
      <c r="B143" s="11">
        <v>44603</v>
      </c>
      <c r="C143" s="7">
        <v>600003954095</v>
      </c>
      <c r="D143" s="5">
        <v>1</v>
      </c>
      <c r="E143" t="s">
        <v>880</v>
      </c>
      <c r="F143" t="s">
        <v>586</v>
      </c>
      <c r="G143" t="s">
        <v>692</v>
      </c>
      <c r="H143" t="s">
        <v>740</v>
      </c>
      <c r="I143" t="s">
        <v>813</v>
      </c>
      <c r="J143" s="27" t="s">
        <v>524</v>
      </c>
      <c r="K143" s="5" t="s">
        <v>163</v>
      </c>
      <c r="L143" s="1" t="s">
        <v>71</v>
      </c>
      <c r="M143" s="1" t="s">
        <v>33</v>
      </c>
      <c r="N143" s="1" t="s">
        <v>67</v>
      </c>
      <c r="O143" s="1" t="s">
        <v>19</v>
      </c>
      <c r="P143" s="9">
        <v>44606</v>
      </c>
      <c r="Q143" s="1" t="s">
        <v>477</v>
      </c>
      <c r="R143" s="1" t="s">
        <v>63</v>
      </c>
      <c r="S143" s="1">
        <v>2</v>
      </c>
      <c r="T143" s="12">
        <v>0.39583333333333331</v>
      </c>
      <c r="U143" s="12">
        <v>0.5</v>
      </c>
      <c r="V143" s="1">
        <v>2.5</v>
      </c>
      <c r="W143" s="1">
        <v>2.5</v>
      </c>
      <c r="X143" s="5">
        <f t="shared" ref="X143:X163" si="8">PRODUCT(S143,V143)</f>
        <v>5</v>
      </c>
      <c r="Y143" s="5" t="str">
        <f t="shared" ref="Y143:Y163" si="9">IF(W143=0,"D",IF(W143&lt;=2,"C",IF(W143&lt;=8,"B",IF(W143&gt;8,"A"))))</f>
        <v>B</v>
      </c>
    </row>
    <row r="144" spans="2:25" x14ac:dyDescent="0.25">
      <c r="B144" s="11">
        <v>44603</v>
      </c>
      <c r="C144" s="7">
        <v>600003954097</v>
      </c>
      <c r="D144" s="5">
        <v>1</v>
      </c>
      <c r="E144" t="s">
        <v>510</v>
      </c>
      <c r="F144" t="s">
        <v>554</v>
      </c>
      <c r="G144" t="s">
        <v>659</v>
      </c>
      <c r="H144" t="s">
        <v>741</v>
      </c>
      <c r="I144" t="s">
        <v>780</v>
      </c>
      <c r="J144" s="27" t="s">
        <v>524</v>
      </c>
      <c r="K144" s="5" t="s">
        <v>112</v>
      </c>
      <c r="L144" s="1" t="s">
        <v>148</v>
      </c>
      <c r="M144" s="1" t="s">
        <v>258</v>
      </c>
      <c r="N144" s="1" t="s">
        <v>232</v>
      </c>
      <c r="O144" s="1" t="s">
        <v>176</v>
      </c>
      <c r="P144" s="9">
        <v>44683</v>
      </c>
      <c r="Q144" s="1" t="s">
        <v>481</v>
      </c>
      <c r="R144" s="1" t="s">
        <v>63</v>
      </c>
      <c r="S144" s="1">
        <v>1</v>
      </c>
      <c r="T144" s="12">
        <v>0.29166666666666669</v>
      </c>
      <c r="U144" s="12">
        <v>0.375</v>
      </c>
      <c r="V144" s="1">
        <v>2</v>
      </c>
      <c r="W144" s="1">
        <v>2</v>
      </c>
      <c r="X144" s="5">
        <f t="shared" si="8"/>
        <v>2</v>
      </c>
      <c r="Y144" s="5" t="str">
        <f t="shared" si="9"/>
        <v>C</v>
      </c>
    </row>
    <row r="145" spans="2:26" x14ac:dyDescent="0.25">
      <c r="B145" s="11">
        <v>44606</v>
      </c>
      <c r="C145" s="7">
        <v>600003955239</v>
      </c>
      <c r="D145" s="4">
        <v>1</v>
      </c>
      <c r="E145" t="s">
        <v>496</v>
      </c>
      <c r="F145" t="s">
        <v>540</v>
      </c>
      <c r="G145" t="s">
        <v>645</v>
      </c>
      <c r="H145" t="s">
        <v>745</v>
      </c>
      <c r="I145" t="s">
        <v>766</v>
      </c>
      <c r="J145" s="29" t="s">
        <v>525</v>
      </c>
      <c r="K145" s="4" t="s">
        <v>15</v>
      </c>
      <c r="L145" s="1" t="s">
        <v>16</v>
      </c>
      <c r="M145" s="1" t="s">
        <v>62</v>
      </c>
      <c r="N145" s="1" t="s">
        <v>67</v>
      </c>
      <c r="O145" s="1" t="s">
        <v>19</v>
      </c>
      <c r="P145" s="9">
        <v>44606</v>
      </c>
      <c r="Q145" s="1" t="s">
        <v>479</v>
      </c>
      <c r="R145" s="1" t="s">
        <v>63</v>
      </c>
      <c r="S145" s="1">
        <v>2</v>
      </c>
      <c r="T145" s="12">
        <v>0.29166666666666669</v>
      </c>
      <c r="U145" s="12">
        <v>0.375</v>
      </c>
      <c r="V145" s="1">
        <v>2</v>
      </c>
      <c r="W145" s="1">
        <v>2</v>
      </c>
      <c r="X145" s="5">
        <f t="shared" si="8"/>
        <v>4</v>
      </c>
      <c r="Y145" s="5" t="str">
        <f t="shared" si="9"/>
        <v>C</v>
      </c>
    </row>
    <row r="146" spans="2:26" x14ac:dyDescent="0.25">
      <c r="B146" s="11">
        <v>44606</v>
      </c>
      <c r="C146" s="7">
        <v>600003955238</v>
      </c>
      <c r="D146" s="1">
        <v>1</v>
      </c>
      <c r="E146" t="s">
        <v>506</v>
      </c>
      <c r="F146" t="s">
        <v>550</v>
      </c>
      <c r="G146" t="s">
        <v>655</v>
      </c>
      <c r="H146" t="s">
        <v>745</v>
      </c>
      <c r="I146" t="s">
        <v>776</v>
      </c>
      <c r="J146" s="26" t="s">
        <v>525</v>
      </c>
      <c r="K146" s="1" t="s">
        <v>15</v>
      </c>
      <c r="L146" s="1" t="s">
        <v>79</v>
      </c>
      <c r="M146" s="1" t="s">
        <v>80</v>
      </c>
      <c r="N146" s="1" t="s">
        <v>110</v>
      </c>
      <c r="O146" s="1" t="s">
        <v>19</v>
      </c>
      <c r="P146" s="9">
        <v>44606</v>
      </c>
      <c r="Q146" s="1" t="s">
        <v>475</v>
      </c>
      <c r="R146" s="1" t="s">
        <v>50</v>
      </c>
      <c r="S146" s="1">
        <v>2</v>
      </c>
      <c r="T146" s="12">
        <v>0.29166666666666669</v>
      </c>
      <c r="U146" s="12">
        <v>0.375</v>
      </c>
      <c r="V146" s="1">
        <v>2</v>
      </c>
      <c r="W146" s="1">
        <v>2</v>
      </c>
      <c r="X146" s="5">
        <f t="shared" si="8"/>
        <v>4</v>
      </c>
      <c r="Y146" s="5" t="str">
        <f t="shared" si="9"/>
        <v>C</v>
      </c>
    </row>
    <row r="147" spans="2:26" x14ac:dyDescent="0.25">
      <c r="B147" s="11">
        <v>44607</v>
      </c>
      <c r="C147" s="7">
        <v>600003955794</v>
      </c>
      <c r="D147" s="1">
        <v>1</v>
      </c>
      <c r="E147" t="s">
        <v>881</v>
      </c>
      <c r="F147" t="s">
        <v>587</v>
      </c>
      <c r="G147" t="s">
        <v>693</v>
      </c>
      <c r="H147" t="s">
        <v>745</v>
      </c>
      <c r="I147" t="s">
        <v>814</v>
      </c>
      <c r="J147" s="26" t="s">
        <v>525</v>
      </c>
      <c r="K147" s="1" t="s">
        <v>44</v>
      </c>
      <c r="L147" s="1" t="s">
        <v>57</v>
      </c>
      <c r="M147" s="1" t="s">
        <v>114</v>
      </c>
      <c r="N147" s="1" t="s">
        <v>115</v>
      </c>
      <c r="O147" s="1" t="s">
        <v>19</v>
      </c>
      <c r="P147" s="9">
        <v>44607</v>
      </c>
      <c r="Q147" s="1" t="s">
        <v>481</v>
      </c>
      <c r="R147" s="1" t="s">
        <v>63</v>
      </c>
      <c r="S147" s="1">
        <v>1</v>
      </c>
      <c r="T147" s="12">
        <v>0.39583333333333331</v>
      </c>
      <c r="U147" s="12">
        <v>0.5</v>
      </c>
      <c r="V147" s="1">
        <v>2.5</v>
      </c>
      <c r="W147" s="1">
        <v>0</v>
      </c>
      <c r="X147" s="5">
        <f t="shared" si="8"/>
        <v>2.5</v>
      </c>
      <c r="Y147" s="5" t="str">
        <f t="shared" si="9"/>
        <v>D</v>
      </c>
    </row>
    <row r="148" spans="2:26" x14ac:dyDescent="0.25">
      <c r="B148" s="11">
        <v>44607</v>
      </c>
      <c r="C148" s="7">
        <v>600003955799</v>
      </c>
      <c r="D148" s="1">
        <v>1</v>
      </c>
      <c r="E148" t="s">
        <v>878</v>
      </c>
      <c r="F148" t="s">
        <v>584</v>
      </c>
      <c r="G148" t="s">
        <v>690</v>
      </c>
      <c r="H148" t="s">
        <v>747</v>
      </c>
      <c r="I148" t="s">
        <v>811</v>
      </c>
      <c r="J148" s="26" t="s">
        <v>524</v>
      </c>
      <c r="K148" s="1" t="s">
        <v>73</v>
      </c>
      <c r="L148" s="1" t="s">
        <v>162</v>
      </c>
      <c r="M148" s="1" t="s">
        <v>161</v>
      </c>
      <c r="N148" s="1" t="s">
        <v>160</v>
      </c>
      <c r="O148" s="1" t="s">
        <v>19</v>
      </c>
      <c r="P148" s="9">
        <v>44608</v>
      </c>
      <c r="Q148" s="1" t="s">
        <v>477</v>
      </c>
      <c r="R148" s="1" t="s">
        <v>63</v>
      </c>
      <c r="S148" s="1">
        <v>2</v>
      </c>
      <c r="T148" s="12">
        <v>0.29166666666666669</v>
      </c>
      <c r="U148" s="12">
        <v>0.41666666666666669</v>
      </c>
      <c r="V148" s="1">
        <v>3</v>
      </c>
      <c r="W148" s="1">
        <v>3</v>
      </c>
      <c r="X148" s="5">
        <f t="shared" si="8"/>
        <v>6</v>
      </c>
      <c r="Y148" s="5" t="str">
        <f t="shared" si="9"/>
        <v>B</v>
      </c>
    </row>
    <row r="149" spans="2:26" x14ac:dyDescent="0.25">
      <c r="B149" s="11">
        <v>44608</v>
      </c>
      <c r="C149" s="7">
        <v>600003956199</v>
      </c>
      <c r="D149" s="5">
        <v>1</v>
      </c>
      <c r="E149" t="s">
        <v>512</v>
      </c>
      <c r="F149" t="s">
        <v>556</v>
      </c>
      <c r="G149" t="s">
        <v>661</v>
      </c>
      <c r="H149" t="s">
        <v>745</v>
      </c>
      <c r="I149" t="s">
        <v>782</v>
      </c>
      <c r="J149" s="27" t="s">
        <v>525</v>
      </c>
      <c r="K149" s="5" t="s">
        <v>88</v>
      </c>
      <c r="L149" s="1" t="s">
        <v>79</v>
      </c>
      <c r="M149" s="1" t="s">
        <v>80</v>
      </c>
      <c r="N149" s="1" t="s">
        <v>118</v>
      </c>
      <c r="O149" s="1" t="s">
        <v>19</v>
      </c>
      <c r="P149" s="9">
        <v>44608</v>
      </c>
      <c r="Q149" s="1" t="s">
        <v>475</v>
      </c>
      <c r="R149" s="1" t="s">
        <v>50</v>
      </c>
      <c r="S149" s="1">
        <v>1</v>
      </c>
      <c r="T149" s="12">
        <v>0.33333333333333331</v>
      </c>
      <c r="U149" s="12">
        <v>0.45833333333333331</v>
      </c>
      <c r="V149" s="1">
        <v>3</v>
      </c>
      <c r="W149" s="1">
        <v>3</v>
      </c>
      <c r="X149" s="5">
        <f t="shared" si="8"/>
        <v>3</v>
      </c>
      <c r="Y149" s="5" t="str">
        <f t="shared" si="9"/>
        <v>B</v>
      </c>
    </row>
    <row r="150" spans="2:26" x14ac:dyDescent="0.25">
      <c r="B150" s="11">
        <v>44608</v>
      </c>
      <c r="C150" s="7">
        <v>600003956193</v>
      </c>
      <c r="D150" s="5">
        <v>1</v>
      </c>
      <c r="E150" t="s">
        <v>862</v>
      </c>
      <c r="F150" t="s">
        <v>569</v>
      </c>
      <c r="G150" t="s">
        <v>674</v>
      </c>
      <c r="H150" t="s">
        <v>745</v>
      </c>
      <c r="I150" t="s">
        <v>795</v>
      </c>
      <c r="J150" s="27" t="s">
        <v>525</v>
      </c>
      <c r="K150" s="5" t="s">
        <v>140</v>
      </c>
      <c r="L150" s="1" t="s">
        <v>57</v>
      </c>
      <c r="M150" s="1" t="s">
        <v>33</v>
      </c>
      <c r="N150" s="1" t="s">
        <v>141</v>
      </c>
      <c r="O150" s="1" t="s">
        <v>19</v>
      </c>
      <c r="P150" s="9">
        <v>44608</v>
      </c>
      <c r="Q150" s="1" t="s">
        <v>479</v>
      </c>
      <c r="R150" s="1" t="s">
        <v>63</v>
      </c>
      <c r="S150" s="1">
        <v>1</v>
      </c>
      <c r="T150" s="12">
        <v>0.29166666666666669</v>
      </c>
      <c r="U150" s="12">
        <v>0.33333333333333331</v>
      </c>
      <c r="V150" s="1">
        <v>1</v>
      </c>
      <c r="W150" s="1">
        <v>0</v>
      </c>
      <c r="X150" s="5">
        <f t="shared" si="8"/>
        <v>1</v>
      </c>
      <c r="Y150" s="5" t="str">
        <f t="shared" si="9"/>
        <v>D</v>
      </c>
    </row>
    <row r="151" spans="2:26" x14ac:dyDescent="0.25">
      <c r="B151" s="11">
        <v>44609</v>
      </c>
      <c r="C151" s="7">
        <v>600003956972</v>
      </c>
      <c r="D151" s="5">
        <v>1</v>
      </c>
      <c r="E151" t="s">
        <v>515</v>
      </c>
      <c r="F151" t="s">
        <v>559</v>
      </c>
      <c r="G151" t="s">
        <v>664</v>
      </c>
      <c r="H151" t="s">
        <v>745</v>
      </c>
      <c r="I151" t="s">
        <v>785</v>
      </c>
      <c r="J151" s="27" t="s">
        <v>525</v>
      </c>
      <c r="K151" s="5" t="s">
        <v>122</v>
      </c>
      <c r="L151" s="1" t="s">
        <v>57</v>
      </c>
      <c r="M151" s="1" t="s">
        <v>36</v>
      </c>
      <c r="N151" s="1" t="s">
        <v>135</v>
      </c>
      <c r="O151" s="1" t="s">
        <v>19</v>
      </c>
      <c r="P151" s="9">
        <v>44610</v>
      </c>
      <c r="Q151" s="1" t="s">
        <v>475</v>
      </c>
      <c r="R151" s="1" t="s">
        <v>63</v>
      </c>
      <c r="S151" s="1">
        <v>2</v>
      </c>
      <c r="T151" s="12">
        <v>0.375</v>
      </c>
      <c r="U151" s="12">
        <v>0.4375</v>
      </c>
      <c r="V151" s="1">
        <v>1.5</v>
      </c>
      <c r="W151" s="1">
        <v>1.5</v>
      </c>
      <c r="X151" s="5">
        <f t="shared" si="8"/>
        <v>3</v>
      </c>
      <c r="Y151" s="5" t="str">
        <f t="shared" si="9"/>
        <v>C</v>
      </c>
    </row>
    <row r="152" spans="2:26" x14ac:dyDescent="0.25">
      <c r="B152" s="11">
        <v>44610</v>
      </c>
      <c r="C152" s="7">
        <v>600003957326</v>
      </c>
      <c r="D152" s="5">
        <v>1</v>
      </c>
      <c r="E152" t="s">
        <v>512</v>
      </c>
      <c r="F152" t="s">
        <v>556</v>
      </c>
      <c r="G152" t="s">
        <v>661</v>
      </c>
      <c r="H152" t="s">
        <v>745</v>
      </c>
      <c r="I152" t="s">
        <v>782</v>
      </c>
      <c r="J152" s="27" t="s">
        <v>525</v>
      </c>
      <c r="K152" s="5" t="s">
        <v>88</v>
      </c>
      <c r="L152" s="1" t="s">
        <v>57</v>
      </c>
      <c r="M152" s="1" t="s">
        <v>137</v>
      </c>
      <c r="N152" s="1" t="s">
        <v>118</v>
      </c>
      <c r="O152" s="1" t="s">
        <v>19</v>
      </c>
      <c r="P152" s="9">
        <v>44610</v>
      </c>
      <c r="Q152" s="1" t="s">
        <v>475</v>
      </c>
      <c r="R152" s="1" t="s">
        <v>50</v>
      </c>
      <c r="S152" s="1">
        <v>1</v>
      </c>
      <c r="T152" s="12">
        <v>0.5</v>
      </c>
      <c r="U152" s="12">
        <v>0.625</v>
      </c>
      <c r="V152" s="1">
        <v>3</v>
      </c>
      <c r="W152" s="1">
        <v>3</v>
      </c>
      <c r="X152" s="5">
        <f t="shared" si="8"/>
        <v>3</v>
      </c>
      <c r="Y152" s="5" t="str">
        <f t="shared" si="9"/>
        <v>B</v>
      </c>
    </row>
    <row r="153" spans="2:26" x14ac:dyDescent="0.25">
      <c r="B153" s="11">
        <v>44610</v>
      </c>
      <c r="C153" s="7">
        <v>600003957325</v>
      </c>
      <c r="D153" s="1">
        <v>1</v>
      </c>
      <c r="E153" t="s">
        <v>515</v>
      </c>
      <c r="F153" t="s">
        <v>559</v>
      </c>
      <c r="G153" t="s">
        <v>664</v>
      </c>
      <c r="H153" t="s">
        <v>745</v>
      </c>
      <c r="I153" t="s">
        <v>785</v>
      </c>
      <c r="J153" s="26" t="s">
        <v>525</v>
      </c>
      <c r="K153" s="1" t="s">
        <v>122</v>
      </c>
      <c r="L153" s="1" t="s">
        <v>57</v>
      </c>
      <c r="M153" s="1" t="s">
        <v>142</v>
      </c>
      <c r="N153" s="1" t="s">
        <v>134</v>
      </c>
      <c r="O153" s="1" t="s">
        <v>19</v>
      </c>
      <c r="P153" s="9">
        <v>44610</v>
      </c>
      <c r="Q153" s="1" t="s">
        <v>479</v>
      </c>
      <c r="R153" s="1" t="s">
        <v>63</v>
      </c>
      <c r="S153" s="1">
        <v>1</v>
      </c>
      <c r="T153" s="12">
        <v>0.27083333333333331</v>
      </c>
      <c r="U153" s="12">
        <v>0.3125</v>
      </c>
      <c r="V153" s="1">
        <v>1</v>
      </c>
      <c r="W153" s="1">
        <v>1</v>
      </c>
      <c r="X153" s="5">
        <f t="shared" si="8"/>
        <v>1</v>
      </c>
      <c r="Y153" s="5" t="str">
        <f t="shared" si="9"/>
        <v>C</v>
      </c>
    </row>
    <row r="154" spans="2:26" x14ac:dyDescent="0.25">
      <c r="B154" s="11">
        <v>44610</v>
      </c>
      <c r="C154" s="7">
        <v>600003957479</v>
      </c>
      <c r="D154" s="5">
        <v>1</v>
      </c>
      <c r="E154" t="s">
        <v>869</v>
      </c>
      <c r="F154" t="s">
        <v>576</v>
      </c>
      <c r="G154" t="s">
        <v>681</v>
      </c>
      <c r="H154" t="s">
        <v>745</v>
      </c>
      <c r="I154" t="s">
        <v>802</v>
      </c>
      <c r="J154" s="27" t="s">
        <v>525</v>
      </c>
      <c r="K154" s="5" t="s">
        <v>15</v>
      </c>
      <c r="L154" s="1" t="s">
        <v>65</v>
      </c>
      <c r="M154" s="1" t="s">
        <v>52</v>
      </c>
      <c r="N154" s="1" t="s">
        <v>138</v>
      </c>
      <c r="O154" s="1" t="s">
        <v>19</v>
      </c>
      <c r="P154" s="9">
        <v>44610</v>
      </c>
      <c r="Q154" s="1" t="s">
        <v>479</v>
      </c>
      <c r="R154" s="1" t="s">
        <v>63</v>
      </c>
      <c r="S154" s="1">
        <v>1</v>
      </c>
      <c r="T154" s="12">
        <v>0.39583333333333331</v>
      </c>
      <c r="U154" s="12">
        <v>0.4375</v>
      </c>
      <c r="V154" s="1">
        <v>1</v>
      </c>
      <c r="W154" s="1">
        <v>1</v>
      </c>
      <c r="X154" s="5">
        <f t="shared" si="8"/>
        <v>1</v>
      </c>
      <c r="Y154" s="5" t="str">
        <f t="shared" si="9"/>
        <v>C</v>
      </c>
      <c r="Z154" s="1">
        <v>1</v>
      </c>
    </row>
    <row r="155" spans="2:26" x14ac:dyDescent="0.25">
      <c r="B155" s="11">
        <v>44613</v>
      </c>
      <c r="C155" s="7">
        <v>600003958801</v>
      </c>
      <c r="D155" s="5">
        <v>1</v>
      </c>
      <c r="E155" t="s">
        <v>504</v>
      </c>
      <c r="F155" t="s">
        <v>548</v>
      </c>
      <c r="G155" t="s">
        <v>653</v>
      </c>
      <c r="H155" t="s">
        <v>745</v>
      </c>
      <c r="I155" t="s">
        <v>774</v>
      </c>
      <c r="J155" s="27" t="s">
        <v>525</v>
      </c>
      <c r="K155" s="5" t="s">
        <v>15</v>
      </c>
      <c r="L155" s="1" t="s">
        <v>79</v>
      </c>
      <c r="M155" s="1" t="s">
        <v>80</v>
      </c>
      <c r="N155" s="1" t="s">
        <v>118</v>
      </c>
      <c r="O155" s="1" t="s">
        <v>19</v>
      </c>
      <c r="P155" s="9">
        <v>44613</v>
      </c>
      <c r="Q155" s="1" t="s">
        <v>475</v>
      </c>
      <c r="R155" s="1" t="s">
        <v>50</v>
      </c>
      <c r="S155" s="1">
        <v>2</v>
      </c>
      <c r="T155" s="12">
        <v>0.54166666666666663</v>
      </c>
      <c r="U155" s="12">
        <v>0.58333333333333337</v>
      </c>
      <c r="V155" s="1">
        <v>1</v>
      </c>
      <c r="W155" s="1">
        <v>1</v>
      </c>
      <c r="X155" s="5">
        <f t="shared" si="8"/>
        <v>2</v>
      </c>
      <c r="Y155" s="5" t="str">
        <f t="shared" si="9"/>
        <v>C</v>
      </c>
      <c r="Z155" s="1">
        <v>1</v>
      </c>
    </row>
    <row r="156" spans="2:26" x14ac:dyDescent="0.25">
      <c r="B156" s="11">
        <v>44613</v>
      </c>
      <c r="C156" s="7">
        <v>600003958572</v>
      </c>
      <c r="D156" s="5">
        <v>1</v>
      </c>
      <c r="E156" t="s">
        <v>882</v>
      </c>
      <c r="F156" t="s">
        <v>588</v>
      </c>
      <c r="G156" t="s">
        <v>694</v>
      </c>
      <c r="H156" t="s">
        <v>745</v>
      </c>
      <c r="I156" t="s">
        <v>815</v>
      </c>
      <c r="J156" s="27" t="s">
        <v>525</v>
      </c>
      <c r="K156" s="5" t="s">
        <v>15</v>
      </c>
      <c r="L156" s="1" t="s">
        <v>57</v>
      </c>
      <c r="M156" s="1" t="s">
        <v>71</v>
      </c>
      <c r="N156" s="1" t="s">
        <v>84</v>
      </c>
      <c r="O156" s="1" t="s">
        <v>19</v>
      </c>
      <c r="P156" s="9">
        <v>44613</v>
      </c>
      <c r="Q156" s="1" t="s">
        <v>479</v>
      </c>
      <c r="R156" s="1" t="s">
        <v>63</v>
      </c>
      <c r="S156" s="1">
        <v>2</v>
      </c>
      <c r="T156" s="12">
        <v>0.33333333333333331</v>
      </c>
      <c r="U156" s="12">
        <v>0.5</v>
      </c>
      <c r="V156" s="1">
        <v>4</v>
      </c>
      <c r="W156" s="1">
        <v>4</v>
      </c>
      <c r="X156" s="5">
        <f t="shared" si="8"/>
        <v>8</v>
      </c>
      <c r="Y156" s="5" t="str">
        <f t="shared" si="9"/>
        <v>B</v>
      </c>
      <c r="Z156" s="1">
        <v>1</v>
      </c>
    </row>
    <row r="157" spans="2:26" x14ac:dyDescent="0.25">
      <c r="B157" s="11">
        <v>44614</v>
      </c>
      <c r="C157" s="7">
        <v>600003960819</v>
      </c>
      <c r="D157" s="5">
        <v>1</v>
      </c>
      <c r="E157" t="s">
        <v>506</v>
      </c>
      <c r="F157" t="s">
        <v>550</v>
      </c>
      <c r="G157" t="s">
        <v>655</v>
      </c>
      <c r="H157" t="s">
        <v>745</v>
      </c>
      <c r="I157" t="s">
        <v>776</v>
      </c>
      <c r="J157" s="26" t="s">
        <v>525</v>
      </c>
      <c r="K157" s="5" t="s">
        <v>15</v>
      </c>
      <c r="L157" s="1" t="s">
        <v>145</v>
      </c>
      <c r="M157" s="1" t="s">
        <v>71</v>
      </c>
      <c r="N157" s="1" t="s">
        <v>120</v>
      </c>
      <c r="O157" s="1" t="s">
        <v>19</v>
      </c>
      <c r="P157" s="9">
        <v>44614</v>
      </c>
      <c r="Q157" s="1" t="s">
        <v>479</v>
      </c>
      <c r="R157" s="1" t="s">
        <v>63</v>
      </c>
      <c r="S157" s="1">
        <v>1</v>
      </c>
      <c r="T157" s="12">
        <v>0.27083333333333331</v>
      </c>
      <c r="U157" s="12">
        <v>0.3125</v>
      </c>
      <c r="V157" s="1">
        <v>1</v>
      </c>
      <c r="W157" s="1">
        <v>1</v>
      </c>
      <c r="X157" s="5">
        <f t="shared" si="8"/>
        <v>1</v>
      </c>
      <c r="Y157" s="5" t="str">
        <f t="shared" si="9"/>
        <v>C</v>
      </c>
      <c r="Z157" s="1">
        <v>1</v>
      </c>
    </row>
    <row r="158" spans="2:26" x14ac:dyDescent="0.25">
      <c r="B158" s="11">
        <v>44614</v>
      </c>
      <c r="C158" s="7">
        <v>600003960816</v>
      </c>
      <c r="D158" s="1">
        <v>1</v>
      </c>
      <c r="E158" t="s">
        <v>866</v>
      </c>
      <c r="F158" t="s">
        <v>573</v>
      </c>
      <c r="G158" t="s">
        <v>678</v>
      </c>
      <c r="H158" t="s">
        <v>745</v>
      </c>
      <c r="I158" t="s">
        <v>799</v>
      </c>
      <c r="J158" s="26" t="s">
        <v>525</v>
      </c>
      <c r="K158" s="1" t="s">
        <v>15</v>
      </c>
      <c r="L158" s="1" t="s">
        <v>57</v>
      </c>
      <c r="M158" s="1" t="s">
        <v>71</v>
      </c>
      <c r="N158" s="1" t="s">
        <v>116</v>
      </c>
      <c r="O158" s="1" t="s">
        <v>19</v>
      </c>
      <c r="P158" s="9">
        <v>44614</v>
      </c>
      <c r="Q158" s="1" t="s">
        <v>479</v>
      </c>
      <c r="R158" s="1" t="s">
        <v>20</v>
      </c>
      <c r="S158" s="1">
        <v>2</v>
      </c>
      <c r="T158" s="12">
        <v>0.41666666666666669</v>
      </c>
      <c r="U158" s="12">
        <v>0.47916666666666669</v>
      </c>
      <c r="V158" s="1">
        <v>1.5</v>
      </c>
      <c r="W158" s="1">
        <v>1.5</v>
      </c>
      <c r="X158" s="5">
        <f t="shared" si="8"/>
        <v>3</v>
      </c>
      <c r="Y158" s="5" t="str">
        <f t="shared" si="9"/>
        <v>C</v>
      </c>
      <c r="Z158" s="1">
        <v>1</v>
      </c>
    </row>
    <row r="159" spans="2:26" x14ac:dyDescent="0.25">
      <c r="B159" s="11">
        <v>44614</v>
      </c>
      <c r="C159" s="7">
        <v>600003960825</v>
      </c>
      <c r="D159" s="1">
        <v>1</v>
      </c>
      <c r="E159" t="s">
        <v>504</v>
      </c>
      <c r="F159" t="s">
        <v>548</v>
      </c>
      <c r="G159" t="s">
        <v>653</v>
      </c>
      <c r="H159" t="s">
        <v>745</v>
      </c>
      <c r="I159" t="s">
        <v>774</v>
      </c>
      <c r="J159" s="26" t="s">
        <v>525</v>
      </c>
      <c r="K159" s="1" t="s">
        <v>15</v>
      </c>
      <c r="L159" s="1" t="s">
        <v>79</v>
      </c>
      <c r="M159" s="1" t="s">
        <v>128</v>
      </c>
      <c r="N159" s="1" t="s">
        <v>146</v>
      </c>
      <c r="O159" s="1" t="s">
        <v>19</v>
      </c>
      <c r="P159" s="9">
        <v>44614</v>
      </c>
      <c r="Q159" s="1" t="s">
        <v>475</v>
      </c>
      <c r="R159" s="1" t="s">
        <v>50</v>
      </c>
      <c r="S159" s="1">
        <v>1</v>
      </c>
      <c r="T159" s="12">
        <v>0.54166666666666663</v>
      </c>
      <c r="U159" s="12">
        <v>0.625</v>
      </c>
      <c r="V159" s="1">
        <v>2</v>
      </c>
      <c r="W159" s="1">
        <v>2</v>
      </c>
      <c r="X159" s="5">
        <f t="shared" si="8"/>
        <v>2</v>
      </c>
      <c r="Y159" s="5" t="str">
        <f t="shared" si="9"/>
        <v>C</v>
      </c>
      <c r="Z159" s="1">
        <v>1</v>
      </c>
    </row>
    <row r="160" spans="2:26" x14ac:dyDescent="0.25">
      <c r="B160" s="11">
        <v>44614</v>
      </c>
      <c r="C160" s="7">
        <v>600003960995</v>
      </c>
      <c r="D160" s="5">
        <v>1</v>
      </c>
      <c r="E160" t="s">
        <v>506</v>
      </c>
      <c r="F160" t="s">
        <v>550</v>
      </c>
      <c r="G160" t="s">
        <v>655</v>
      </c>
      <c r="H160" t="s">
        <v>745</v>
      </c>
      <c r="I160" t="s">
        <v>776</v>
      </c>
      <c r="J160" s="27" t="s">
        <v>525</v>
      </c>
      <c r="K160" s="5" t="s">
        <v>15</v>
      </c>
      <c r="L160" s="1" t="s">
        <v>148</v>
      </c>
      <c r="M160" s="1" t="s">
        <v>38</v>
      </c>
      <c r="N160" s="1" t="s">
        <v>147</v>
      </c>
      <c r="O160" s="1" t="s">
        <v>19</v>
      </c>
      <c r="P160" s="9">
        <v>44614</v>
      </c>
      <c r="Q160" s="1" t="s">
        <v>475</v>
      </c>
      <c r="R160" s="1" t="s">
        <v>63</v>
      </c>
      <c r="S160" s="1">
        <v>3</v>
      </c>
      <c r="T160" s="12">
        <v>0.33333333333333331</v>
      </c>
      <c r="U160" s="12">
        <v>0.47916666666666669</v>
      </c>
      <c r="V160" s="1">
        <v>3.5</v>
      </c>
      <c r="W160" s="1">
        <v>3.5</v>
      </c>
      <c r="X160" s="5">
        <f t="shared" si="8"/>
        <v>10.5</v>
      </c>
      <c r="Y160" s="5" t="str">
        <f t="shared" si="9"/>
        <v>B</v>
      </c>
      <c r="Z160" s="1">
        <v>1</v>
      </c>
    </row>
    <row r="161" spans="2:26" x14ac:dyDescent="0.25">
      <c r="B161" s="11">
        <v>44614</v>
      </c>
      <c r="C161" s="7">
        <v>600003960821</v>
      </c>
      <c r="D161" s="4">
        <v>1</v>
      </c>
      <c r="E161" t="s">
        <v>494</v>
      </c>
      <c r="F161" t="s">
        <v>538</v>
      </c>
      <c r="G161" t="s">
        <v>643</v>
      </c>
      <c r="H161" t="s">
        <v>745</v>
      </c>
      <c r="I161" t="s">
        <v>764</v>
      </c>
      <c r="J161" s="29" t="s">
        <v>525</v>
      </c>
      <c r="K161" s="4" t="s">
        <v>15</v>
      </c>
      <c r="L161" s="1" t="s">
        <v>57</v>
      </c>
      <c r="M161" s="1" t="s">
        <v>114</v>
      </c>
      <c r="N161" s="1" t="s">
        <v>115</v>
      </c>
      <c r="O161" s="1" t="s">
        <v>19</v>
      </c>
      <c r="P161" s="9">
        <v>44614</v>
      </c>
      <c r="Q161" s="1" t="s">
        <v>477</v>
      </c>
      <c r="R161" s="1" t="s">
        <v>63</v>
      </c>
      <c r="S161" s="1">
        <v>1</v>
      </c>
      <c r="T161" s="12">
        <v>0.54166666666666663</v>
      </c>
      <c r="U161" s="12">
        <v>0.60416666666666663</v>
      </c>
      <c r="V161" s="1">
        <v>1.5</v>
      </c>
      <c r="W161" s="1">
        <v>0</v>
      </c>
      <c r="X161" s="5">
        <f t="shared" si="8"/>
        <v>1.5</v>
      </c>
      <c r="Y161" s="5" t="str">
        <f t="shared" si="9"/>
        <v>D</v>
      </c>
      <c r="Z161" s="1">
        <v>1</v>
      </c>
    </row>
    <row r="162" spans="2:26" x14ac:dyDescent="0.25">
      <c r="B162" s="11">
        <v>44614</v>
      </c>
      <c r="C162" s="7">
        <v>600003961002</v>
      </c>
      <c r="D162" s="5">
        <v>1</v>
      </c>
      <c r="E162" t="s">
        <v>877</v>
      </c>
      <c r="F162" t="s">
        <v>583</v>
      </c>
      <c r="G162" t="s">
        <v>689</v>
      </c>
      <c r="H162" t="s">
        <v>747</v>
      </c>
      <c r="I162" t="s">
        <v>810</v>
      </c>
      <c r="J162" s="27" t="s">
        <v>524</v>
      </c>
      <c r="K162" s="5" t="s">
        <v>151</v>
      </c>
      <c r="L162" s="1" t="s">
        <v>79</v>
      </c>
      <c r="M162" s="1" t="s">
        <v>80</v>
      </c>
      <c r="N162" s="1" t="s">
        <v>152</v>
      </c>
      <c r="O162" s="1" t="s">
        <v>19</v>
      </c>
      <c r="P162" s="9">
        <v>44614</v>
      </c>
      <c r="Q162" s="1" t="s">
        <v>473</v>
      </c>
      <c r="R162" s="1" t="s">
        <v>50</v>
      </c>
      <c r="S162" s="1">
        <v>1</v>
      </c>
      <c r="T162" s="12">
        <v>0.41666666666666669</v>
      </c>
      <c r="U162" s="12">
        <v>0.66666666666666663</v>
      </c>
      <c r="V162" s="1">
        <v>6</v>
      </c>
      <c r="W162" s="1">
        <v>6</v>
      </c>
      <c r="X162" s="5">
        <f t="shared" si="8"/>
        <v>6</v>
      </c>
      <c r="Y162" s="5" t="str">
        <f t="shared" si="9"/>
        <v>B</v>
      </c>
      <c r="Z162" s="1">
        <v>1</v>
      </c>
    </row>
    <row r="163" spans="2:26" x14ac:dyDescent="0.25">
      <c r="B163" s="11">
        <v>44615</v>
      </c>
      <c r="C163" s="7">
        <v>600003961470</v>
      </c>
      <c r="D163" s="1">
        <v>1</v>
      </c>
      <c r="E163" t="s">
        <v>492</v>
      </c>
      <c r="F163" t="s">
        <v>536</v>
      </c>
      <c r="G163" t="s">
        <v>641</v>
      </c>
      <c r="H163" t="s">
        <v>740</v>
      </c>
      <c r="I163" t="s">
        <v>762</v>
      </c>
      <c r="J163" s="26" t="s">
        <v>524</v>
      </c>
      <c r="K163" s="1" t="s">
        <v>73</v>
      </c>
      <c r="L163" s="1" t="s">
        <v>74</v>
      </c>
      <c r="M163" s="1" t="s">
        <v>36</v>
      </c>
      <c r="N163" s="1" t="s">
        <v>75</v>
      </c>
      <c r="O163" s="1" t="s">
        <v>19</v>
      </c>
      <c r="P163" s="9">
        <v>44615</v>
      </c>
      <c r="Q163" s="1" t="s">
        <v>480</v>
      </c>
      <c r="R163" s="1" t="s">
        <v>63</v>
      </c>
      <c r="S163" s="1">
        <v>2</v>
      </c>
      <c r="T163" s="12">
        <v>0.33333333333333331</v>
      </c>
      <c r="U163" s="12">
        <v>0.41666666666666669</v>
      </c>
      <c r="V163" s="1">
        <v>2</v>
      </c>
      <c r="W163" s="1">
        <v>2</v>
      </c>
      <c r="X163" s="5">
        <f t="shared" si="8"/>
        <v>4</v>
      </c>
      <c r="Y163" s="5" t="str">
        <f t="shared" si="9"/>
        <v>C</v>
      </c>
      <c r="Z163" s="1">
        <v>1</v>
      </c>
    </row>
    <row r="164" spans="2:26" x14ac:dyDescent="0.25">
      <c r="B164" s="11">
        <v>44616</v>
      </c>
      <c r="C164" s="7">
        <v>600003962124</v>
      </c>
      <c r="D164" s="5">
        <v>1</v>
      </c>
      <c r="E164" t="s">
        <v>506</v>
      </c>
      <c r="F164" t="s">
        <v>550</v>
      </c>
      <c r="G164" t="s">
        <v>655</v>
      </c>
      <c r="H164" t="s">
        <v>745</v>
      </c>
      <c r="I164" t="s">
        <v>776</v>
      </c>
      <c r="J164" s="27" t="s">
        <v>525</v>
      </c>
      <c r="K164" s="5" t="s">
        <v>15</v>
      </c>
      <c r="L164" s="1" t="s">
        <v>79</v>
      </c>
      <c r="M164" s="1" t="s">
        <v>80</v>
      </c>
      <c r="N164" s="1" t="s">
        <v>110</v>
      </c>
      <c r="O164" s="1" t="s">
        <v>19</v>
      </c>
      <c r="P164" s="9">
        <v>44617</v>
      </c>
      <c r="Q164" s="1" t="s">
        <v>475</v>
      </c>
      <c r="R164" s="1" t="s">
        <v>50</v>
      </c>
      <c r="S164" s="1">
        <v>2</v>
      </c>
      <c r="T164" s="12">
        <v>0.41666666666666669</v>
      </c>
      <c r="U164" s="12">
        <v>0.45833333333333331</v>
      </c>
      <c r="V164" s="1">
        <v>1</v>
      </c>
      <c r="W164" s="1">
        <v>1</v>
      </c>
      <c r="X164" s="5">
        <v>2</v>
      </c>
      <c r="Y164" s="5" t="s">
        <v>46</v>
      </c>
      <c r="Z164" s="1">
        <v>1</v>
      </c>
    </row>
    <row r="165" spans="2:26" x14ac:dyDescent="0.25">
      <c r="B165" s="11">
        <v>44616</v>
      </c>
      <c r="C165" s="7">
        <v>600003962009</v>
      </c>
      <c r="D165" s="5">
        <v>1</v>
      </c>
      <c r="E165" t="s">
        <v>511</v>
      </c>
      <c r="F165" t="s">
        <v>555</v>
      </c>
      <c r="G165" t="s">
        <v>660</v>
      </c>
      <c r="H165" t="s">
        <v>745</v>
      </c>
      <c r="I165" t="s">
        <v>781</v>
      </c>
      <c r="J165" s="27" t="s">
        <v>525</v>
      </c>
      <c r="K165" s="5" t="s">
        <v>15</v>
      </c>
      <c r="L165" s="1" t="s">
        <v>57</v>
      </c>
      <c r="M165" s="1" t="s">
        <v>60</v>
      </c>
      <c r="N165" s="1" t="s">
        <v>84</v>
      </c>
      <c r="O165" s="1" t="s">
        <v>19</v>
      </c>
      <c r="P165" s="9">
        <v>44616</v>
      </c>
      <c r="Q165" s="1" t="s">
        <v>479</v>
      </c>
      <c r="R165" s="1" t="s">
        <v>63</v>
      </c>
      <c r="S165" s="1">
        <v>1</v>
      </c>
      <c r="T165" s="12">
        <v>0.64583333333333337</v>
      </c>
      <c r="U165" s="12">
        <v>0.6875</v>
      </c>
      <c r="V165" s="1">
        <v>1</v>
      </c>
      <c r="W165" s="1">
        <v>1</v>
      </c>
      <c r="X165" s="5">
        <v>1</v>
      </c>
      <c r="Y165" s="5" t="s">
        <v>46</v>
      </c>
      <c r="Z165" s="1">
        <v>1</v>
      </c>
    </row>
    <row r="166" spans="2:26" x14ac:dyDescent="0.25">
      <c r="B166" s="11">
        <v>44617</v>
      </c>
      <c r="C166" s="7">
        <v>600003962601</v>
      </c>
      <c r="D166" s="5">
        <v>1</v>
      </c>
      <c r="E166" t="s">
        <v>883</v>
      </c>
      <c r="F166" t="s">
        <v>589</v>
      </c>
      <c r="G166" t="s">
        <v>695</v>
      </c>
      <c r="H166" t="s">
        <v>741</v>
      </c>
      <c r="I166" t="s">
        <v>816</v>
      </c>
      <c r="J166" s="27" t="s">
        <v>524</v>
      </c>
      <c r="K166" s="5" t="s">
        <v>127</v>
      </c>
      <c r="L166" s="1" t="s">
        <v>79</v>
      </c>
      <c r="M166" s="1" t="s">
        <v>128</v>
      </c>
      <c r="N166" s="1" t="s">
        <v>136</v>
      </c>
      <c r="O166" s="1" t="s">
        <v>19</v>
      </c>
      <c r="P166" s="9">
        <v>44617</v>
      </c>
      <c r="Q166" s="1" t="s">
        <v>480</v>
      </c>
      <c r="R166" s="1" t="s">
        <v>50</v>
      </c>
      <c r="S166" s="1">
        <v>2</v>
      </c>
      <c r="T166" s="12">
        <v>0.375</v>
      </c>
      <c r="U166" s="12">
        <v>0.41666666666666669</v>
      </c>
      <c r="V166" s="1">
        <v>1</v>
      </c>
      <c r="W166" s="1">
        <v>1</v>
      </c>
      <c r="X166" s="5">
        <v>2</v>
      </c>
      <c r="Y166" s="5" t="s">
        <v>46</v>
      </c>
      <c r="Z166" s="1">
        <v>1</v>
      </c>
    </row>
    <row r="167" spans="2:26" x14ac:dyDescent="0.25">
      <c r="B167" s="11">
        <v>44617</v>
      </c>
      <c r="C167" s="7">
        <v>600003962453</v>
      </c>
      <c r="D167" s="1">
        <v>1</v>
      </c>
      <c r="E167" t="s">
        <v>511</v>
      </c>
      <c r="F167" t="s">
        <v>555</v>
      </c>
      <c r="G167" t="s">
        <v>660</v>
      </c>
      <c r="H167" t="s">
        <v>745</v>
      </c>
      <c r="I167" t="s">
        <v>781</v>
      </c>
      <c r="J167" s="26" t="s">
        <v>525</v>
      </c>
      <c r="K167" s="1" t="s">
        <v>15</v>
      </c>
      <c r="L167" s="1" t="s">
        <v>57</v>
      </c>
      <c r="M167" s="1" t="s">
        <v>60</v>
      </c>
      <c r="N167" s="1" t="s">
        <v>131</v>
      </c>
      <c r="O167" s="1" t="s">
        <v>19</v>
      </c>
      <c r="P167" s="9">
        <v>44617</v>
      </c>
      <c r="Q167" s="1" t="s">
        <v>479</v>
      </c>
      <c r="R167" s="1" t="s">
        <v>63</v>
      </c>
      <c r="S167" s="1">
        <v>2</v>
      </c>
      <c r="T167" s="12">
        <v>0.29166666666666669</v>
      </c>
      <c r="U167" s="12">
        <v>0.33333333333333331</v>
      </c>
      <c r="V167" s="1">
        <v>1</v>
      </c>
      <c r="W167" s="1">
        <v>1</v>
      </c>
      <c r="X167" s="5">
        <v>2</v>
      </c>
      <c r="Y167" s="5" t="s">
        <v>46</v>
      </c>
      <c r="Z167" s="1">
        <v>1</v>
      </c>
    </row>
    <row r="168" spans="2:26" x14ac:dyDescent="0.25">
      <c r="B168" s="11">
        <v>44617</v>
      </c>
      <c r="C168" s="7">
        <v>600003962567</v>
      </c>
      <c r="D168" s="5">
        <v>1</v>
      </c>
      <c r="E168" t="s">
        <v>512</v>
      </c>
      <c r="F168" t="s">
        <v>556</v>
      </c>
      <c r="G168" t="s">
        <v>661</v>
      </c>
      <c r="H168" t="s">
        <v>745</v>
      </c>
      <c r="I168" t="s">
        <v>782</v>
      </c>
      <c r="J168" s="27" t="s">
        <v>525</v>
      </c>
      <c r="K168" s="5" t="s">
        <v>88</v>
      </c>
      <c r="L168" s="1" t="s">
        <v>57</v>
      </c>
      <c r="M168" s="1" t="s">
        <v>96</v>
      </c>
      <c r="N168" s="1" t="s">
        <v>134</v>
      </c>
      <c r="O168" s="1" t="s">
        <v>19</v>
      </c>
      <c r="P168" s="9">
        <v>44617</v>
      </c>
      <c r="Q168" s="1" t="s">
        <v>475</v>
      </c>
      <c r="R168" s="1" t="s">
        <v>63</v>
      </c>
      <c r="S168" s="1">
        <v>1</v>
      </c>
      <c r="T168" s="12">
        <v>0.39583333333333331</v>
      </c>
      <c r="U168" s="12">
        <v>0.45833333333333331</v>
      </c>
      <c r="V168" s="1">
        <v>1.5</v>
      </c>
      <c r="W168" s="1">
        <v>1.5</v>
      </c>
      <c r="X168" s="5">
        <v>1.5</v>
      </c>
      <c r="Y168" s="5" t="s">
        <v>46</v>
      </c>
      <c r="Z168" s="1">
        <v>1</v>
      </c>
    </row>
    <row r="169" spans="2:26" x14ac:dyDescent="0.25">
      <c r="B169" s="11">
        <v>44617</v>
      </c>
      <c r="C169" s="7">
        <v>600003962456</v>
      </c>
      <c r="D169" s="1">
        <v>1</v>
      </c>
      <c r="E169" t="s">
        <v>505</v>
      </c>
      <c r="F169" t="s">
        <v>549</v>
      </c>
      <c r="G169" t="s">
        <v>654</v>
      </c>
      <c r="H169" t="s">
        <v>745</v>
      </c>
      <c r="I169" t="s">
        <v>775</v>
      </c>
      <c r="J169" s="27" t="s">
        <v>525</v>
      </c>
      <c r="K169" s="5" t="s">
        <v>15</v>
      </c>
      <c r="L169" s="1" t="s">
        <v>57</v>
      </c>
      <c r="M169" s="1" t="s">
        <v>60</v>
      </c>
      <c r="N169" s="1" t="s">
        <v>131</v>
      </c>
      <c r="O169" s="1" t="s">
        <v>19</v>
      </c>
      <c r="P169" s="9">
        <v>44617</v>
      </c>
      <c r="Q169" s="1" t="s">
        <v>479</v>
      </c>
      <c r="R169" s="1" t="s">
        <v>63</v>
      </c>
      <c r="S169" s="1">
        <v>1</v>
      </c>
      <c r="T169" s="12">
        <v>0.29166666666666669</v>
      </c>
      <c r="U169" s="12">
        <v>0.39583333333333331</v>
      </c>
      <c r="V169" s="1">
        <v>2.5</v>
      </c>
      <c r="W169" s="1">
        <v>2.5</v>
      </c>
      <c r="X169" s="5">
        <v>2.5</v>
      </c>
      <c r="Y169" s="5" t="s">
        <v>98</v>
      </c>
      <c r="Z169" s="1">
        <v>1</v>
      </c>
    </row>
    <row r="170" spans="2:26" x14ac:dyDescent="0.25">
      <c r="B170" s="11">
        <v>44617</v>
      </c>
      <c r="C170" s="7">
        <v>600003962451</v>
      </c>
      <c r="D170" s="1">
        <v>1</v>
      </c>
      <c r="E170" t="s">
        <v>486</v>
      </c>
      <c r="F170" t="s">
        <v>530</v>
      </c>
      <c r="G170" t="s">
        <v>635</v>
      </c>
      <c r="H170" t="s">
        <v>740</v>
      </c>
      <c r="I170" t="s">
        <v>756</v>
      </c>
      <c r="J170" s="26" t="s">
        <v>524</v>
      </c>
      <c r="K170" s="1" t="s">
        <v>69</v>
      </c>
      <c r="L170" s="1" t="s">
        <v>40</v>
      </c>
      <c r="M170" s="1" t="s">
        <v>73</v>
      </c>
      <c r="N170" s="1" t="s">
        <v>159</v>
      </c>
      <c r="O170" s="1" t="s">
        <v>19</v>
      </c>
      <c r="P170" s="9">
        <v>44616</v>
      </c>
      <c r="Q170" s="1" t="s">
        <v>480</v>
      </c>
      <c r="R170" s="1" t="s">
        <v>63</v>
      </c>
      <c r="S170" s="1">
        <v>2</v>
      </c>
      <c r="T170" s="12">
        <v>0.25</v>
      </c>
      <c r="U170" s="12">
        <v>0.45833333333333331</v>
      </c>
      <c r="V170" s="1">
        <v>5</v>
      </c>
      <c r="W170" s="1">
        <v>0</v>
      </c>
      <c r="X170" s="5">
        <f>PRODUCT(S170,V170)</f>
        <v>10</v>
      </c>
      <c r="Y170" s="5" t="str">
        <f>IF(W170=0,"D",IF(W170&lt;=2,"C",IF(W170&lt;=8,"B",IF(W170&gt;8,"A"))))</f>
        <v>D</v>
      </c>
      <c r="Z170" s="1">
        <v>1</v>
      </c>
    </row>
    <row r="171" spans="2:26" x14ac:dyDescent="0.25">
      <c r="B171" s="11">
        <v>44622</v>
      </c>
      <c r="C171" s="7">
        <v>600003964859</v>
      </c>
      <c r="D171" s="1">
        <v>1</v>
      </c>
      <c r="E171" t="s">
        <v>501</v>
      </c>
      <c r="F171" t="s">
        <v>545</v>
      </c>
      <c r="G171" t="s">
        <v>650</v>
      </c>
      <c r="H171" t="s">
        <v>740</v>
      </c>
      <c r="I171" t="s">
        <v>771</v>
      </c>
      <c r="J171" s="26" t="s">
        <v>524</v>
      </c>
      <c r="K171" s="1" t="s">
        <v>70</v>
      </c>
      <c r="L171" s="1" t="s">
        <v>74</v>
      </c>
      <c r="M171" s="1" t="s">
        <v>55</v>
      </c>
      <c r="N171" s="1" t="s">
        <v>83</v>
      </c>
      <c r="O171" s="1" t="s">
        <v>19</v>
      </c>
      <c r="P171" s="9">
        <v>44632</v>
      </c>
      <c r="Q171" s="1" t="s">
        <v>473</v>
      </c>
      <c r="R171" s="1" t="s">
        <v>63</v>
      </c>
      <c r="S171" s="1">
        <v>2</v>
      </c>
      <c r="T171" s="12">
        <v>0.25</v>
      </c>
      <c r="U171" s="12">
        <v>0.375</v>
      </c>
      <c r="V171" s="1">
        <v>3</v>
      </c>
      <c r="W171" s="1">
        <v>3</v>
      </c>
      <c r="X171" s="5">
        <v>6</v>
      </c>
      <c r="Y171" s="5" t="s">
        <v>98</v>
      </c>
      <c r="Z171" s="1">
        <v>1</v>
      </c>
    </row>
    <row r="172" spans="2:26" x14ac:dyDescent="0.25">
      <c r="B172" s="11">
        <v>44622</v>
      </c>
      <c r="C172" s="7">
        <v>600003964963</v>
      </c>
      <c r="D172" s="1">
        <v>1</v>
      </c>
      <c r="E172" t="s">
        <v>884</v>
      </c>
      <c r="F172" t="s">
        <v>590</v>
      </c>
      <c r="G172" t="s">
        <v>696</v>
      </c>
      <c r="H172" t="s">
        <v>745</v>
      </c>
      <c r="I172" t="s">
        <v>817</v>
      </c>
      <c r="J172" s="26" t="s">
        <v>525</v>
      </c>
      <c r="K172" s="1" t="s">
        <v>44</v>
      </c>
      <c r="L172" s="1" t="s">
        <v>57</v>
      </c>
      <c r="M172" s="1" t="s">
        <v>114</v>
      </c>
      <c r="N172" s="1" t="s">
        <v>115</v>
      </c>
      <c r="O172" s="1" t="s">
        <v>19</v>
      </c>
      <c r="P172" s="9">
        <v>44630</v>
      </c>
      <c r="Q172" s="1" t="s">
        <v>479</v>
      </c>
      <c r="R172" s="1" t="s">
        <v>63</v>
      </c>
      <c r="S172" s="1">
        <v>2</v>
      </c>
      <c r="T172" s="12">
        <v>0.29166666666666669</v>
      </c>
      <c r="U172" s="12">
        <v>0.33333333333333331</v>
      </c>
      <c r="V172" s="1">
        <v>1</v>
      </c>
      <c r="W172" s="1">
        <v>0</v>
      </c>
      <c r="X172" s="5">
        <v>2</v>
      </c>
      <c r="Y172" s="5" t="s">
        <v>21</v>
      </c>
      <c r="Z172" s="1">
        <v>1</v>
      </c>
    </row>
    <row r="173" spans="2:26" x14ac:dyDescent="0.25">
      <c r="B173" s="11">
        <v>44622</v>
      </c>
      <c r="C173" s="7">
        <v>600003964962</v>
      </c>
      <c r="D173" s="5">
        <v>1</v>
      </c>
      <c r="E173" t="s">
        <v>885</v>
      </c>
      <c r="F173" t="s">
        <v>591</v>
      </c>
      <c r="G173" t="s">
        <v>697</v>
      </c>
      <c r="H173" t="s">
        <v>745</v>
      </c>
      <c r="I173" t="s">
        <v>818</v>
      </c>
      <c r="J173" s="27" t="s">
        <v>525</v>
      </c>
      <c r="K173" s="5" t="s">
        <v>15</v>
      </c>
      <c r="L173" s="1" t="s">
        <v>79</v>
      </c>
      <c r="M173" s="1" t="s">
        <v>80</v>
      </c>
      <c r="N173" s="1" t="s">
        <v>133</v>
      </c>
      <c r="O173" s="1" t="s">
        <v>19</v>
      </c>
      <c r="P173" s="9">
        <v>44622</v>
      </c>
      <c r="Q173" s="1" t="s">
        <v>475</v>
      </c>
      <c r="R173" s="1" t="s">
        <v>50</v>
      </c>
      <c r="S173" s="1">
        <v>1</v>
      </c>
      <c r="T173" s="12">
        <v>0.54166666666666663</v>
      </c>
      <c r="U173" s="12">
        <v>0.60416666666666663</v>
      </c>
      <c r="V173" s="1">
        <v>1.5</v>
      </c>
      <c r="W173" s="1">
        <v>0</v>
      </c>
      <c r="X173" s="5">
        <v>1.5</v>
      </c>
      <c r="Y173" s="5" t="s">
        <v>21</v>
      </c>
      <c r="Z173" s="1">
        <v>1</v>
      </c>
    </row>
    <row r="174" spans="2:26" x14ac:dyDescent="0.25">
      <c r="B174" s="11">
        <v>44622</v>
      </c>
      <c r="C174" s="7">
        <v>600003964759</v>
      </c>
      <c r="D174" s="1">
        <v>1</v>
      </c>
      <c r="E174" t="s">
        <v>885</v>
      </c>
      <c r="F174" t="s">
        <v>591</v>
      </c>
      <c r="G174" t="s">
        <v>697</v>
      </c>
      <c r="H174" t="s">
        <v>745</v>
      </c>
      <c r="I174" t="s">
        <v>818</v>
      </c>
      <c r="J174" s="26" t="s">
        <v>525</v>
      </c>
      <c r="K174" s="1" t="s">
        <v>15</v>
      </c>
      <c r="L174" s="1" t="s">
        <v>79</v>
      </c>
      <c r="M174" s="1" t="s">
        <v>80</v>
      </c>
      <c r="N174" s="1" t="s">
        <v>133</v>
      </c>
      <c r="O174" s="1" t="s">
        <v>19</v>
      </c>
      <c r="P174" s="9">
        <v>44623</v>
      </c>
      <c r="Q174" s="1" t="s">
        <v>475</v>
      </c>
      <c r="R174" s="1" t="s">
        <v>50</v>
      </c>
      <c r="S174" s="1">
        <v>1</v>
      </c>
      <c r="T174" s="12">
        <v>0.5</v>
      </c>
      <c r="U174" s="12">
        <v>0.5625</v>
      </c>
      <c r="V174" s="1">
        <v>1.5</v>
      </c>
      <c r="W174" s="1">
        <v>0</v>
      </c>
      <c r="X174" s="5">
        <v>1.5</v>
      </c>
      <c r="Y174" s="5" t="s">
        <v>21</v>
      </c>
      <c r="Z174" s="1">
        <v>1</v>
      </c>
    </row>
    <row r="175" spans="2:26" x14ac:dyDescent="0.25">
      <c r="B175" s="11">
        <v>44623</v>
      </c>
      <c r="C175" s="7">
        <v>600003965460</v>
      </c>
      <c r="D175" s="5">
        <v>1</v>
      </c>
      <c r="E175" t="s">
        <v>513</v>
      </c>
      <c r="F175" t="s">
        <v>557</v>
      </c>
      <c r="G175" t="s">
        <v>662</v>
      </c>
      <c r="H175" t="s">
        <v>748</v>
      </c>
      <c r="I175" t="s">
        <v>783</v>
      </c>
      <c r="J175" s="27" t="s">
        <v>525</v>
      </c>
      <c r="K175" s="5" t="s">
        <v>13</v>
      </c>
      <c r="L175" s="1" t="s">
        <v>57</v>
      </c>
      <c r="M175" s="1" t="s">
        <v>114</v>
      </c>
      <c r="N175" s="1" t="s">
        <v>226</v>
      </c>
      <c r="O175" s="1" t="s">
        <v>19</v>
      </c>
      <c r="P175" s="9">
        <v>44658</v>
      </c>
      <c r="Q175" s="1" t="s">
        <v>473</v>
      </c>
      <c r="R175" s="1" t="s">
        <v>63</v>
      </c>
      <c r="S175" s="1">
        <v>2</v>
      </c>
      <c r="T175" s="12">
        <v>0.54166666666666663</v>
      </c>
      <c r="U175" s="12">
        <v>0.66666666666666663</v>
      </c>
      <c r="V175" s="1">
        <v>2</v>
      </c>
      <c r="W175" s="1">
        <v>2</v>
      </c>
      <c r="X175" s="5">
        <f>PRODUCT(S175,V175)</f>
        <v>4</v>
      </c>
      <c r="Y175" s="5" t="str">
        <f>IF(W175=0,"D",IF(W175&lt;=2,"C",IF(W175&lt;=8,"B",IF(W175&gt;8,"A"))))</f>
        <v>C</v>
      </c>
      <c r="Z175" s="1">
        <v>1</v>
      </c>
    </row>
    <row r="176" spans="2:26" x14ac:dyDescent="0.25">
      <c r="B176" s="11">
        <v>44623</v>
      </c>
      <c r="C176" s="7">
        <v>600003965221</v>
      </c>
      <c r="D176" s="5">
        <v>1</v>
      </c>
      <c r="E176" t="s">
        <v>886</v>
      </c>
      <c r="F176" t="s">
        <v>567</v>
      </c>
      <c r="G176" t="s">
        <v>698</v>
      </c>
      <c r="H176" t="s">
        <v>744</v>
      </c>
      <c r="I176" t="s">
        <v>819</v>
      </c>
      <c r="J176" s="27" t="s">
        <v>524</v>
      </c>
      <c r="K176" s="5" t="s">
        <v>123</v>
      </c>
      <c r="L176" s="1" t="s">
        <v>148</v>
      </c>
      <c r="M176" s="1" t="s">
        <v>123</v>
      </c>
      <c r="N176" s="1" t="s">
        <v>239</v>
      </c>
      <c r="O176" s="1" t="s">
        <v>176</v>
      </c>
      <c r="P176" s="9">
        <v>44623</v>
      </c>
      <c r="Q176" s="1" t="s">
        <v>474</v>
      </c>
      <c r="R176" s="1" t="s">
        <v>63</v>
      </c>
      <c r="S176" s="1">
        <v>2</v>
      </c>
      <c r="T176" s="12">
        <v>0.375</v>
      </c>
      <c r="U176" s="12">
        <v>0.45833333333333331</v>
      </c>
      <c r="V176" s="1">
        <v>2</v>
      </c>
      <c r="W176" s="1">
        <v>2</v>
      </c>
      <c r="X176" s="5">
        <f>PRODUCT(S176,V176)</f>
        <v>4</v>
      </c>
      <c r="Y176" s="5" t="str">
        <f>IF(W176=0,"D",IF(W176&lt;=2,"C",IF(W176&lt;=8,"B",IF(W176&gt;8,"A"))))</f>
        <v>C</v>
      </c>
      <c r="Z176" s="1">
        <v>1</v>
      </c>
    </row>
    <row r="177" spans="2:26" x14ac:dyDescent="0.25">
      <c r="B177" s="11">
        <v>44627</v>
      </c>
      <c r="C177" s="7">
        <v>600003967049</v>
      </c>
      <c r="D177" s="5">
        <v>1</v>
      </c>
      <c r="E177" t="s">
        <v>864</v>
      </c>
      <c r="F177" t="s">
        <v>571</v>
      </c>
      <c r="G177" t="s">
        <v>676</v>
      </c>
      <c r="H177" t="s">
        <v>745</v>
      </c>
      <c r="I177" t="s">
        <v>797</v>
      </c>
      <c r="J177" s="27" t="s">
        <v>525</v>
      </c>
      <c r="K177" s="5" t="s">
        <v>15</v>
      </c>
      <c r="L177" s="1" t="s">
        <v>57</v>
      </c>
      <c r="M177" s="1" t="s">
        <v>71</v>
      </c>
      <c r="N177" s="1" t="s">
        <v>56</v>
      </c>
      <c r="O177" s="1" t="s">
        <v>19</v>
      </c>
      <c r="P177" s="9">
        <v>44627</v>
      </c>
      <c r="Q177" s="1" t="s">
        <v>479</v>
      </c>
      <c r="R177" s="1" t="s">
        <v>20</v>
      </c>
      <c r="S177" s="1">
        <v>2</v>
      </c>
      <c r="T177" s="12">
        <v>0.60416666666666663</v>
      </c>
      <c r="U177" s="12">
        <v>0.64583333333333337</v>
      </c>
      <c r="V177" s="1">
        <v>1</v>
      </c>
      <c r="W177" s="1">
        <v>1</v>
      </c>
      <c r="X177" s="5">
        <v>2</v>
      </c>
      <c r="Y177" s="5" t="s">
        <v>46</v>
      </c>
      <c r="Z177" s="1">
        <v>1</v>
      </c>
    </row>
    <row r="178" spans="2:26" x14ac:dyDescent="0.25">
      <c r="B178" s="11">
        <v>44627</v>
      </c>
      <c r="C178" s="7">
        <v>600003966752</v>
      </c>
      <c r="D178" s="5">
        <v>1</v>
      </c>
      <c r="E178" t="s">
        <v>493</v>
      </c>
      <c r="F178" t="s">
        <v>537</v>
      </c>
      <c r="G178" t="s">
        <v>642</v>
      </c>
      <c r="H178" t="s">
        <v>745</v>
      </c>
      <c r="I178" t="s">
        <v>763</v>
      </c>
      <c r="J178" s="27" t="s">
        <v>525</v>
      </c>
      <c r="K178" s="5" t="s">
        <v>15</v>
      </c>
      <c r="L178" s="1" t="s">
        <v>57</v>
      </c>
      <c r="M178" s="1" t="s">
        <v>71</v>
      </c>
      <c r="N178" s="1" t="s">
        <v>116</v>
      </c>
      <c r="O178" s="1" t="s">
        <v>19</v>
      </c>
      <c r="P178" s="9">
        <v>44627</v>
      </c>
      <c r="Q178" s="1" t="s">
        <v>477</v>
      </c>
      <c r="R178" s="1" t="s">
        <v>63</v>
      </c>
      <c r="S178" s="1">
        <v>2</v>
      </c>
      <c r="T178" s="12">
        <v>0.3125</v>
      </c>
      <c r="U178" s="12">
        <v>0.375</v>
      </c>
      <c r="V178" s="1">
        <v>1.5</v>
      </c>
      <c r="W178" s="1">
        <v>1.5</v>
      </c>
      <c r="X178" s="5">
        <v>3</v>
      </c>
      <c r="Y178" s="5" t="s">
        <v>46</v>
      </c>
      <c r="Z178" s="1">
        <v>1</v>
      </c>
    </row>
    <row r="179" spans="2:26" x14ac:dyDescent="0.25">
      <c r="B179" s="11">
        <v>44627</v>
      </c>
      <c r="C179" s="7">
        <v>600003966789</v>
      </c>
      <c r="D179" s="1">
        <v>1</v>
      </c>
      <c r="E179" t="s">
        <v>512</v>
      </c>
      <c r="F179" t="s">
        <v>556</v>
      </c>
      <c r="G179" t="s">
        <v>661</v>
      </c>
      <c r="H179" t="s">
        <v>745</v>
      </c>
      <c r="I179" t="s">
        <v>782</v>
      </c>
      <c r="J179" s="26" t="s">
        <v>525</v>
      </c>
      <c r="K179" s="1" t="s">
        <v>88</v>
      </c>
      <c r="L179" s="1" t="s">
        <v>89</v>
      </c>
      <c r="M179" s="1" t="s">
        <v>52</v>
      </c>
      <c r="N179" s="1" t="s">
        <v>45</v>
      </c>
      <c r="O179" s="1" t="s">
        <v>19</v>
      </c>
      <c r="P179" s="9">
        <v>44627</v>
      </c>
      <c r="Q179" s="1" t="s">
        <v>479</v>
      </c>
      <c r="R179" s="1" t="s">
        <v>63</v>
      </c>
      <c r="S179" s="1">
        <v>1</v>
      </c>
      <c r="T179" s="12">
        <v>0.36805555555555558</v>
      </c>
      <c r="U179" s="12">
        <v>0.40972222222222227</v>
      </c>
      <c r="V179" s="1">
        <v>1</v>
      </c>
      <c r="W179" s="1">
        <v>1</v>
      </c>
      <c r="X179" s="5">
        <v>1</v>
      </c>
      <c r="Y179" s="5" t="s">
        <v>46</v>
      </c>
      <c r="Z179" s="1">
        <v>1</v>
      </c>
    </row>
    <row r="180" spans="2:26" x14ac:dyDescent="0.25">
      <c r="B180" s="11">
        <v>44627</v>
      </c>
      <c r="C180" s="7">
        <v>600003966797</v>
      </c>
      <c r="D180" s="5">
        <v>1</v>
      </c>
      <c r="E180" t="s">
        <v>512</v>
      </c>
      <c r="F180" t="s">
        <v>556</v>
      </c>
      <c r="G180" t="s">
        <v>661</v>
      </c>
      <c r="H180" t="s">
        <v>745</v>
      </c>
      <c r="I180" t="s">
        <v>782</v>
      </c>
      <c r="J180" s="27" t="s">
        <v>525</v>
      </c>
      <c r="K180" s="5" t="s">
        <v>88</v>
      </c>
      <c r="L180" s="1" t="s">
        <v>57</v>
      </c>
      <c r="M180" s="1" t="s">
        <v>36</v>
      </c>
      <c r="N180" s="1" t="s">
        <v>130</v>
      </c>
      <c r="O180" s="1" t="s">
        <v>19</v>
      </c>
      <c r="P180" s="9">
        <v>44627</v>
      </c>
      <c r="Q180" s="12" t="s">
        <v>479</v>
      </c>
      <c r="R180" s="1" t="s">
        <v>63</v>
      </c>
      <c r="S180" s="1">
        <v>2</v>
      </c>
      <c r="T180" s="12">
        <v>0.27083333333333331</v>
      </c>
      <c r="U180" s="12">
        <v>0.3125</v>
      </c>
      <c r="V180" s="1">
        <v>1</v>
      </c>
      <c r="W180" s="1">
        <v>1</v>
      </c>
      <c r="X180" s="5">
        <v>2</v>
      </c>
      <c r="Y180" s="5" t="s">
        <v>46</v>
      </c>
      <c r="Z180" s="1">
        <v>1</v>
      </c>
    </row>
    <row r="181" spans="2:26" x14ac:dyDescent="0.25">
      <c r="B181" s="11">
        <v>44627</v>
      </c>
      <c r="C181" s="7">
        <v>600003966765</v>
      </c>
      <c r="D181" s="5">
        <v>1</v>
      </c>
      <c r="E181" t="s">
        <v>500</v>
      </c>
      <c r="F181" t="s">
        <v>544</v>
      </c>
      <c r="G181" t="s">
        <v>649</v>
      </c>
      <c r="H181" t="s">
        <v>745</v>
      </c>
      <c r="I181" t="s">
        <v>770</v>
      </c>
      <c r="J181" s="27" t="s">
        <v>525</v>
      </c>
      <c r="K181" s="5" t="s">
        <v>15</v>
      </c>
      <c r="L181" s="1" t="s">
        <v>57</v>
      </c>
      <c r="M181" s="1" t="s">
        <v>60</v>
      </c>
      <c r="N181" s="1" t="s">
        <v>131</v>
      </c>
      <c r="O181" s="1" t="s">
        <v>19</v>
      </c>
      <c r="P181" s="9">
        <v>44627</v>
      </c>
      <c r="Q181" s="1" t="s">
        <v>479</v>
      </c>
      <c r="R181" s="1" t="s">
        <v>63</v>
      </c>
      <c r="S181" s="1">
        <v>2</v>
      </c>
      <c r="T181" s="12">
        <v>0.31944444444444448</v>
      </c>
      <c r="U181" s="12">
        <v>0.3611111111111111</v>
      </c>
      <c r="V181" s="1">
        <v>1</v>
      </c>
      <c r="W181" s="1">
        <v>1</v>
      </c>
      <c r="X181" s="5">
        <v>2</v>
      </c>
      <c r="Y181" s="5" t="s">
        <v>46</v>
      </c>
      <c r="Z181" s="1">
        <v>1</v>
      </c>
    </row>
    <row r="182" spans="2:26" x14ac:dyDescent="0.25">
      <c r="B182" s="11">
        <v>44627</v>
      </c>
      <c r="C182" s="7">
        <v>600003966758</v>
      </c>
      <c r="D182" s="5">
        <v>1</v>
      </c>
      <c r="E182" t="s">
        <v>505</v>
      </c>
      <c r="F182" t="s">
        <v>549</v>
      </c>
      <c r="G182" t="s">
        <v>654</v>
      </c>
      <c r="H182" t="s">
        <v>745</v>
      </c>
      <c r="I182" t="s">
        <v>775</v>
      </c>
      <c r="J182" s="27" t="s">
        <v>525</v>
      </c>
      <c r="K182" s="5" t="s">
        <v>15</v>
      </c>
      <c r="L182" s="1" t="s">
        <v>79</v>
      </c>
      <c r="M182" s="1" t="s">
        <v>128</v>
      </c>
      <c r="N182" s="1" t="s">
        <v>132</v>
      </c>
      <c r="O182" s="1" t="s">
        <v>19</v>
      </c>
      <c r="P182" s="9">
        <v>44627</v>
      </c>
      <c r="Q182" s="1" t="s">
        <v>475</v>
      </c>
      <c r="R182" s="1" t="s">
        <v>50</v>
      </c>
      <c r="S182" s="1">
        <v>1</v>
      </c>
      <c r="T182" s="12">
        <v>0.375</v>
      </c>
      <c r="U182" s="12">
        <v>0.4375</v>
      </c>
      <c r="V182" s="1">
        <v>1.5</v>
      </c>
      <c r="W182" s="1">
        <v>1.5</v>
      </c>
      <c r="X182" s="5">
        <v>1.5</v>
      </c>
      <c r="Y182" s="5" t="s">
        <v>46</v>
      </c>
      <c r="Z182" s="1">
        <v>1</v>
      </c>
    </row>
    <row r="183" spans="2:26" x14ac:dyDescent="0.25">
      <c r="B183" s="11">
        <v>44628</v>
      </c>
      <c r="C183" s="7">
        <v>600003967545</v>
      </c>
      <c r="D183" s="5">
        <v>1</v>
      </c>
      <c r="E183" t="s">
        <v>506</v>
      </c>
      <c r="F183" t="s">
        <v>550</v>
      </c>
      <c r="G183" t="s">
        <v>655</v>
      </c>
      <c r="H183" t="s">
        <v>745</v>
      </c>
      <c r="I183" t="s">
        <v>776</v>
      </c>
      <c r="J183" s="27" t="s">
        <v>525</v>
      </c>
      <c r="K183" s="5" t="s">
        <v>15</v>
      </c>
      <c r="L183" s="1" t="s">
        <v>57</v>
      </c>
      <c r="M183" s="1" t="s">
        <v>71</v>
      </c>
      <c r="N183" s="1" t="s">
        <v>45</v>
      </c>
      <c r="O183" s="1" t="s">
        <v>19</v>
      </c>
      <c r="P183" s="9">
        <v>44628</v>
      </c>
      <c r="Q183" s="1" t="s">
        <v>479</v>
      </c>
      <c r="R183" s="1" t="s">
        <v>63</v>
      </c>
      <c r="S183" s="1">
        <v>2</v>
      </c>
      <c r="T183" s="12">
        <v>0.60416666666666663</v>
      </c>
      <c r="U183" s="12">
        <v>0.64583333333333337</v>
      </c>
      <c r="V183" s="1">
        <v>1</v>
      </c>
      <c r="W183" s="1">
        <v>1</v>
      </c>
      <c r="X183" s="5">
        <v>2</v>
      </c>
      <c r="Y183" s="5" t="s">
        <v>46</v>
      </c>
      <c r="Z183" s="1">
        <v>1</v>
      </c>
    </row>
    <row r="184" spans="2:26" x14ac:dyDescent="0.25">
      <c r="B184" s="11">
        <v>44628</v>
      </c>
      <c r="C184" s="7">
        <v>600003967500</v>
      </c>
      <c r="D184" s="5">
        <v>1</v>
      </c>
      <c r="E184" t="s">
        <v>517</v>
      </c>
      <c r="F184" t="s">
        <v>561</v>
      </c>
      <c r="G184" t="s">
        <v>666</v>
      </c>
      <c r="H184" t="s">
        <v>745</v>
      </c>
      <c r="I184" t="s">
        <v>787</v>
      </c>
      <c r="J184" s="27" t="s">
        <v>525</v>
      </c>
      <c r="K184" s="5" t="s">
        <v>15</v>
      </c>
      <c r="L184" s="1" t="s">
        <v>57</v>
      </c>
      <c r="M184" s="1" t="s">
        <v>71</v>
      </c>
      <c r="N184" s="1" t="s">
        <v>84</v>
      </c>
      <c r="O184" s="1" t="s">
        <v>19</v>
      </c>
      <c r="P184" s="9">
        <v>44629</v>
      </c>
      <c r="Q184" s="1" t="s">
        <v>476</v>
      </c>
      <c r="R184" s="1" t="s">
        <v>63</v>
      </c>
      <c r="S184" s="1">
        <v>2</v>
      </c>
      <c r="T184" s="12">
        <v>0.41666666666666669</v>
      </c>
      <c r="U184" s="12">
        <v>0.5</v>
      </c>
      <c r="V184" s="1">
        <v>2</v>
      </c>
      <c r="W184" s="1">
        <v>2</v>
      </c>
      <c r="X184" s="5">
        <v>4</v>
      </c>
      <c r="Y184" s="5" t="s">
        <v>46</v>
      </c>
      <c r="Z184" s="1">
        <v>1</v>
      </c>
    </row>
    <row r="185" spans="2:26" x14ac:dyDescent="0.25">
      <c r="B185" s="11">
        <v>44628</v>
      </c>
      <c r="C185" s="7">
        <v>600003967386</v>
      </c>
      <c r="D185" s="5">
        <v>1</v>
      </c>
      <c r="E185" t="s">
        <v>504</v>
      </c>
      <c r="F185" t="s">
        <v>548</v>
      </c>
      <c r="G185" t="s">
        <v>653</v>
      </c>
      <c r="H185" t="s">
        <v>745</v>
      </c>
      <c r="I185" t="s">
        <v>774</v>
      </c>
      <c r="J185" s="27" t="s">
        <v>525</v>
      </c>
      <c r="K185" s="5" t="s">
        <v>15</v>
      </c>
      <c r="L185" s="1" t="s">
        <v>57</v>
      </c>
      <c r="M185" s="1" t="s">
        <v>87</v>
      </c>
      <c r="N185" s="1" t="s">
        <v>114</v>
      </c>
      <c r="O185" s="1" t="s">
        <v>19</v>
      </c>
      <c r="P185" s="9">
        <v>44628</v>
      </c>
      <c r="Q185" s="1" t="s">
        <v>479</v>
      </c>
      <c r="R185" s="1" t="s">
        <v>63</v>
      </c>
      <c r="S185" s="1">
        <v>1</v>
      </c>
      <c r="T185" s="12">
        <v>0.39583333333333331</v>
      </c>
      <c r="U185" s="12">
        <v>0.58333333333333337</v>
      </c>
      <c r="V185" s="1">
        <v>4.5</v>
      </c>
      <c r="W185" s="1">
        <v>0</v>
      </c>
      <c r="X185" s="5">
        <v>4.5</v>
      </c>
      <c r="Y185" s="5" t="s">
        <v>21</v>
      </c>
      <c r="Z185" s="1">
        <v>1</v>
      </c>
    </row>
    <row r="186" spans="2:26" x14ac:dyDescent="0.25">
      <c r="B186" s="11">
        <v>44628</v>
      </c>
      <c r="C186" s="7">
        <v>600003967473</v>
      </c>
      <c r="D186" s="4">
        <v>1</v>
      </c>
      <c r="E186" t="s">
        <v>494</v>
      </c>
      <c r="F186" t="s">
        <v>538</v>
      </c>
      <c r="G186" t="s">
        <v>643</v>
      </c>
      <c r="H186" t="s">
        <v>745</v>
      </c>
      <c r="I186" t="s">
        <v>764</v>
      </c>
      <c r="J186" s="29" t="s">
        <v>525</v>
      </c>
      <c r="K186" s="4" t="s">
        <v>15</v>
      </c>
      <c r="L186" s="1" t="s">
        <v>57</v>
      </c>
      <c r="M186" s="1" t="s">
        <v>71</v>
      </c>
      <c r="N186" s="1" t="s">
        <v>56</v>
      </c>
      <c r="O186" s="1" t="s">
        <v>19</v>
      </c>
      <c r="P186" s="9">
        <v>44628</v>
      </c>
      <c r="Q186" s="1" t="s">
        <v>477</v>
      </c>
      <c r="R186" s="1" t="s">
        <v>20</v>
      </c>
      <c r="S186" s="1">
        <v>2</v>
      </c>
      <c r="T186" s="12">
        <v>0.41666666666666669</v>
      </c>
      <c r="U186" s="12">
        <v>0.52083333333333337</v>
      </c>
      <c r="V186" s="1">
        <v>2.5</v>
      </c>
      <c r="W186" s="1">
        <v>2.5</v>
      </c>
      <c r="X186" s="5">
        <v>5</v>
      </c>
      <c r="Y186" s="5" t="s">
        <v>98</v>
      </c>
      <c r="Z186" s="1">
        <v>1</v>
      </c>
    </row>
    <row r="187" spans="2:26" x14ac:dyDescent="0.25">
      <c r="B187" s="11">
        <v>44629</v>
      </c>
      <c r="C187" s="7">
        <v>600003967834</v>
      </c>
      <c r="D187" s="1">
        <v>1</v>
      </c>
      <c r="E187" t="s">
        <v>506</v>
      </c>
      <c r="F187" t="s">
        <v>550</v>
      </c>
      <c r="G187" t="s">
        <v>655</v>
      </c>
      <c r="H187" t="s">
        <v>745</v>
      </c>
      <c r="I187" t="s">
        <v>776</v>
      </c>
      <c r="J187" s="26" t="s">
        <v>525</v>
      </c>
      <c r="K187" s="1" t="s">
        <v>15</v>
      </c>
      <c r="L187" s="1" t="s">
        <v>65</v>
      </c>
      <c r="M187" s="1" t="s">
        <v>52</v>
      </c>
      <c r="N187" s="1" t="s">
        <v>53</v>
      </c>
      <c r="O187" s="1" t="s">
        <v>19</v>
      </c>
      <c r="P187" s="9">
        <v>44629</v>
      </c>
      <c r="Q187" s="1" t="s">
        <v>477</v>
      </c>
      <c r="R187" s="1" t="s">
        <v>63</v>
      </c>
      <c r="S187" s="1">
        <v>2</v>
      </c>
      <c r="T187" s="12">
        <v>0.3125</v>
      </c>
      <c r="U187" s="12">
        <v>0.45833333333333331</v>
      </c>
      <c r="V187" s="1">
        <v>3.5</v>
      </c>
      <c r="W187" s="1">
        <v>3.5</v>
      </c>
      <c r="X187" s="5">
        <v>7</v>
      </c>
      <c r="Y187" s="5" t="s">
        <v>98</v>
      </c>
      <c r="Z187" s="1">
        <v>1</v>
      </c>
    </row>
    <row r="188" spans="2:26" x14ac:dyDescent="0.25">
      <c r="B188" s="11">
        <v>44629</v>
      </c>
      <c r="C188" s="7">
        <v>600003968062</v>
      </c>
      <c r="D188" s="3">
        <v>1</v>
      </c>
      <c r="E188" t="s">
        <v>496</v>
      </c>
      <c r="F188" t="s">
        <v>540</v>
      </c>
      <c r="G188" t="s">
        <v>645</v>
      </c>
      <c r="H188" t="s">
        <v>745</v>
      </c>
      <c r="I188" t="s">
        <v>766</v>
      </c>
      <c r="J188" s="2" t="s">
        <v>525</v>
      </c>
      <c r="K188" s="3" t="s">
        <v>15</v>
      </c>
      <c r="L188" s="1" t="s">
        <v>65</v>
      </c>
      <c r="M188" s="1" t="s">
        <v>52</v>
      </c>
      <c r="N188" s="1" t="s">
        <v>52</v>
      </c>
      <c r="O188" s="1" t="s">
        <v>19</v>
      </c>
      <c r="P188" s="9">
        <v>44629</v>
      </c>
      <c r="Q188" s="1" t="s">
        <v>477</v>
      </c>
      <c r="R188" s="1" t="s">
        <v>63</v>
      </c>
      <c r="S188" s="1">
        <v>3</v>
      </c>
      <c r="T188" s="12">
        <v>0.61805555555555558</v>
      </c>
      <c r="U188" s="12">
        <v>0.65972222222222221</v>
      </c>
      <c r="V188" s="1">
        <v>1</v>
      </c>
      <c r="W188" s="1">
        <v>1</v>
      </c>
      <c r="X188" s="5">
        <v>3</v>
      </c>
      <c r="Y188" s="5" t="s">
        <v>46</v>
      </c>
      <c r="Z188" s="1">
        <v>1</v>
      </c>
    </row>
    <row r="189" spans="2:26" x14ac:dyDescent="0.25">
      <c r="B189" s="11">
        <v>44629</v>
      </c>
      <c r="C189" s="7">
        <v>600003968016</v>
      </c>
      <c r="D189" s="5">
        <v>1</v>
      </c>
      <c r="E189" t="s">
        <v>887</v>
      </c>
      <c r="F189" t="s">
        <v>592</v>
      </c>
      <c r="G189" t="s">
        <v>699</v>
      </c>
      <c r="H189" t="s">
        <v>747</v>
      </c>
      <c r="I189" t="s">
        <v>820</v>
      </c>
      <c r="J189" s="27" t="s">
        <v>524</v>
      </c>
      <c r="K189" s="5" t="s">
        <v>127</v>
      </c>
      <c r="L189" s="1" t="s">
        <v>79</v>
      </c>
      <c r="M189" s="1" t="s">
        <v>80</v>
      </c>
      <c r="N189" s="1" t="s">
        <v>110</v>
      </c>
      <c r="O189" s="1" t="s">
        <v>19</v>
      </c>
      <c r="P189" s="9">
        <v>44629</v>
      </c>
      <c r="Q189" s="1" t="s">
        <v>473</v>
      </c>
      <c r="R189" s="1" t="s">
        <v>50</v>
      </c>
      <c r="S189" s="1">
        <v>1</v>
      </c>
      <c r="T189" s="12">
        <v>0.54166666666666663</v>
      </c>
      <c r="U189" s="12">
        <v>0.625</v>
      </c>
      <c r="V189" s="1">
        <v>2</v>
      </c>
      <c r="W189" s="1">
        <v>2</v>
      </c>
      <c r="X189" s="5">
        <f>PRODUCT(S189,V189)</f>
        <v>2</v>
      </c>
      <c r="Y189" s="5" t="str">
        <f>IF(W189=0,"D",IF(W189&lt;=2,"C",IF(W189&lt;=8,"B",IF(W189&gt;8,"A"))))</f>
        <v>C</v>
      </c>
      <c r="Z189" s="1">
        <v>1</v>
      </c>
    </row>
    <row r="190" spans="2:26" x14ac:dyDescent="0.25">
      <c r="B190" s="11">
        <v>44630</v>
      </c>
      <c r="C190" s="7">
        <v>600003968400</v>
      </c>
      <c r="D190" s="1">
        <v>1</v>
      </c>
      <c r="E190" t="s">
        <v>505</v>
      </c>
      <c r="F190" t="s">
        <v>549</v>
      </c>
      <c r="G190" t="s">
        <v>654</v>
      </c>
      <c r="H190" t="s">
        <v>745</v>
      </c>
      <c r="I190" t="s">
        <v>775</v>
      </c>
      <c r="J190" s="26" t="s">
        <v>525</v>
      </c>
      <c r="K190" s="1" t="s">
        <v>15</v>
      </c>
      <c r="L190" s="1" t="s">
        <v>79</v>
      </c>
      <c r="M190" s="1" t="s">
        <v>62</v>
      </c>
      <c r="N190" s="1" t="s">
        <v>110</v>
      </c>
      <c r="O190" s="1" t="s">
        <v>19</v>
      </c>
      <c r="P190" s="9">
        <v>44630</v>
      </c>
      <c r="Q190" s="1" t="s">
        <v>478</v>
      </c>
      <c r="R190" s="1" t="s">
        <v>50</v>
      </c>
      <c r="S190" s="1">
        <v>2</v>
      </c>
      <c r="T190" s="12">
        <v>0.375</v>
      </c>
      <c r="U190" s="12">
        <v>0.41666666666666669</v>
      </c>
      <c r="V190" s="1">
        <v>1</v>
      </c>
      <c r="W190" s="1">
        <v>1</v>
      </c>
      <c r="X190" s="5">
        <v>2</v>
      </c>
      <c r="Y190" s="5" t="s">
        <v>46</v>
      </c>
      <c r="Z190" s="1">
        <v>1</v>
      </c>
    </row>
    <row r="191" spans="2:26" x14ac:dyDescent="0.25">
      <c r="B191" s="11">
        <v>44630</v>
      </c>
      <c r="C191" s="7">
        <v>600003968462</v>
      </c>
      <c r="D191" s="5">
        <v>1</v>
      </c>
      <c r="E191" t="s">
        <v>504</v>
      </c>
      <c r="F191" t="s">
        <v>548</v>
      </c>
      <c r="G191" t="s">
        <v>653</v>
      </c>
      <c r="H191" t="s">
        <v>745</v>
      </c>
      <c r="I191" t="s">
        <v>774</v>
      </c>
      <c r="J191" s="27" t="s">
        <v>525</v>
      </c>
      <c r="K191" s="5" t="s">
        <v>15</v>
      </c>
      <c r="L191" s="1" t="s">
        <v>57</v>
      </c>
      <c r="M191" s="1" t="s">
        <v>55</v>
      </c>
      <c r="N191" s="1" t="s">
        <v>45</v>
      </c>
      <c r="O191" s="1" t="s">
        <v>19</v>
      </c>
      <c r="P191" s="9">
        <v>44630</v>
      </c>
      <c r="Q191" s="1" t="s">
        <v>479</v>
      </c>
      <c r="R191" s="1" t="s">
        <v>20</v>
      </c>
      <c r="S191" s="1">
        <v>5</v>
      </c>
      <c r="T191" s="12">
        <v>0.58333333333333337</v>
      </c>
      <c r="U191" s="12">
        <v>0.625</v>
      </c>
      <c r="V191" s="1">
        <v>1</v>
      </c>
      <c r="W191" s="1">
        <v>1</v>
      </c>
      <c r="X191" s="5">
        <v>2</v>
      </c>
      <c r="Y191" s="5" t="s">
        <v>46</v>
      </c>
      <c r="Z191" s="1">
        <v>1</v>
      </c>
    </row>
    <row r="192" spans="2:26" x14ac:dyDescent="0.25">
      <c r="B192" s="11">
        <v>44630</v>
      </c>
      <c r="C192" s="7">
        <v>600003968406</v>
      </c>
      <c r="D192" s="1">
        <v>1</v>
      </c>
      <c r="E192" t="s">
        <v>508</v>
      </c>
      <c r="F192" t="s">
        <v>552</v>
      </c>
      <c r="G192" t="s">
        <v>657</v>
      </c>
      <c r="H192" t="s">
        <v>747</v>
      </c>
      <c r="I192" t="s">
        <v>778</v>
      </c>
      <c r="J192" s="27" t="s">
        <v>524</v>
      </c>
      <c r="K192" s="5" t="s">
        <v>78</v>
      </c>
      <c r="L192" s="1" t="s">
        <v>79</v>
      </c>
      <c r="M192" s="1" t="s">
        <v>80</v>
      </c>
      <c r="N192" s="1" t="s">
        <v>110</v>
      </c>
      <c r="O192" s="1" t="s">
        <v>19</v>
      </c>
      <c r="P192" s="9">
        <v>44630</v>
      </c>
      <c r="Q192" s="1" t="s">
        <v>478</v>
      </c>
      <c r="R192" s="1" t="s">
        <v>50</v>
      </c>
      <c r="S192" s="1">
        <v>1</v>
      </c>
      <c r="T192" s="12">
        <v>0.39583333333333331</v>
      </c>
      <c r="U192" s="12">
        <v>0.4375</v>
      </c>
      <c r="V192" s="1">
        <v>1</v>
      </c>
      <c r="W192" s="1">
        <v>1</v>
      </c>
      <c r="X192" s="5">
        <v>1</v>
      </c>
      <c r="Y192" s="5" t="s">
        <v>46</v>
      </c>
      <c r="Z192" s="1">
        <v>1</v>
      </c>
    </row>
    <row r="193" spans="2:26" x14ac:dyDescent="0.25">
      <c r="B193" s="11">
        <v>44630</v>
      </c>
      <c r="C193" s="7">
        <v>600003968520</v>
      </c>
      <c r="D193" s="5">
        <v>1</v>
      </c>
      <c r="E193" t="s">
        <v>864</v>
      </c>
      <c r="F193" t="s">
        <v>571</v>
      </c>
      <c r="G193" t="s">
        <v>676</v>
      </c>
      <c r="H193" t="s">
        <v>745</v>
      </c>
      <c r="I193" t="s">
        <v>797</v>
      </c>
      <c r="J193" s="27" t="s">
        <v>525</v>
      </c>
      <c r="K193" s="5" t="s">
        <v>15</v>
      </c>
      <c r="L193" s="1" t="s">
        <v>16</v>
      </c>
      <c r="M193" s="1" t="s">
        <v>62</v>
      </c>
      <c r="N193" s="1" t="s">
        <v>121</v>
      </c>
      <c r="O193" s="1" t="s">
        <v>19</v>
      </c>
      <c r="P193" s="9">
        <v>44630</v>
      </c>
      <c r="Q193" s="1" t="s">
        <v>476</v>
      </c>
      <c r="R193" s="1" t="s">
        <v>63</v>
      </c>
      <c r="S193" s="1">
        <v>2</v>
      </c>
      <c r="T193" s="12">
        <v>0.60416666666666663</v>
      </c>
      <c r="U193" s="12">
        <v>0.625</v>
      </c>
      <c r="V193" s="1">
        <v>0.5</v>
      </c>
      <c r="W193" s="1">
        <v>0.5</v>
      </c>
      <c r="X193" s="5">
        <v>1</v>
      </c>
      <c r="Y193" s="5" t="s">
        <v>46</v>
      </c>
      <c r="Z193" s="1">
        <v>1</v>
      </c>
    </row>
    <row r="194" spans="2:26" x14ac:dyDescent="0.25">
      <c r="B194" s="11">
        <v>44631</v>
      </c>
      <c r="C194" s="7">
        <v>600003968775</v>
      </c>
      <c r="D194" s="5">
        <v>1</v>
      </c>
      <c r="E194" t="s">
        <v>496</v>
      </c>
      <c r="F194" t="s">
        <v>540</v>
      </c>
      <c r="G194" t="s">
        <v>645</v>
      </c>
      <c r="H194" t="s">
        <v>745</v>
      </c>
      <c r="I194" t="s">
        <v>766</v>
      </c>
      <c r="J194" s="29" t="s">
        <v>525</v>
      </c>
      <c r="K194" s="4" t="s">
        <v>15</v>
      </c>
      <c r="L194" s="1" t="s">
        <v>79</v>
      </c>
      <c r="M194" s="1" t="s">
        <v>62</v>
      </c>
      <c r="N194" s="1" t="s">
        <v>110</v>
      </c>
      <c r="O194" s="1" t="s">
        <v>19</v>
      </c>
      <c r="P194" s="9">
        <v>44631</v>
      </c>
      <c r="Q194" s="1" t="s">
        <v>478</v>
      </c>
      <c r="R194" s="1" t="s">
        <v>50</v>
      </c>
      <c r="S194" s="1">
        <v>1</v>
      </c>
      <c r="T194" s="12">
        <v>0.39583333333333331</v>
      </c>
      <c r="U194" s="12">
        <v>0.47916666666666669</v>
      </c>
      <c r="V194" s="1">
        <v>1</v>
      </c>
      <c r="W194" s="1">
        <v>1</v>
      </c>
      <c r="X194" s="5">
        <v>1</v>
      </c>
      <c r="Y194" s="5" t="s">
        <v>46</v>
      </c>
      <c r="Z194" s="1">
        <v>1</v>
      </c>
    </row>
    <row r="195" spans="2:26" x14ac:dyDescent="0.25">
      <c r="B195" s="11">
        <v>44631</v>
      </c>
      <c r="C195" s="7">
        <v>600003968944</v>
      </c>
      <c r="D195" s="5">
        <v>1</v>
      </c>
      <c r="E195" t="s">
        <v>509</v>
      </c>
      <c r="F195" t="s">
        <v>553</v>
      </c>
      <c r="G195" t="s">
        <v>658</v>
      </c>
      <c r="H195" t="s">
        <v>744</v>
      </c>
      <c r="I195" t="s">
        <v>779</v>
      </c>
      <c r="J195" s="27" t="s">
        <v>525</v>
      </c>
      <c r="K195" s="5" t="s">
        <v>64</v>
      </c>
      <c r="L195" s="1" t="s">
        <v>79</v>
      </c>
      <c r="M195" s="1" t="s">
        <v>34</v>
      </c>
      <c r="N195" s="1" t="s">
        <v>113</v>
      </c>
      <c r="O195" s="1" t="s">
        <v>19</v>
      </c>
      <c r="P195" s="9">
        <v>44631</v>
      </c>
      <c r="Q195" s="1" t="s">
        <v>473</v>
      </c>
      <c r="R195" s="1" t="s">
        <v>50</v>
      </c>
      <c r="S195" s="1">
        <v>1</v>
      </c>
      <c r="T195" s="12">
        <v>0.375</v>
      </c>
      <c r="U195" s="12">
        <v>0.45833333333333331</v>
      </c>
      <c r="V195" s="1">
        <v>2</v>
      </c>
      <c r="W195" s="1">
        <v>2</v>
      </c>
      <c r="X195" s="5">
        <v>2</v>
      </c>
      <c r="Y195" s="5" t="s">
        <v>46</v>
      </c>
      <c r="Z195" s="1">
        <v>1</v>
      </c>
    </row>
    <row r="196" spans="2:26" x14ac:dyDescent="0.25">
      <c r="B196" s="11">
        <v>44631</v>
      </c>
      <c r="C196" s="7">
        <v>600003968771</v>
      </c>
      <c r="D196" s="5">
        <v>1</v>
      </c>
      <c r="E196" t="s">
        <v>504</v>
      </c>
      <c r="F196" t="s">
        <v>548</v>
      </c>
      <c r="G196" t="s">
        <v>653</v>
      </c>
      <c r="H196" t="s">
        <v>745</v>
      </c>
      <c r="I196" t="s">
        <v>774</v>
      </c>
      <c r="J196" s="27" t="s">
        <v>525</v>
      </c>
      <c r="K196" s="5" t="s">
        <v>15</v>
      </c>
      <c r="L196" s="1" t="s">
        <v>65</v>
      </c>
      <c r="M196" s="1" t="s">
        <v>52</v>
      </c>
      <c r="N196" s="1" t="s">
        <v>117</v>
      </c>
      <c r="O196" s="1" t="s">
        <v>19</v>
      </c>
      <c r="P196" s="9">
        <v>44631</v>
      </c>
      <c r="Q196" s="1" t="s">
        <v>479</v>
      </c>
      <c r="R196" s="1" t="s">
        <v>63</v>
      </c>
      <c r="S196" s="1">
        <v>2</v>
      </c>
      <c r="T196" s="12">
        <v>0.25</v>
      </c>
      <c r="U196" s="12">
        <v>0.29166666666666669</v>
      </c>
      <c r="V196" s="1">
        <v>1</v>
      </c>
      <c r="W196" s="1">
        <v>1</v>
      </c>
      <c r="X196" s="5">
        <v>2</v>
      </c>
      <c r="Y196" s="5" t="s">
        <v>46</v>
      </c>
      <c r="Z196" s="1">
        <v>1</v>
      </c>
    </row>
    <row r="197" spans="2:26" x14ac:dyDescent="0.25">
      <c r="B197" s="11">
        <v>44631</v>
      </c>
      <c r="C197" s="7">
        <v>600003968773</v>
      </c>
      <c r="D197" s="3">
        <v>1</v>
      </c>
      <c r="E197" t="s">
        <v>496</v>
      </c>
      <c r="F197" t="s">
        <v>540</v>
      </c>
      <c r="G197" t="s">
        <v>645</v>
      </c>
      <c r="H197" t="s">
        <v>745</v>
      </c>
      <c r="I197" t="s">
        <v>766</v>
      </c>
      <c r="J197" s="2" t="s">
        <v>525</v>
      </c>
      <c r="K197" s="3" t="s">
        <v>15</v>
      </c>
      <c r="L197" s="1" t="s">
        <v>16</v>
      </c>
      <c r="M197" s="1" t="s">
        <v>119</v>
      </c>
      <c r="N197" s="1" t="s">
        <v>120</v>
      </c>
      <c r="O197" s="1" t="s">
        <v>19</v>
      </c>
      <c r="P197" s="9">
        <v>44631</v>
      </c>
      <c r="Q197" s="1" t="s">
        <v>476</v>
      </c>
      <c r="R197" s="1" t="s">
        <v>63</v>
      </c>
      <c r="S197" s="1">
        <v>2</v>
      </c>
      <c r="T197" s="12">
        <v>0.375</v>
      </c>
      <c r="U197" s="12">
        <v>0.41666666666666669</v>
      </c>
      <c r="V197" s="1">
        <v>1</v>
      </c>
      <c r="W197" s="1">
        <v>0</v>
      </c>
      <c r="X197" s="5">
        <v>2</v>
      </c>
      <c r="Y197" s="5" t="s">
        <v>21</v>
      </c>
      <c r="Z197" s="1">
        <v>1</v>
      </c>
    </row>
    <row r="198" spans="2:26" x14ac:dyDescent="0.25">
      <c r="B198" s="11">
        <v>44631</v>
      </c>
      <c r="C198" s="7">
        <v>600003968840</v>
      </c>
      <c r="D198" s="5">
        <v>1</v>
      </c>
      <c r="E198" t="s">
        <v>501</v>
      </c>
      <c r="F198" t="s">
        <v>545</v>
      </c>
      <c r="G198" t="s">
        <v>650</v>
      </c>
      <c r="H198" t="s">
        <v>740</v>
      </c>
      <c r="I198" t="s">
        <v>771</v>
      </c>
      <c r="J198" s="27" t="s">
        <v>524</v>
      </c>
      <c r="K198" s="5" t="s">
        <v>70</v>
      </c>
      <c r="L198" s="1" t="s">
        <v>57</v>
      </c>
      <c r="M198" s="1" t="s">
        <v>71</v>
      </c>
      <c r="N198" s="1" t="s">
        <v>67</v>
      </c>
      <c r="O198" s="1" t="s">
        <v>19</v>
      </c>
      <c r="P198" s="9">
        <v>44631</v>
      </c>
      <c r="Q198" s="1" t="s">
        <v>473</v>
      </c>
      <c r="R198" s="1" t="s">
        <v>63</v>
      </c>
      <c r="S198" s="1">
        <v>1</v>
      </c>
      <c r="T198" s="12">
        <v>0.29166666666666669</v>
      </c>
      <c r="U198" s="12">
        <v>0.375</v>
      </c>
      <c r="V198" s="1">
        <v>2</v>
      </c>
      <c r="W198" s="1">
        <v>2</v>
      </c>
      <c r="X198" s="5">
        <v>2</v>
      </c>
      <c r="Y198" s="5" t="s">
        <v>46</v>
      </c>
      <c r="Z198" s="1">
        <v>1</v>
      </c>
    </row>
    <row r="199" spans="2:26" x14ac:dyDescent="0.25">
      <c r="B199" s="11">
        <v>44634</v>
      </c>
      <c r="C199" s="7">
        <v>600003969717</v>
      </c>
      <c r="D199" s="5">
        <v>1</v>
      </c>
      <c r="E199" t="s">
        <v>493</v>
      </c>
      <c r="F199" t="s">
        <v>537</v>
      </c>
      <c r="G199" t="s">
        <v>642</v>
      </c>
      <c r="H199" t="s">
        <v>745</v>
      </c>
      <c r="I199" t="s">
        <v>763</v>
      </c>
      <c r="J199" s="27" t="s">
        <v>525</v>
      </c>
      <c r="K199" s="5" t="s">
        <v>15</v>
      </c>
      <c r="L199" s="1" t="s">
        <v>57</v>
      </c>
      <c r="M199" s="1" t="s">
        <v>71</v>
      </c>
      <c r="N199" s="1" t="s">
        <v>84</v>
      </c>
      <c r="O199" s="1" t="s">
        <v>19</v>
      </c>
      <c r="P199" s="9">
        <v>44634</v>
      </c>
      <c r="Q199" s="1" t="s">
        <v>476</v>
      </c>
      <c r="R199" s="1" t="s">
        <v>63</v>
      </c>
      <c r="S199" s="1">
        <v>1</v>
      </c>
      <c r="T199" s="12">
        <v>0.60416666666666663</v>
      </c>
      <c r="U199" s="12">
        <v>0.64583333333333337</v>
      </c>
      <c r="V199" s="1">
        <v>1</v>
      </c>
      <c r="W199" s="1">
        <v>0</v>
      </c>
      <c r="X199" s="5">
        <v>1</v>
      </c>
      <c r="Y199" s="5" t="s">
        <v>21</v>
      </c>
      <c r="Z199" s="1">
        <v>1</v>
      </c>
    </row>
    <row r="200" spans="2:26" x14ac:dyDescent="0.25">
      <c r="B200" s="11">
        <v>44634</v>
      </c>
      <c r="C200" s="7">
        <v>600003969778</v>
      </c>
      <c r="D200" s="5">
        <v>1</v>
      </c>
      <c r="E200" t="s">
        <v>494</v>
      </c>
      <c r="F200" t="s">
        <v>538</v>
      </c>
      <c r="G200" t="s">
        <v>643</v>
      </c>
      <c r="H200" t="s">
        <v>745</v>
      </c>
      <c r="I200" t="s">
        <v>764</v>
      </c>
      <c r="J200" s="2" t="s">
        <v>525</v>
      </c>
      <c r="K200" s="4" t="s">
        <v>15</v>
      </c>
      <c r="L200" s="1" t="s">
        <v>79</v>
      </c>
      <c r="M200" s="1" t="s">
        <v>62</v>
      </c>
      <c r="N200" s="1" t="s">
        <v>110</v>
      </c>
      <c r="O200" s="1" t="s">
        <v>19</v>
      </c>
      <c r="P200" s="9">
        <v>44634</v>
      </c>
      <c r="Q200" s="1" t="s">
        <v>475</v>
      </c>
      <c r="R200" s="1" t="s">
        <v>50</v>
      </c>
      <c r="S200" s="1">
        <v>1</v>
      </c>
      <c r="T200" s="12">
        <v>0.54166666666666663</v>
      </c>
      <c r="U200" s="12">
        <v>0.58333333333333337</v>
      </c>
      <c r="V200" s="1">
        <v>1</v>
      </c>
      <c r="W200" s="1">
        <v>1</v>
      </c>
      <c r="X200" s="5">
        <v>1</v>
      </c>
      <c r="Y200" s="5" t="s">
        <v>46</v>
      </c>
      <c r="Z200" s="1">
        <v>1</v>
      </c>
    </row>
    <row r="201" spans="2:26" x14ac:dyDescent="0.25">
      <c r="B201" s="11">
        <v>44634</v>
      </c>
      <c r="C201" s="7">
        <v>600003969603</v>
      </c>
      <c r="D201" s="5">
        <v>1</v>
      </c>
      <c r="E201" t="s">
        <v>888</v>
      </c>
      <c r="F201" t="s">
        <v>593</v>
      </c>
      <c r="G201" t="s">
        <v>700</v>
      </c>
      <c r="H201" t="s">
        <v>744</v>
      </c>
      <c r="I201" t="s">
        <v>821</v>
      </c>
      <c r="J201" s="27" t="s">
        <v>524</v>
      </c>
      <c r="K201" s="5" t="s">
        <v>64</v>
      </c>
      <c r="L201" s="1" t="s">
        <v>79</v>
      </c>
      <c r="M201" s="1" t="s">
        <v>108</v>
      </c>
      <c r="N201" s="1" t="s">
        <v>109</v>
      </c>
      <c r="O201" s="1" t="s">
        <v>19</v>
      </c>
      <c r="P201" s="9">
        <v>44634</v>
      </c>
      <c r="Q201" s="1" t="s">
        <v>473</v>
      </c>
      <c r="R201" s="1" t="s">
        <v>50</v>
      </c>
      <c r="S201" s="1">
        <v>1</v>
      </c>
      <c r="T201" s="12">
        <v>0.41666666666666669</v>
      </c>
      <c r="U201" s="12">
        <v>0.5</v>
      </c>
      <c r="V201" s="1">
        <v>2</v>
      </c>
      <c r="W201" s="1">
        <v>2</v>
      </c>
      <c r="X201" s="5">
        <v>2</v>
      </c>
      <c r="Y201" s="5" t="s">
        <v>46</v>
      </c>
      <c r="Z201" s="1">
        <v>1</v>
      </c>
    </row>
    <row r="202" spans="2:26" x14ac:dyDescent="0.25">
      <c r="B202" s="11">
        <v>44634</v>
      </c>
      <c r="C202" s="7">
        <v>600003969607</v>
      </c>
      <c r="D202" s="1">
        <v>1</v>
      </c>
      <c r="E202" t="s">
        <v>493</v>
      </c>
      <c r="F202" t="s">
        <v>537</v>
      </c>
      <c r="G202" t="s">
        <v>642</v>
      </c>
      <c r="H202" t="s">
        <v>745</v>
      </c>
      <c r="I202" t="s">
        <v>763</v>
      </c>
      <c r="J202" s="26" t="s">
        <v>525</v>
      </c>
      <c r="K202" s="1" t="s">
        <v>15</v>
      </c>
      <c r="L202" s="1" t="s">
        <v>65</v>
      </c>
      <c r="M202" s="1" t="s">
        <v>52</v>
      </c>
      <c r="N202" s="1" t="s">
        <v>53</v>
      </c>
      <c r="O202" s="1" t="s">
        <v>19</v>
      </c>
      <c r="P202" s="9">
        <v>44634</v>
      </c>
      <c r="Q202" s="1" t="s">
        <v>476</v>
      </c>
      <c r="R202" s="1" t="s">
        <v>63</v>
      </c>
      <c r="S202" s="1">
        <v>3</v>
      </c>
      <c r="T202" s="12">
        <v>0.30555555555555552</v>
      </c>
      <c r="U202" s="12">
        <v>0.35416666666666669</v>
      </c>
      <c r="V202" s="1">
        <v>1.1000000000000001</v>
      </c>
      <c r="W202" s="1">
        <v>1.1000000000000001</v>
      </c>
      <c r="X202" s="5">
        <v>3.3</v>
      </c>
      <c r="Y202" s="5" t="s">
        <v>46</v>
      </c>
      <c r="Z202" s="1">
        <v>1</v>
      </c>
    </row>
    <row r="203" spans="2:26" x14ac:dyDescent="0.25">
      <c r="B203" s="11">
        <v>44634</v>
      </c>
      <c r="C203" s="7">
        <v>600003969612</v>
      </c>
      <c r="D203" s="5">
        <v>1</v>
      </c>
      <c r="E203" t="s">
        <v>515</v>
      </c>
      <c r="F203" t="s">
        <v>559</v>
      </c>
      <c r="G203" t="s">
        <v>664</v>
      </c>
      <c r="H203" t="s">
        <v>745</v>
      </c>
      <c r="I203" t="s">
        <v>785</v>
      </c>
      <c r="J203" s="27" t="s">
        <v>525</v>
      </c>
      <c r="K203" s="5" t="s">
        <v>122</v>
      </c>
      <c r="L203" s="1" t="s">
        <v>57</v>
      </c>
      <c r="M203" s="1" t="s">
        <v>123</v>
      </c>
      <c r="N203" s="1" t="s">
        <v>124</v>
      </c>
      <c r="O203" s="1" t="s">
        <v>19</v>
      </c>
      <c r="P203" s="9">
        <v>44634</v>
      </c>
      <c r="Q203" s="1" t="s">
        <v>477</v>
      </c>
      <c r="R203" s="1" t="s">
        <v>63</v>
      </c>
      <c r="S203" s="1">
        <v>2</v>
      </c>
      <c r="T203" s="12">
        <v>0.29166666666666669</v>
      </c>
      <c r="U203" s="12">
        <v>0.375</v>
      </c>
      <c r="V203" s="1">
        <v>2</v>
      </c>
      <c r="W203" s="1">
        <v>2</v>
      </c>
      <c r="X203" s="5">
        <v>4</v>
      </c>
      <c r="Y203" s="5" t="s">
        <v>46</v>
      </c>
      <c r="Z203" s="1">
        <v>1</v>
      </c>
    </row>
    <row r="204" spans="2:26" x14ac:dyDescent="0.25">
      <c r="B204" s="11">
        <v>44634</v>
      </c>
      <c r="C204" s="7">
        <v>600003969611</v>
      </c>
      <c r="D204" s="3">
        <v>1</v>
      </c>
      <c r="E204" t="s">
        <v>494</v>
      </c>
      <c r="F204" t="s">
        <v>538</v>
      </c>
      <c r="G204" t="s">
        <v>643</v>
      </c>
      <c r="H204" t="s">
        <v>745</v>
      </c>
      <c r="I204" t="s">
        <v>764</v>
      </c>
      <c r="J204" s="2" t="s">
        <v>525</v>
      </c>
      <c r="K204" s="3" t="s">
        <v>15</v>
      </c>
      <c r="L204" s="1" t="s">
        <v>57</v>
      </c>
      <c r="M204" s="1" t="s">
        <v>71</v>
      </c>
      <c r="N204" s="1" t="s">
        <v>45</v>
      </c>
      <c r="O204" s="1" t="s">
        <v>19</v>
      </c>
      <c r="P204" s="9">
        <v>44634</v>
      </c>
      <c r="Q204" s="1" t="s">
        <v>477</v>
      </c>
      <c r="R204" s="1" t="s">
        <v>63</v>
      </c>
      <c r="S204" s="1">
        <v>2</v>
      </c>
      <c r="T204" s="12">
        <v>0.41666666666666669</v>
      </c>
      <c r="U204" s="12">
        <v>0.54166666666666663</v>
      </c>
      <c r="V204" s="1">
        <v>3</v>
      </c>
      <c r="W204" s="1">
        <v>3</v>
      </c>
      <c r="X204" s="5">
        <v>6</v>
      </c>
      <c r="Y204" s="5" t="s">
        <v>98</v>
      </c>
      <c r="Z204" s="1">
        <v>1</v>
      </c>
    </row>
    <row r="205" spans="2:26" x14ac:dyDescent="0.25">
      <c r="B205" s="11">
        <v>44634</v>
      </c>
      <c r="C205" s="7">
        <v>600003969609</v>
      </c>
      <c r="D205" s="1">
        <v>1</v>
      </c>
      <c r="E205" t="s">
        <v>507</v>
      </c>
      <c r="F205" t="s">
        <v>551</v>
      </c>
      <c r="G205" t="s">
        <v>656</v>
      </c>
      <c r="H205" t="s">
        <v>745</v>
      </c>
      <c r="I205" t="s">
        <v>777</v>
      </c>
      <c r="J205" s="26" t="s">
        <v>525</v>
      </c>
      <c r="K205" s="1" t="s">
        <v>15</v>
      </c>
      <c r="L205" s="1" t="s">
        <v>60</v>
      </c>
      <c r="M205" s="1" t="s">
        <v>60</v>
      </c>
      <c r="N205" s="1" t="s">
        <v>61</v>
      </c>
      <c r="O205" s="1" t="s">
        <v>19</v>
      </c>
      <c r="P205" s="9">
        <v>44634</v>
      </c>
      <c r="Q205" s="1" t="s">
        <v>479</v>
      </c>
      <c r="R205" s="1" t="s">
        <v>63</v>
      </c>
      <c r="S205" s="1">
        <v>2</v>
      </c>
      <c r="T205" s="12">
        <v>0.29166666666666669</v>
      </c>
      <c r="U205" s="12">
        <v>0.33333333333333331</v>
      </c>
      <c r="V205" s="1">
        <v>1</v>
      </c>
      <c r="W205" s="1">
        <v>1</v>
      </c>
      <c r="X205" s="5">
        <v>2</v>
      </c>
      <c r="Y205" s="5" t="s">
        <v>46</v>
      </c>
      <c r="Z205" s="1">
        <v>1</v>
      </c>
    </row>
    <row r="206" spans="2:26" x14ac:dyDescent="0.25">
      <c r="B206" s="11">
        <v>44634</v>
      </c>
      <c r="C206" s="7">
        <v>600003969715</v>
      </c>
      <c r="D206" s="5">
        <v>1</v>
      </c>
      <c r="E206" t="s">
        <v>483</v>
      </c>
      <c r="F206" t="s">
        <v>527</v>
      </c>
      <c r="G206" t="s">
        <v>632</v>
      </c>
      <c r="H206" t="s">
        <v>741</v>
      </c>
      <c r="I206" t="s">
        <v>753</v>
      </c>
      <c r="J206" s="27" t="s">
        <v>524</v>
      </c>
      <c r="K206" s="5" t="s">
        <v>90</v>
      </c>
      <c r="L206" s="1" t="s">
        <v>57</v>
      </c>
      <c r="M206" s="1" t="s">
        <v>55</v>
      </c>
      <c r="N206" s="1" t="s">
        <v>45</v>
      </c>
      <c r="O206" s="1" t="s">
        <v>19</v>
      </c>
      <c r="P206" s="9">
        <v>44634</v>
      </c>
      <c r="Q206" s="1" t="s">
        <v>480</v>
      </c>
      <c r="R206" s="1" t="s">
        <v>63</v>
      </c>
      <c r="S206" s="1">
        <v>1</v>
      </c>
      <c r="T206" s="12">
        <v>0.4375</v>
      </c>
      <c r="U206" s="12">
        <v>0.5</v>
      </c>
      <c r="V206" s="1">
        <v>1.5</v>
      </c>
      <c r="W206" s="1">
        <v>1.5</v>
      </c>
      <c r="X206" s="5">
        <v>1.5</v>
      </c>
      <c r="Y206" s="5" t="s">
        <v>46</v>
      </c>
      <c r="Z206" s="1">
        <v>1</v>
      </c>
    </row>
    <row r="207" spans="2:26" x14ac:dyDescent="0.25">
      <c r="B207" s="11">
        <v>44634</v>
      </c>
      <c r="C207" s="7">
        <v>600003969664</v>
      </c>
      <c r="D207" s="1">
        <v>1</v>
      </c>
      <c r="E207" t="s">
        <v>501</v>
      </c>
      <c r="F207" t="s">
        <v>545</v>
      </c>
      <c r="G207" t="s">
        <v>650</v>
      </c>
      <c r="H207" t="s">
        <v>740</v>
      </c>
      <c r="I207" t="s">
        <v>771</v>
      </c>
      <c r="J207" s="26" t="s">
        <v>524</v>
      </c>
      <c r="K207" s="1" t="s">
        <v>70</v>
      </c>
      <c r="L207" s="1" t="s">
        <v>36</v>
      </c>
      <c r="M207" s="1" t="s">
        <v>34</v>
      </c>
      <c r="N207" s="1" t="s">
        <v>96</v>
      </c>
      <c r="O207" s="1" t="s">
        <v>19</v>
      </c>
      <c r="P207" s="9">
        <v>44635</v>
      </c>
      <c r="Q207" s="1" t="s">
        <v>480</v>
      </c>
      <c r="R207" s="1" t="s">
        <v>63</v>
      </c>
      <c r="S207" s="1">
        <v>2</v>
      </c>
      <c r="T207" s="12">
        <v>0.29166666666666669</v>
      </c>
      <c r="U207" s="12">
        <v>0.45833333333333331</v>
      </c>
      <c r="V207" s="1">
        <v>4</v>
      </c>
      <c r="W207" s="1">
        <v>4</v>
      </c>
      <c r="X207" s="5">
        <f>PRODUCT(S207,V207)</f>
        <v>8</v>
      </c>
      <c r="Y207" s="5" t="str">
        <f>IF(W207=0,"D",IF(W207&lt;=2,"C",IF(W207&lt;=8,"B",IF(W207&gt;8,"A"))))</f>
        <v>B</v>
      </c>
      <c r="Z207" s="1">
        <v>1</v>
      </c>
    </row>
    <row r="208" spans="2:26" x14ac:dyDescent="0.25">
      <c r="B208" s="13">
        <v>44635</v>
      </c>
      <c r="C208" s="7">
        <v>600003970115</v>
      </c>
      <c r="D208" s="1">
        <v>1</v>
      </c>
      <c r="E208" t="s">
        <v>866</v>
      </c>
      <c r="F208" t="s">
        <v>573</v>
      </c>
      <c r="G208" t="s">
        <v>678</v>
      </c>
      <c r="H208" t="s">
        <v>745</v>
      </c>
      <c r="I208" t="s">
        <v>799</v>
      </c>
      <c r="J208" s="26" t="s">
        <v>524</v>
      </c>
      <c r="K208" s="1" t="s">
        <v>15</v>
      </c>
      <c r="L208" s="1" t="s">
        <v>79</v>
      </c>
      <c r="M208" s="1" t="s">
        <v>60</v>
      </c>
      <c r="N208" s="1" t="s">
        <v>111</v>
      </c>
      <c r="O208" s="1" t="s">
        <v>19</v>
      </c>
      <c r="P208" s="9">
        <v>44635</v>
      </c>
      <c r="Q208" s="1" t="s">
        <v>478</v>
      </c>
      <c r="R208" s="1" t="s">
        <v>50</v>
      </c>
      <c r="S208" s="1">
        <v>1</v>
      </c>
      <c r="T208" s="12">
        <v>0.3125</v>
      </c>
      <c r="U208" s="12">
        <v>0.35416666666666669</v>
      </c>
      <c r="V208" s="1">
        <v>1</v>
      </c>
      <c r="W208" s="1">
        <v>1</v>
      </c>
      <c r="X208" s="5">
        <v>1</v>
      </c>
      <c r="Y208" s="5" t="s">
        <v>46</v>
      </c>
      <c r="Z208" s="1">
        <v>1</v>
      </c>
    </row>
    <row r="209" spans="2:26" x14ac:dyDescent="0.25">
      <c r="B209" s="13">
        <v>44635</v>
      </c>
      <c r="C209" s="7">
        <v>600003970111</v>
      </c>
      <c r="D209" s="5">
        <v>1</v>
      </c>
      <c r="E209" t="s">
        <v>493</v>
      </c>
      <c r="F209" t="s">
        <v>537</v>
      </c>
      <c r="G209" t="s">
        <v>642</v>
      </c>
      <c r="H209" t="s">
        <v>745</v>
      </c>
      <c r="I209" t="s">
        <v>763</v>
      </c>
      <c r="J209" s="27" t="s">
        <v>525</v>
      </c>
      <c r="K209" s="5" t="s">
        <v>15</v>
      </c>
      <c r="L209" s="1" t="s">
        <v>16</v>
      </c>
      <c r="M209" s="1" t="s">
        <v>112</v>
      </c>
      <c r="N209" s="1" t="s">
        <v>53</v>
      </c>
      <c r="O209" s="1" t="s">
        <v>19</v>
      </c>
      <c r="P209" s="9">
        <v>44635</v>
      </c>
      <c r="Q209" s="1" t="s">
        <v>479</v>
      </c>
      <c r="R209" s="1" t="s">
        <v>63</v>
      </c>
      <c r="S209" s="1">
        <v>3</v>
      </c>
      <c r="T209" s="12">
        <v>0.29166666666666669</v>
      </c>
      <c r="U209" s="12">
        <v>0.39583333333333331</v>
      </c>
      <c r="V209" s="1">
        <v>2.5</v>
      </c>
      <c r="W209" s="1">
        <v>2.5</v>
      </c>
      <c r="X209" s="5">
        <v>7.5</v>
      </c>
      <c r="Y209" s="5" t="s">
        <v>98</v>
      </c>
      <c r="Z209" s="1">
        <v>1</v>
      </c>
    </row>
    <row r="210" spans="2:26" x14ac:dyDescent="0.25">
      <c r="B210" s="11">
        <v>44635</v>
      </c>
      <c r="C210" s="7">
        <v>600003970140</v>
      </c>
      <c r="D210" s="5">
        <v>1</v>
      </c>
      <c r="E210" t="s">
        <v>883</v>
      </c>
      <c r="F210" t="s">
        <v>589</v>
      </c>
      <c r="G210" t="s">
        <v>695</v>
      </c>
      <c r="H210" t="s">
        <v>741</v>
      </c>
      <c r="I210" t="s">
        <v>816</v>
      </c>
      <c r="J210" s="27" t="s">
        <v>524</v>
      </c>
      <c r="K210" s="5" t="s">
        <v>127</v>
      </c>
      <c r="L210" s="1" t="s">
        <v>89</v>
      </c>
      <c r="M210" s="1" t="s">
        <v>101</v>
      </c>
      <c r="N210" s="1" t="s">
        <v>45</v>
      </c>
      <c r="O210" s="1" t="s">
        <v>19</v>
      </c>
      <c r="P210" s="9">
        <v>44637</v>
      </c>
      <c r="Q210" s="1" t="s">
        <v>473</v>
      </c>
      <c r="R210" s="1" t="s">
        <v>63</v>
      </c>
      <c r="S210" s="1">
        <v>1</v>
      </c>
      <c r="T210" s="12">
        <v>0.33333333333333331</v>
      </c>
      <c r="U210" s="12">
        <v>0.58333333333333337</v>
      </c>
      <c r="V210" s="1">
        <v>6</v>
      </c>
      <c r="W210" s="1">
        <v>6</v>
      </c>
      <c r="X210" s="5">
        <f>PRODUCT(S210,V210)</f>
        <v>6</v>
      </c>
      <c r="Y210" s="5" t="str">
        <f>IF(W210=0,"D",IF(W210&lt;=2,"C",IF(W210&lt;=8,"B",IF(W210&gt;8,"A"))))</f>
        <v>B</v>
      </c>
      <c r="Z210" s="1">
        <v>1</v>
      </c>
    </row>
    <row r="211" spans="2:26" x14ac:dyDescent="0.25">
      <c r="B211" s="11">
        <v>44636</v>
      </c>
      <c r="C211" s="7">
        <v>600003970830</v>
      </c>
      <c r="D211" s="4">
        <v>1</v>
      </c>
      <c r="E211" t="s">
        <v>494</v>
      </c>
      <c r="F211" t="s">
        <v>538</v>
      </c>
      <c r="G211" t="s">
        <v>643</v>
      </c>
      <c r="H211" t="s">
        <v>745</v>
      </c>
      <c r="I211" t="s">
        <v>764</v>
      </c>
      <c r="J211" s="29" t="s">
        <v>525</v>
      </c>
      <c r="K211" s="4" t="s">
        <v>15</v>
      </c>
      <c r="L211" s="1" t="s">
        <v>16</v>
      </c>
      <c r="M211" s="1" t="s">
        <v>52</v>
      </c>
      <c r="N211" s="1" t="s">
        <v>53</v>
      </c>
      <c r="O211" s="1" t="s">
        <v>19</v>
      </c>
      <c r="P211" s="9">
        <v>44636</v>
      </c>
      <c r="Q211" s="1" t="s">
        <v>479</v>
      </c>
      <c r="R211" s="1" t="s">
        <v>63</v>
      </c>
      <c r="S211" s="1">
        <v>2</v>
      </c>
      <c r="T211" s="12">
        <v>0.52083333333333337</v>
      </c>
      <c r="U211" s="12">
        <v>0.5625</v>
      </c>
      <c r="V211" s="1">
        <v>1</v>
      </c>
      <c r="W211" s="1">
        <v>1</v>
      </c>
      <c r="X211" s="5">
        <v>2</v>
      </c>
      <c r="Y211" s="5" t="s">
        <v>46</v>
      </c>
      <c r="Z211" s="1">
        <v>1</v>
      </c>
    </row>
    <row r="212" spans="2:26" x14ac:dyDescent="0.25">
      <c r="B212" s="11">
        <v>44637</v>
      </c>
      <c r="C212" s="7">
        <v>600003971268</v>
      </c>
      <c r="D212" s="5">
        <v>1</v>
      </c>
      <c r="E212" t="s">
        <v>497</v>
      </c>
      <c r="F212" t="s">
        <v>541</v>
      </c>
      <c r="G212" t="s">
        <v>646</v>
      </c>
      <c r="H212" t="s">
        <v>746</v>
      </c>
      <c r="I212" t="s">
        <v>767</v>
      </c>
      <c r="J212" s="27" t="s">
        <v>525</v>
      </c>
      <c r="K212" s="5" t="s">
        <v>76</v>
      </c>
      <c r="L212" s="1" t="s">
        <v>57</v>
      </c>
      <c r="M212" s="1" t="s">
        <v>80</v>
      </c>
      <c r="N212" s="1" t="s">
        <v>68</v>
      </c>
      <c r="O212" s="1" t="s">
        <v>19</v>
      </c>
      <c r="P212" s="9">
        <v>44637</v>
      </c>
      <c r="Q212" s="1" t="s">
        <v>475</v>
      </c>
      <c r="R212" s="1" t="s">
        <v>50</v>
      </c>
      <c r="S212" s="1">
        <v>2</v>
      </c>
      <c r="T212" s="12">
        <v>0.3125</v>
      </c>
      <c r="U212" s="12">
        <v>0.64583333333333337</v>
      </c>
      <c r="V212" s="1">
        <v>8</v>
      </c>
      <c r="W212" s="1">
        <v>0</v>
      </c>
      <c r="X212" s="5">
        <f t="shared" ref="X212:X275" si="10">PRODUCT(S212,V212)</f>
        <v>16</v>
      </c>
      <c r="Y212" s="5" t="str">
        <f t="shared" ref="Y212:Y275" si="11">IF(W212=0,"D",IF(W212&lt;=2,"C",IF(W212&lt;=8,"B",IF(W212&gt;8,"A"))))</f>
        <v>D</v>
      </c>
      <c r="Z212" s="1">
        <v>1</v>
      </c>
    </row>
    <row r="213" spans="2:26" x14ac:dyDescent="0.25">
      <c r="B213" s="11">
        <v>44637</v>
      </c>
      <c r="C213" s="7">
        <v>600003971157</v>
      </c>
      <c r="D213" s="5">
        <v>1</v>
      </c>
      <c r="E213" t="s">
        <v>885</v>
      </c>
      <c r="F213" t="s">
        <v>591</v>
      </c>
      <c r="G213" t="s">
        <v>697</v>
      </c>
      <c r="H213" t="s">
        <v>745</v>
      </c>
      <c r="I213" t="s">
        <v>818</v>
      </c>
      <c r="J213" s="27" t="s">
        <v>525</v>
      </c>
      <c r="K213" s="5" t="s">
        <v>15</v>
      </c>
      <c r="L213" s="1" t="s">
        <v>16</v>
      </c>
      <c r="M213" s="1" t="s">
        <v>34</v>
      </c>
      <c r="N213" s="1" t="s">
        <v>112</v>
      </c>
      <c r="O213" s="1" t="s">
        <v>19</v>
      </c>
      <c r="P213" s="9">
        <v>44637</v>
      </c>
      <c r="Q213" s="1" t="s">
        <v>479</v>
      </c>
      <c r="R213" s="1" t="s">
        <v>63</v>
      </c>
      <c r="S213" s="1">
        <v>3</v>
      </c>
      <c r="T213" s="12">
        <v>0.375</v>
      </c>
      <c r="U213" s="12">
        <v>0.45833333333333331</v>
      </c>
      <c r="V213" s="1">
        <v>2</v>
      </c>
      <c r="W213" s="1">
        <v>2</v>
      </c>
      <c r="X213" s="5">
        <f t="shared" si="10"/>
        <v>6</v>
      </c>
      <c r="Y213" s="5" t="str">
        <f t="shared" si="11"/>
        <v>C</v>
      </c>
      <c r="Z213" s="1">
        <v>1</v>
      </c>
    </row>
    <row r="214" spans="2:26" x14ac:dyDescent="0.25">
      <c r="B214" s="11">
        <v>44638</v>
      </c>
      <c r="C214" s="7">
        <v>600003971792</v>
      </c>
      <c r="D214" s="5">
        <v>1</v>
      </c>
      <c r="E214" t="s">
        <v>497</v>
      </c>
      <c r="F214" t="s">
        <v>541</v>
      </c>
      <c r="G214" t="s">
        <v>646</v>
      </c>
      <c r="H214" t="s">
        <v>746</v>
      </c>
      <c r="I214" t="s">
        <v>767</v>
      </c>
      <c r="J214" s="27" t="s">
        <v>525</v>
      </c>
      <c r="K214" s="5" t="s">
        <v>76</v>
      </c>
      <c r="L214" s="1" t="s">
        <v>57</v>
      </c>
      <c r="M214" s="1" t="s">
        <v>123</v>
      </c>
      <c r="N214" s="1" t="s">
        <v>135</v>
      </c>
      <c r="O214" s="1" t="s">
        <v>19</v>
      </c>
      <c r="P214" s="9">
        <v>44637</v>
      </c>
      <c r="Q214" s="1" t="s">
        <v>479</v>
      </c>
      <c r="R214" s="1" t="s">
        <v>63</v>
      </c>
      <c r="S214" s="1">
        <v>2</v>
      </c>
      <c r="T214" s="12">
        <v>0.58333333333333337</v>
      </c>
      <c r="U214" s="12">
        <v>0.625</v>
      </c>
      <c r="V214" s="1">
        <v>1</v>
      </c>
      <c r="W214" s="1">
        <v>1</v>
      </c>
      <c r="X214" s="5">
        <f t="shared" si="10"/>
        <v>2</v>
      </c>
      <c r="Y214" s="5" t="str">
        <f t="shared" si="11"/>
        <v>C</v>
      </c>
      <c r="Z214" s="1">
        <v>1</v>
      </c>
    </row>
    <row r="215" spans="2:26" x14ac:dyDescent="0.25">
      <c r="B215" s="11">
        <v>44638</v>
      </c>
      <c r="C215" s="7">
        <v>600003971622</v>
      </c>
      <c r="D215" s="5">
        <v>1</v>
      </c>
      <c r="E215" t="s">
        <v>506</v>
      </c>
      <c r="F215" t="s">
        <v>550</v>
      </c>
      <c r="G215" t="s">
        <v>655</v>
      </c>
      <c r="H215" t="s">
        <v>745</v>
      </c>
      <c r="I215" t="s">
        <v>776</v>
      </c>
      <c r="J215" s="26" t="s">
        <v>525</v>
      </c>
      <c r="K215" s="5" t="s">
        <v>15</v>
      </c>
      <c r="L215" s="1" t="s">
        <v>16</v>
      </c>
      <c r="M215" s="1" t="s">
        <v>65</v>
      </c>
      <c r="N215" s="1" t="s">
        <v>62</v>
      </c>
      <c r="O215" s="1" t="s">
        <v>19</v>
      </c>
      <c r="P215" s="9">
        <v>44638</v>
      </c>
      <c r="Q215" s="1" t="s">
        <v>477</v>
      </c>
      <c r="R215" s="1" t="s">
        <v>63</v>
      </c>
      <c r="S215" s="1">
        <v>3</v>
      </c>
      <c r="T215" s="12">
        <v>0.29166666666666669</v>
      </c>
      <c r="U215" s="12">
        <v>0.33333333333333331</v>
      </c>
      <c r="V215" s="1">
        <v>1</v>
      </c>
      <c r="W215" s="1">
        <v>1</v>
      </c>
      <c r="X215" s="5">
        <f t="shared" si="10"/>
        <v>3</v>
      </c>
      <c r="Y215" s="5" t="str">
        <f t="shared" si="11"/>
        <v>C</v>
      </c>
      <c r="Z215" s="1">
        <v>1</v>
      </c>
    </row>
    <row r="216" spans="2:26" x14ac:dyDescent="0.25">
      <c r="B216" s="11">
        <v>44638</v>
      </c>
      <c r="C216" s="7">
        <v>600003971733</v>
      </c>
      <c r="D216" s="5">
        <v>1</v>
      </c>
      <c r="E216" t="s">
        <v>486</v>
      </c>
      <c r="F216" t="s">
        <v>530</v>
      </c>
      <c r="G216" t="s">
        <v>635</v>
      </c>
      <c r="H216" t="s">
        <v>740</v>
      </c>
      <c r="I216" t="s">
        <v>756</v>
      </c>
      <c r="J216" s="27" t="s">
        <v>524</v>
      </c>
      <c r="K216" s="5" t="s">
        <v>69</v>
      </c>
      <c r="L216" s="1" t="s">
        <v>42</v>
      </c>
      <c r="M216" s="1" t="s">
        <v>36</v>
      </c>
      <c r="N216" s="1" t="s">
        <v>96</v>
      </c>
      <c r="O216" s="1" t="s">
        <v>19</v>
      </c>
      <c r="P216" s="9">
        <v>44638</v>
      </c>
      <c r="Q216" s="1" t="s">
        <v>473</v>
      </c>
      <c r="R216" s="1" t="s">
        <v>63</v>
      </c>
      <c r="S216" s="1">
        <v>1</v>
      </c>
      <c r="T216" s="12">
        <v>0.29166666666666669</v>
      </c>
      <c r="U216" s="12">
        <v>0.375</v>
      </c>
      <c r="V216" s="1">
        <v>2</v>
      </c>
      <c r="W216" s="1">
        <v>2</v>
      </c>
      <c r="X216" s="5">
        <f t="shared" si="10"/>
        <v>2</v>
      </c>
      <c r="Y216" s="5" t="str">
        <f t="shared" si="11"/>
        <v>C</v>
      </c>
      <c r="Z216" s="1">
        <v>1</v>
      </c>
    </row>
    <row r="217" spans="2:26" x14ac:dyDescent="0.25">
      <c r="B217" s="11">
        <v>44638</v>
      </c>
      <c r="C217" s="7">
        <v>600003971794</v>
      </c>
      <c r="D217" s="5">
        <v>1</v>
      </c>
      <c r="E217" t="s">
        <v>889</v>
      </c>
      <c r="F217" t="s">
        <v>594</v>
      </c>
      <c r="G217" t="s">
        <v>701</v>
      </c>
      <c r="H217" t="s">
        <v>747</v>
      </c>
      <c r="I217" t="s">
        <v>822</v>
      </c>
      <c r="J217" s="27" t="s">
        <v>524</v>
      </c>
      <c r="K217" s="5" t="s">
        <v>191</v>
      </c>
      <c r="L217" s="1" t="s">
        <v>57</v>
      </c>
      <c r="M217" s="1" t="s">
        <v>233</v>
      </c>
      <c r="N217" s="1" t="s">
        <v>234</v>
      </c>
      <c r="O217" s="1" t="s">
        <v>19</v>
      </c>
      <c r="P217" s="9">
        <v>44671</v>
      </c>
      <c r="Q217" s="1" t="s">
        <v>472</v>
      </c>
      <c r="R217" s="1" t="s">
        <v>63</v>
      </c>
      <c r="S217" s="1">
        <v>1</v>
      </c>
      <c r="T217" s="12">
        <v>0.375</v>
      </c>
      <c r="U217" s="12">
        <v>0.52083333333333337</v>
      </c>
      <c r="V217" s="1">
        <v>3.5</v>
      </c>
      <c r="W217" s="1">
        <v>3.5</v>
      </c>
      <c r="X217" s="5">
        <f t="shared" si="10"/>
        <v>3.5</v>
      </c>
      <c r="Y217" s="5" t="str">
        <f t="shared" si="11"/>
        <v>B</v>
      </c>
    </row>
    <row r="218" spans="2:26" x14ac:dyDescent="0.25">
      <c r="B218" s="11">
        <v>44641</v>
      </c>
      <c r="C218" s="7">
        <v>600003972969</v>
      </c>
      <c r="D218" s="5">
        <v>1</v>
      </c>
      <c r="E218" t="s">
        <v>506</v>
      </c>
      <c r="F218" t="s">
        <v>550</v>
      </c>
      <c r="G218" t="s">
        <v>655</v>
      </c>
      <c r="H218" t="s">
        <v>745</v>
      </c>
      <c r="I218" t="s">
        <v>776</v>
      </c>
      <c r="J218" s="27" t="s">
        <v>525</v>
      </c>
      <c r="K218" s="5" t="s">
        <v>15</v>
      </c>
      <c r="L218" s="1" t="s">
        <v>57</v>
      </c>
      <c r="M218" s="1" t="s">
        <v>80</v>
      </c>
      <c r="N218" s="1" t="s">
        <v>204</v>
      </c>
      <c r="O218" s="1" t="s">
        <v>19</v>
      </c>
      <c r="P218" s="9">
        <v>44642</v>
      </c>
      <c r="Q218" s="1" t="s">
        <v>478</v>
      </c>
      <c r="R218" s="1" t="s">
        <v>50</v>
      </c>
      <c r="S218" s="1">
        <v>2</v>
      </c>
      <c r="T218" s="12">
        <v>0.35416666666666669</v>
      </c>
      <c r="U218" s="12">
        <v>0.41666666666666669</v>
      </c>
      <c r="V218" s="1">
        <v>1.5</v>
      </c>
      <c r="W218" s="1">
        <v>1.5</v>
      </c>
      <c r="X218" s="5">
        <f t="shared" si="10"/>
        <v>3</v>
      </c>
      <c r="Y218" s="5" t="str">
        <f t="shared" si="11"/>
        <v>C</v>
      </c>
    </row>
    <row r="219" spans="2:26" x14ac:dyDescent="0.25">
      <c r="B219" s="11">
        <v>44641</v>
      </c>
      <c r="C219" s="7">
        <v>600003972967</v>
      </c>
      <c r="D219" s="5">
        <v>1</v>
      </c>
      <c r="E219" t="s">
        <v>866</v>
      </c>
      <c r="F219" t="s">
        <v>573</v>
      </c>
      <c r="G219" t="s">
        <v>678</v>
      </c>
      <c r="H219" t="s">
        <v>745</v>
      </c>
      <c r="I219" t="s">
        <v>799</v>
      </c>
      <c r="J219" s="27" t="s">
        <v>525</v>
      </c>
      <c r="K219" s="5" t="s">
        <v>15</v>
      </c>
      <c r="L219" s="1" t="s">
        <v>16</v>
      </c>
      <c r="M219" s="1" t="s">
        <v>126</v>
      </c>
      <c r="N219" s="1" t="s">
        <v>67</v>
      </c>
      <c r="O219" s="1" t="s">
        <v>19</v>
      </c>
      <c r="P219" s="9">
        <v>44641</v>
      </c>
      <c r="Q219" s="1" t="s">
        <v>479</v>
      </c>
      <c r="R219" s="1" t="s">
        <v>63</v>
      </c>
      <c r="S219" s="1">
        <v>2</v>
      </c>
      <c r="T219" s="12">
        <v>0.625</v>
      </c>
      <c r="U219" s="12">
        <v>0.66666666666666663</v>
      </c>
      <c r="V219" s="1">
        <v>1</v>
      </c>
      <c r="W219" s="1">
        <v>1</v>
      </c>
      <c r="X219" s="5">
        <f t="shared" si="10"/>
        <v>2</v>
      </c>
      <c r="Y219" s="5" t="str">
        <f t="shared" si="11"/>
        <v>C</v>
      </c>
    </row>
    <row r="220" spans="2:26" x14ac:dyDescent="0.25">
      <c r="B220" s="11">
        <v>44641</v>
      </c>
      <c r="C220" s="7">
        <v>600003972971</v>
      </c>
      <c r="D220" s="5">
        <v>1</v>
      </c>
      <c r="E220" t="s">
        <v>486</v>
      </c>
      <c r="F220" t="s">
        <v>530</v>
      </c>
      <c r="G220" t="s">
        <v>635</v>
      </c>
      <c r="H220" t="s">
        <v>740</v>
      </c>
      <c r="I220" t="s">
        <v>756</v>
      </c>
      <c r="J220" s="27" t="s">
        <v>525</v>
      </c>
      <c r="K220" s="5" t="s">
        <v>69</v>
      </c>
      <c r="L220" s="1" t="s">
        <v>42</v>
      </c>
      <c r="M220" s="1" t="s">
        <v>208</v>
      </c>
      <c r="N220" s="1" t="s">
        <v>207</v>
      </c>
      <c r="O220" s="1" t="s">
        <v>19</v>
      </c>
      <c r="P220" s="9">
        <v>44642</v>
      </c>
      <c r="Q220" s="1" t="s">
        <v>477</v>
      </c>
      <c r="R220" s="1" t="s">
        <v>63</v>
      </c>
      <c r="S220" s="1">
        <v>2</v>
      </c>
      <c r="T220" s="12">
        <v>0.54166666666666663</v>
      </c>
      <c r="U220" s="12">
        <v>0.66666666666666663</v>
      </c>
      <c r="V220" s="1">
        <v>3</v>
      </c>
      <c r="W220" s="1">
        <v>3</v>
      </c>
      <c r="X220" s="5">
        <f t="shared" si="10"/>
        <v>6</v>
      </c>
      <c r="Y220" s="5" t="str">
        <f t="shared" si="11"/>
        <v>B</v>
      </c>
    </row>
    <row r="221" spans="2:26" x14ac:dyDescent="0.25">
      <c r="B221" s="11">
        <v>44642</v>
      </c>
      <c r="C221" s="7">
        <v>600003973433</v>
      </c>
      <c r="D221" s="5">
        <v>1</v>
      </c>
      <c r="E221" t="s">
        <v>515</v>
      </c>
      <c r="F221" t="s">
        <v>559</v>
      </c>
      <c r="G221" t="s">
        <v>664</v>
      </c>
      <c r="H221" t="s">
        <v>745</v>
      </c>
      <c r="I221" t="s">
        <v>785</v>
      </c>
      <c r="J221" s="27" t="s">
        <v>525</v>
      </c>
      <c r="K221" s="5" t="s">
        <v>122</v>
      </c>
      <c r="L221" s="1" t="s">
        <v>57</v>
      </c>
      <c r="M221" s="1" t="s">
        <v>184</v>
      </c>
      <c r="N221" s="1" t="s">
        <v>203</v>
      </c>
      <c r="O221" s="1" t="s">
        <v>19</v>
      </c>
      <c r="P221" s="9">
        <v>44642</v>
      </c>
      <c r="Q221" s="1" t="s">
        <v>477</v>
      </c>
      <c r="R221" s="1" t="s">
        <v>63</v>
      </c>
      <c r="S221" s="1">
        <v>3</v>
      </c>
      <c r="T221" s="12">
        <v>0.375</v>
      </c>
      <c r="U221" s="12">
        <v>0.4375</v>
      </c>
      <c r="V221" s="1">
        <v>1.5</v>
      </c>
      <c r="W221" s="1">
        <v>1.5</v>
      </c>
      <c r="X221" s="5">
        <f t="shared" si="10"/>
        <v>4.5</v>
      </c>
      <c r="Y221" s="5" t="str">
        <f t="shared" si="11"/>
        <v>C</v>
      </c>
    </row>
    <row r="222" spans="2:26" x14ac:dyDescent="0.25">
      <c r="B222" s="11">
        <v>44642</v>
      </c>
      <c r="C222" s="7">
        <v>600003973494</v>
      </c>
      <c r="D222" s="5">
        <v>1</v>
      </c>
      <c r="E222" t="s">
        <v>501</v>
      </c>
      <c r="F222" t="s">
        <v>545</v>
      </c>
      <c r="G222" t="s">
        <v>650</v>
      </c>
      <c r="H222" t="s">
        <v>740</v>
      </c>
      <c r="I222" t="s">
        <v>771</v>
      </c>
      <c r="J222" s="27" t="s">
        <v>524</v>
      </c>
      <c r="K222" s="5" t="s">
        <v>70</v>
      </c>
      <c r="L222" s="1" t="s">
        <v>36</v>
      </c>
      <c r="M222" s="1" t="s">
        <v>112</v>
      </c>
      <c r="N222" s="1" t="s">
        <v>209</v>
      </c>
      <c r="O222" s="1" t="s">
        <v>19</v>
      </c>
      <c r="P222" s="9">
        <v>44642</v>
      </c>
      <c r="Q222" s="1" t="s">
        <v>480</v>
      </c>
      <c r="R222" s="1" t="s">
        <v>63</v>
      </c>
      <c r="S222" s="1">
        <v>2</v>
      </c>
      <c r="T222" s="12">
        <v>0.375</v>
      </c>
      <c r="U222" s="12">
        <v>0.45833333333333331</v>
      </c>
      <c r="V222" s="1">
        <v>2</v>
      </c>
      <c r="W222" s="1">
        <v>2</v>
      </c>
      <c r="X222" s="5">
        <f t="shared" si="10"/>
        <v>4</v>
      </c>
      <c r="Y222" s="5" t="str">
        <f t="shared" si="11"/>
        <v>C</v>
      </c>
    </row>
    <row r="223" spans="2:26" x14ac:dyDescent="0.25">
      <c r="B223" s="11">
        <v>44645</v>
      </c>
      <c r="C223" s="7">
        <v>600003976622</v>
      </c>
      <c r="D223" s="5">
        <v>1</v>
      </c>
      <c r="E223" t="s">
        <v>511</v>
      </c>
      <c r="F223" t="s">
        <v>555</v>
      </c>
      <c r="G223" t="s">
        <v>660</v>
      </c>
      <c r="H223" t="s">
        <v>745</v>
      </c>
      <c r="I223" t="s">
        <v>781</v>
      </c>
      <c r="J223" s="27" t="s">
        <v>525</v>
      </c>
      <c r="K223" s="5" t="s">
        <v>15</v>
      </c>
      <c r="L223" s="1" t="s">
        <v>57</v>
      </c>
      <c r="M223" s="1" t="s">
        <v>71</v>
      </c>
      <c r="N223" s="1" t="s">
        <v>202</v>
      </c>
      <c r="O223" s="1" t="s">
        <v>19</v>
      </c>
      <c r="P223" s="9">
        <v>44645</v>
      </c>
      <c r="Q223" s="1" t="s">
        <v>476</v>
      </c>
      <c r="R223" s="1" t="s">
        <v>63</v>
      </c>
      <c r="S223" s="1">
        <v>2</v>
      </c>
      <c r="T223" s="12">
        <v>0.4375</v>
      </c>
      <c r="U223" s="12">
        <v>0.5</v>
      </c>
      <c r="V223" s="1">
        <v>1.5</v>
      </c>
      <c r="W223" s="1">
        <v>1.5</v>
      </c>
      <c r="X223" s="5">
        <f t="shared" si="10"/>
        <v>3</v>
      </c>
      <c r="Y223" s="5" t="str">
        <f t="shared" si="11"/>
        <v>C</v>
      </c>
    </row>
    <row r="224" spans="2:26" x14ac:dyDescent="0.25">
      <c r="B224" s="11">
        <v>44645</v>
      </c>
      <c r="C224" s="7">
        <v>600003976626</v>
      </c>
      <c r="D224" s="1">
        <v>1</v>
      </c>
      <c r="E224" t="s">
        <v>500</v>
      </c>
      <c r="F224" t="s">
        <v>544</v>
      </c>
      <c r="G224" t="s">
        <v>649</v>
      </c>
      <c r="H224" t="s">
        <v>745</v>
      </c>
      <c r="I224" t="s">
        <v>770</v>
      </c>
      <c r="J224" s="26" t="s">
        <v>525</v>
      </c>
      <c r="K224" s="1" t="s">
        <v>15</v>
      </c>
      <c r="L224" s="1" t="s">
        <v>60</v>
      </c>
      <c r="M224" s="1" t="s">
        <v>121</v>
      </c>
      <c r="N224" s="1" t="s">
        <v>181</v>
      </c>
      <c r="O224" s="1" t="s">
        <v>19</v>
      </c>
      <c r="P224" s="9">
        <v>44645</v>
      </c>
      <c r="Q224" s="1" t="s">
        <v>477</v>
      </c>
      <c r="R224" s="1" t="s">
        <v>63</v>
      </c>
      <c r="S224" s="1">
        <v>2</v>
      </c>
      <c r="T224" s="12">
        <v>0.39583333333333331</v>
      </c>
      <c r="U224" s="12">
        <v>0.47916666666666669</v>
      </c>
      <c r="V224" s="1">
        <v>2</v>
      </c>
      <c r="W224" s="1">
        <v>2</v>
      </c>
      <c r="X224" s="5">
        <f t="shared" si="10"/>
        <v>4</v>
      </c>
      <c r="Y224" s="5" t="str">
        <f t="shared" si="11"/>
        <v>C</v>
      </c>
    </row>
    <row r="225" spans="2:25" x14ac:dyDescent="0.25">
      <c r="B225" s="11">
        <v>44645</v>
      </c>
      <c r="C225" s="7">
        <v>600003976624</v>
      </c>
      <c r="D225" s="5">
        <v>1</v>
      </c>
      <c r="E225" t="s">
        <v>511</v>
      </c>
      <c r="F225" t="s">
        <v>555</v>
      </c>
      <c r="G225" t="s">
        <v>660</v>
      </c>
      <c r="H225" t="s">
        <v>745</v>
      </c>
      <c r="I225" t="s">
        <v>781</v>
      </c>
      <c r="J225" s="27" t="s">
        <v>525</v>
      </c>
      <c r="K225" s="5" t="s">
        <v>15</v>
      </c>
      <c r="L225" s="1" t="s">
        <v>65</v>
      </c>
      <c r="M225" s="1" t="s">
        <v>205</v>
      </c>
      <c r="N225" s="1" t="s">
        <v>206</v>
      </c>
      <c r="O225" s="1" t="s">
        <v>19</v>
      </c>
      <c r="P225" s="9">
        <v>44645</v>
      </c>
      <c r="Q225" s="1" t="s">
        <v>479</v>
      </c>
      <c r="R225" s="1" t="s">
        <v>63</v>
      </c>
      <c r="S225" s="1">
        <v>2</v>
      </c>
      <c r="T225" s="12">
        <v>0.25</v>
      </c>
      <c r="U225" s="12">
        <v>0.3125</v>
      </c>
      <c r="V225" s="1">
        <v>1.5</v>
      </c>
      <c r="W225" s="1">
        <v>1.5</v>
      </c>
      <c r="X225" s="5">
        <f t="shared" si="10"/>
        <v>3</v>
      </c>
      <c r="Y225" s="5" t="str">
        <f t="shared" si="11"/>
        <v>C</v>
      </c>
    </row>
    <row r="226" spans="2:25" x14ac:dyDescent="0.25">
      <c r="B226" s="11">
        <v>44645</v>
      </c>
      <c r="C226" s="7">
        <v>600003976621</v>
      </c>
      <c r="D226" s="1">
        <v>1</v>
      </c>
      <c r="E226" t="s">
        <v>493</v>
      </c>
      <c r="F226" t="s">
        <v>537</v>
      </c>
      <c r="G226" t="s">
        <v>642</v>
      </c>
      <c r="H226" t="s">
        <v>745</v>
      </c>
      <c r="I226" t="s">
        <v>763</v>
      </c>
      <c r="J226" s="26" t="s">
        <v>525</v>
      </c>
      <c r="K226" s="1" t="s">
        <v>15</v>
      </c>
      <c r="L226" s="1" t="s">
        <v>17</v>
      </c>
      <c r="M226" s="1" t="s">
        <v>121</v>
      </c>
      <c r="N226" s="1" t="s">
        <v>45</v>
      </c>
      <c r="O226" s="1" t="s">
        <v>19</v>
      </c>
      <c r="P226" s="9">
        <v>44645</v>
      </c>
      <c r="Q226" s="1" t="s">
        <v>479</v>
      </c>
      <c r="R226" s="1" t="s">
        <v>63</v>
      </c>
      <c r="S226" s="1">
        <v>1</v>
      </c>
      <c r="T226" s="12">
        <v>0.29166666666666669</v>
      </c>
      <c r="U226" s="12">
        <v>0.33333333333333331</v>
      </c>
      <c r="V226" s="1">
        <v>1</v>
      </c>
      <c r="W226" s="1">
        <v>1</v>
      </c>
      <c r="X226" s="5">
        <f t="shared" si="10"/>
        <v>1</v>
      </c>
      <c r="Y226" s="5" t="str">
        <f t="shared" si="11"/>
        <v>C</v>
      </c>
    </row>
    <row r="227" spans="2:25" x14ac:dyDescent="0.25">
      <c r="B227" s="11">
        <v>44645</v>
      </c>
      <c r="C227" s="7">
        <v>600003976629</v>
      </c>
      <c r="D227" s="5">
        <v>1</v>
      </c>
      <c r="E227" t="s">
        <v>515</v>
      </c>
      <c r="F227" t="s">
        <v>559</v>
      </c>
      <c r="G227" t="s">
        <v>664</v>
      </c>
      <c r="H227" t="s">
        <v>745</v>
      </c>
      <c r="I227" t="s">
        <v>785</v>
      </c>
      <c r="J227" s="27" t="s">
        <v>525</v>
      </c>
      <c r="K227" s="5" t="s">
        <v>122</v>
      </c>
      <c r="L227" s="1" t="s">
        <v>173</v>
      </c>
      <c r="M227" s="1" t="s">
        <v>184</v>
      </c>
      <c r="N227" s="1" t="s">
        <v>167</v>
      </c>
      <c r="O227" s="1" t="s">
        <v>19</v>
      </c>
      <c r="P227" s="9">
        <v>44645</v>
      </c>
      <c r="Q227" s="1" t="s">
        <v>475</v>
      </c>
      <c r="R227" s="1" t="s">
        <v>50</v>
      </c>
      <c r="S227" s="1">
        <v>1</v>
      </c>
      <c r="T227" s="12">
        <v>0.5</v>
      </c>
      <c r="U227" s="12">
        <v>0.58333333333333337</v>
      </c>
      <c r="V227" s="1">
        <v>2</v>
      </c>
      <c r="W227" s="1">
        <v>2</v>
      </c>
      <c r="X227" s="5">
        <f t="shared" si="10"/>
        <v>2</v>
      </c>
      <c r="Y227" s="5" t="str">
        <f t="shared" si="11"/>
        <v>C</v>
      </c>
    </row>
    <row r="228" spans="2:25" x14ac:dyDescent="0.25">
      <c r="B228" s="11">
        <v>44648</v>
      </c>
      <c r="C228" s="7">
        <v>600003977943</v>
      </c>
      <c r="D228" s="5">
        <v>1</v>
      </c>
      <c r="E228" t="s">
        <v>494</v>
      </c>
      <c r="F228" t="s">
        <v>538</v>
      </c>
      <c r="G228" t="s">
        <v>643</v>
      </c>
      <c r="H228" t="s">
        <v>745</v>
      </c>
      <c r="I228" t="s">
        <v>764</v>
      </c>
      <c r="J228" s="29" t="s">
        <v>525</v>
      </c>
      <c r="K228" s="4" t="s">
        <v>15</v>
      </c>
      <c r="L228" s="1" t="s">
        <v>211</v>
      </c>
      <c r="M228" s="1" t="s">
        <v>71</v>
      </c>
      <c r="N228" s="1" t="s">
        <v>210</v>
      </c>
      <c r="O228" s="1" t="s">
        <v>19</v>
      </c>
      <c r="P228" s="9">
        <v>44648</v>
      </c>
      <c r="Q228" s="1" t="s">
        <v>479</v>
      </c>
      <c r="R228" s="1" t="s">
        <v>63</v>
      </c>
      <c r="S228" s="1">
        <v>1</v>
      </c>
      <c r="T228" s="12">
        <v>0.45833333333333331</v>
      </c>
      <c r="U228" s="12">
        <v>0.47916666666666669</v>
      </c>
      <c r="V228" s="1">
        <v>1</v>
      </c>
      <c r="W228" s="1">
        <v>1</v>
      </c>
      <c r="X228" s="5">
        <f t="shared" si="10"/>
        <v>1</v>
      </c>
      <c r="Y228" s="5" t="str">
        <f t="shared" si="11"/>
        <v>C</v>
      </c>
    </row>
    <row r="229" spans="2:25" x14ac:dyDescent="0.25">
      <c r="B229" s="11">
        <v>44648</v>
      </c>
      <c r="C229" s="7">
        <v>600003977860</v>
      </c>
      <c r="D229" s="5">
        <v>1</v>
      </c>
      <c r="E229" t="s">
        <v>493</v>
      </c>
      <c r="F229" t="s">
        <v>537</v>
      </c>
      <c r="G229" t="s">
        <v>642</v>
      </c>
      <c r="H229" t="s">
        <v>745</v>
      </c>
      <c r="I229" t="s">
        <v>763</v>
      </c>
      <c r="J229" s="27" t="s">
        <v>525</v>
      </c>
      <c r="K229" s="5" t="s">
        <v>15</v>
      </c>
      <c r="L229" s="1" t="s">
        <v>57</v>
      </c>
      <c r="M229" s="1" t="s">
        <v>71</v>
      </c>
      <c r="N229" s="1" t="s">
        <v>45</v>
      </c>
      <c r="O229" s="1" t="s">
        <v>19</v>
      </c>
      <c r="P229" s="9">
        <v>44648</v>
      </c>
      <c r="Q229" s="1" t="s">
        <v>477</v>
      </c>
      <c r="R229" s="1" t="s">
        <v>63</v>
      </c>
      <c r="S229" s="1">
        <v>1</v>
      </c>
      <c r="T229" s="12">
        <v>0.54166666666666663</v>
      </c>
      <c r="U229" s="12">
        <v>0.5625</v>
      </c>
      <c r="V229" s="1">
        <v>0.5</v>
      </c>
      <c r="W229" s="1">
        <v>0.5</v>
      </c>
      <c r="X229" s="5">
        <f t="shared" si="10"/>
        <v>0.5</v>
      </c>
      <c r="Y229" s="5" t="str">
        <f t="shared" si="11"/>
        <v>C</v>
      </c>
    </row>
    <row r="230" spans="2:25" x14ac:dyDescent="0.25">
      <c r="B230" s="11">
        <v>44648</v>
      </c>
      <c r="C230" s="7">
        <v>600003977936</v>
      </c>
      <c r="D230" s="5">
        <v>1</v>
      </c>
      <c r="E230" t="s">
        <v>506</v>
      </c>
      <c r="F230" t="s">
        <v>550</v>
      </c>
      <c r="G230" t="s">
        <v>655</v>
      </c>
      <c r="H230" t="s">
        <v>745</v>
      </c>
      <c r="I230" t="s">
        <v>776</v>
      </c>
      <c r="J230" s="27" t="s">
        <v>525</v>
      </c>
      <c r="K230" s="5" t="s">
        <v>15</v>
      </c>
      <c r="L230" s="1" t="s">
        <v>148</v>
      </c>
      <c r="M230" s="1" t="s">
        <v>201</v>
      </c>
      <c r="N230" s="1" t="s">
        <v>114</v>
      </c>
      <c r="O230" s="1" t="s">
        <v>19</v>
      </c>
      <c r="P230" s="9">
        <v>44649</v>
      </c>
      <c r="Q230" s="1" t="s">
        <v>476</v>
      </c>
      <c r="R230" s="1" t="s">
        <v>63</v>
      </c>
      <c r="S230" s="1">
        <v>1</v>
      </c>
      <c r="T230" s="12">
        <v>0.54166666666666663</v>
      </c>
      <c r="U230" s="12">
        <v>0.58333333333333337</v>
      </c>
      <c r="V230" s="1">
        <v>1</v>
      </c>
      <c r="W230" s="1">
        <v>1</v>
      </c>
      <c r="X230" s="5">
        <f t="shared" si="10"/>
        <v>1</v>
      </c>
      <c r="Y230" s="5" t="str">
        <f t="shared" si="11"/>
        <v>C</v>
      </c>
    </row>
    <row r="231" spans="2:25" x14ac:dyDescent="0.25">
      <c r="B231" s="11">
        <v>44649</v>
      </c>
      <c r="C231" s="7">
        <v>600003978348</v>
      </c>
      <c r="D231" s="5">
        <v>1</v>
      </c>
      <c r="E231" t="s">
        <v>511</v>
      </c>
      <c r="F231" t="s">
        <v>555</v>
      </c>
      <c r="G231" t="s">
        <v>660</v>
      </c>
      <c r="H231" t="s">
        <v>745</v>
      </c>
      <c r="I231" t="s">
        <v>781</v>
      </c>
      <c r="J231" s="27" t="s">
        <v>525</v>
      </c>
      <c r="K231" s="5" t="s">
        <v>15</v>
      </c>
      <c r="L231" s="1" t="s">
        <v>65</v>
      </c>
      <c r="M231" s="1" t="s">
        <v>137</v>
      </c>
      <c r="N231" s="1" t="s">
        <v>67</v>
      </c>
      <c r="O231" s="1" t="s">
        <v>19</v>
      </c>
      <c r="P231" s="9">
        <v>44649</v>
      </c>
      <c r="Q231" s="1" t="s">
        <v>477</v>
      </c>
      <c r="R231" s="1" t="s">
        <v>63</v>
      </c>
      <c r="S231" s="1">
        <v>3</v>
      </c>
      <c r="T231" s="12">
        <v>0.375</v>
      </c>
      <c r="U231" s="12">
        <v>0.4375</v>
      </c>
      <c r="V231" s="1">
        <v>1.5</v>
      </c>
      <c r="W231" s="1">
        <v>1.5</v>
      </c>
      <c r="X231" s="5">
        <f t="shared" si="10"/>
        <v>4.5</v>
      </c>
      <c r="Y231" s="5" t="str">
        <f t="shared" si="11"/>
        <v>C</v>
      </c>
    </row>
    <row r="232" spans="2:25" x14ac:dyDescent="0.25">
      <c r="B232" s="11">
        <v>44649</v>
      </c>
      <c r="C232" s="7">
        <v>600003978347</v>
      </c>
      <c r="D232" s="5">
        <v>1</v>
      </c>
      <c r="E232" t="s">
        <v>512</v>
      </c>
      <c r="F232" t="s">
        <v>556</v>
      </c>
      <c r="G232" t="s">
        <v>661</v>
      </c>
      <c r="H232" t="s">
        <v>745</v>
      </c>
      <c r="I232" t="s">
        <v>782</v>
      </c>
      <c r="J232" s="27" t="s">
        <v>525</v>
      </c>
      <c r="K232" s="5" t="s">
        <v>88</v>
      </c>
      <c r="L232" s="1" t="s">
        <v>79</v>
      </c>
      <c r="M232" s="1" t="s">
        <v>224</v>
      </c>
      <c r="N232" s="1" t="s">
        <v>225</v>
      </c>
      <c r="O232" s="1" t="s">
        <v>19</v>
      </c>
      <c r="P232" s="9">
        <v>44649</v>
      </c>
      <c r="Q232" s="1" t="s">
        <v>478</v>
      </c>
      <c r="R232" s="1" t="s">
        <v>50</v>
      </c>
      <c r="S232" s="1">
        <v>1</v>
      </c>
      <c r="T232" s="12">
        <v>0.33333333333333331</v>
      </c>
      <c r="U232" s="12">
        <v>0.375</v>
      </c>
      <c r="V232" s="1">
        <v>1</v>
      </c>
      <c r="W232" s="1">
        <v>1</v>
      </c>
      <c r="X232" s="5">
        <f t="shared" si="10"/>
        <v>1</v>
      </c>
      <c r="Y232" s="5" t="str">
        <f t="shared" si="11"/>
        <v>C</v>
      </c>
    </row>
    <row r="233" spans="2:25" x14ac:dyDescent="0.25">
      <c r="B233" s="11">
        <v>44650</v>
      </c>
      <c r="C233" s="7">
        <v>600003991140</v>
      </c>
      <c r="D233" s="5">
        <v>1</v>
      </c>
      <c r="E233" t="s">
        <v>515</v>
      </c>
      <c r="F233" t="s">
        <v>559</v>
      </c>
      <c r="G233" t="s">
        <v>664</v>
      </c>
      <c r="H233" t="s">
        <v>745</v>
      </c>
      <c r="I233" t="s">
        <v>785</v>
      </c>
      <c r="J233" s="27" t="s">
        <v>525</v>
      </c>
      <c r="K233" s="5" t="s">
        <v>122</v>
      </c>
      <c r="L233" s="1" t="s">
        <v>57</v>
      </c>
      <c r="M233" s="1" t="s">
        <v>173</v>
      </c>
      <c r="N233" s="1" t="s">
        <v>129</v>
      </c>
      <c r="O233" s="1" t="s">
        <v>19</v>
      </c>
      <c r="P233" s="9">
        <v>44650</v>
      </c>
      <c r="Q233" s="1" t="s">
        <v>477</v>
      </c>
      <c r="R233" s="1" t="s">
        <v>63</v>
      </c>
      <c r="S233" s="1">
        <v>3</v>
      </c>
      <c r="T233" s="12">
        <v>0.29166666666666669</v>
      </c>
      <c r="U233" s="12">
        <v>0.33333333333333331</v>
      </c>
      <c r="V233" s="1">
        <v>1</v>
      </c>
      <c r="W233" s="1">
        <v>1</v>
      </c>
      <c r="X233" s="5">
        <f t="shared" si="10"/>
        <v>3</v>
      </c>
      <c r="Y233" s="5" t="str">
        <f t="shared" si="11"/>
        <v>C</v>
      </c>
    </row>
    <row r="234" spans="2:25" x14ac:dyDescent="0.25">
      <c r="B234" s="11">
        <v>44650</v>
      </c>
      <c r="C234" s="7">
        <v>600003991364</v>
      </c>
      <c r="D234" s="5">
        <v>1</v>
      </c>
      <c r="E234" t="s">
        <v>513</v>
      </c>
      <c r="F234" t="s">
        <v>557</v>
      </c>
      <c r="G234" t="s">
        <v>662</v>
      </c>
      <c r="H234" t="s">
        <v>748</v>
      </c>
      <c r="I234" t="s">
        <v>783</v>
      </c>
      <c r="J234" s="27" t="s">
        <v>525</v>
      </c>
      <c r="K234" s="5" t="s">
        <v>13</v>
      </c>
      <c r="L234" s="1" t="s">
        <v>57</v>
      </c>
      <c r="M234" s="1" t="s">
        <v>215</v>
      </c>
      <c r="N234" s="1" t="s">
        <v>216</v>
      </c>
      <c r="O234" s="1" t="s">
        <v>19</v>
      </c>
      <c r="P234" s="9">
        <v>44650</v>
      </c>
      <c r="Q234" s="1" t="s">
        <v>473</v>
      </c>
      <c r="R234" s="1" t="s">
        <v>63</v>
      </c>
      <c r="S234" s="1">
        <v>2</v>
      </c>
      <c r="T234" s="12">
        <v>0.29166666666666669</v>
      </c>
      <c r="U234" s="12">
        <v>0.66666666666666663</v>
      </c>
      <c r="V234" s="1">
        <v>9</v>
      </c>
      <c r="W234" s="1">
        <v>9</v>
      </c>
      <c r="X234" s="5">
        <f t="shared" si="10"/>
        <v>18</v>
      </c>
      <c r="Y234" s="5" t="str">
        <f t="shared" si="11"/>
        <v>A</v>
      </c>
    </row>
    <row r="235" spans="2:25" x14ac:dyDescent="0.25">
      <c r="B235" s="11">
        <v>44650</v>
      </c>
      <c r="C235" s="7">
        <v>600003979311</v>
      </c>
      <c r="D235" s="5">
        <v>1</v>
      </c>
      <c r="E235" t="s">
        <v>504</v>
      </c>
      <c r="F235" t="s">
        <v>548</v>
      </c>
      <c r="G235" t="s">
        <v>653</v>
      </c>
      <c r="H235" t="s">
        <v>745</v>
      </c>
      <c r="I235" t="s">
        <v>774</v>
      </c>
      <c r="J235" s="27" t="s">
        <v>525</v>
      </c>
      <c r="K235" s="5" t="s">
        <v>15</v>
      </c>
      <c r="L235" s="1" t="s">
        <v>16</v>
      </c>
      <c r="M235" s="1" t="s">
        <v>17</v>
      </c>
      <c r="N235" s="1" t="s">
        <v>45</v>
      </c>
      <c r="O235" s="1" t="s">
        <v>19</v>
      </c>
      <c r="P235" s="9">
        <v>44650</v>
      </c>
      <c r="Q235" s="1" t="s">
        <v>478</v>
      </c>
      <c r="R235" s="1" t="s">
        <v>63</v>
      </c>
      <c r="S235" s="1">
        <v>2</v>
      </c>
      <c r="T235" s="12">
        <v>0.54166666666666663</v>
      </c>
      <c r="U235" s="12">
        <v>0.58333333333333337</v>
      </c>
      <c r="V235" s="1">
        <v>1</v>
      </c>
      <c r="W235" s="1">
        <v>1</v>
      </c>
      <c r="X235" s="5">
        <f t="shared" si="10"/>
        <v>2</v>
      </c>
      <c r="Y235" s="5" t="str">
        <f t="shared" si="11"/>
        <v>C</v>
      </c>
    </row>
    <row r="236" spans="2:25" x14ac:dyDescent="0.25">
      <c r="B236" s="11">
        <v>44651</v>
      </c>
      <c r="C236" s="7">
        <v>600003992640</v>
      </c>
      <c r="D236" s="5">
        <v>1</v>
      </c>
      <c r="E236" t="s">
        <v>494</v>
      </c>
      <c r="F236" t="s">
        <v>538</v>
      </c>
      <c r="G236" t="s">
        <v>643</v>
      </c>
      <c r="H236" t="s">
        <v>745</v>
      </c>
      <c r="I236" t="s">
        <v>764</v>
      </c>
      <c r="J236" s="29" t="s">
        <v>525</v>
      </c>
      <c r="K236" s="4" t="s">
        <v>15</v>
      </c>
      <c r="L236" s="1" t="s">
        <v>36</v>
      </c>
      <c r="M236" s="1" t="s">
        <v>220</v>
      </c>
      <c r="N236" s="1" t="s">
        <v>221</v>
      </c>
      <c r="O236" s="1" t="s">
        <v>19</v>
      </c>
      <c r="P236" s="9">
        <v>44651</v>
      </c>
      <c r="Q236" s="1" t="s">
        <v>479</v>
      </c>
      <c r="R236" s="1" t="s">
        <v>63</v>
      </c>
      <c r="S236" s="1">
        <v>2</v>
      </c>
      <c r="T236" s="12">
        <v>0.29166666666666669</v>
      </c>
      <c r="U236" s="12">
        <v>0.375</v>
      </c>
      <c r="V236" s="1">
        <v>2</v>
      </c>
      <c r="W236" s="1">
        <v>2</v>
      </c>
      <c r="X236" s="5">
        <f t="shared" si="10"/>
        <v>4</v>
      </c>
      <c r="Y236" s="5" t="str">
        <f t="shared" si="11"/>
        <v>C</v>
      </c>
    </row>
    <row r="237" spans="2:25" x14ac:dyDescent="0.25">
      <c r="B237" s="11">
        <v>44651</v>
      </c>
      <c r="C237" s="7">
        <v>600003991650</v>
      </c>
      <c r="D237" s="5">
        <v>1</v>
      </c>
      <c r="E237" t="s">
        <v>890</v>
      </c>
      <c r="F237" t="s">
        <v>595</v>
      </c>
      <c r="G237" t="s">
        <v>702</v>
      </c>
      <c r="H237" t="s">
        <v>747</v>
      </c>
      <c r="I237" t="s">
        <v>823</v>
      </c>
      <c r="J237" s="27" t="s">
        <v>524</v>
      </c>
      <c r="K237" s="5" t="s">
        <v>112</v>
      </c>
      <c r="L237" s="1" t="s">
        <v>57</v>
      </c>
      <c r="M237" s="1" t="s">
        <v>112</v>
      </c>
      <c r="N237" s="1" t="s">
        <v>154</v>
      </c>
      <c r="O237" s="1" t="s">
        <v>19</v>
      </c>
      <c r="P237" s="9">
        <v>44665</v>
      </c>
      <c r="Q237" s="1" t="s">
        <v>480</v>
      </c>
      <c r="R237" s="1" t="s">
        <v>63</v>
      </c>
      <c r="S237" s="1">
        <v>2</v>
      </c>
      <c r="T237" s="12">
        <v>0.375</v>
      </c>
      <c r="U237" s="12">
        <v>0.47916666666666669</v>
      </c>
      <c r="V237" s="1">
        <v>2.5</v>
      </c>
      <c r="W237" s="1">
        <v>2.5</v>
      </c>
      <c r="X237" s="5">
        <f t="shared" si="10"/>
        <v>5</v>
      </c>
      <c r="Y237" s="5" t="str">
        <f t="shared" si="11"/>
        <v>B</v>
      </c>
    </row>
    <row r="238" spans="2:25" x14ac:dyDescent="0.25">
      <c r="B238" s="11">
        <v>44652</v>
      </c>
      <c r="C238" s="7">
        <v>600003993314</v>
      </c>
      <c r="D238" s="5">
        <v>1</v>
      </c>
      <c r="E238" t="s">
        <v>507</v>
      </c>
      <c r="F238" t="s">
        <v>551</v>
      </c>
      <c r="G238" t="s">
        <v>656</v>
      </c>
      <c r="H238" t="s">
        <v>745</v>
      </c>
      <c r="I238" t="s">
        <v>777</v>
      </c>
      <c r="J238" s="26" t="s">
        <v>525</v>
      </c>
      <c r="K238" s="5" t="s">
        <v>15</v>
      </c>
      <c r="L238" s="1" t="s">
        <v>16</v>
      </c>
      <c r="M238" s="1" t="s">
        <v>126</v>
      </c>
      <c r="N238" s="1" t="s">
        <v>67</v>
      </c>
      <c r="O238" s="1" t="s">
        <v>19</v>
      </c>
      <c r="P238" s="9">
        <v>44652</v>
      </c>
      <c r="Q238" s="1" t="s">
        <v>477</v>
      </c>
      <c r="R238" s="1" t="s">
        <v>63</v>
      </c>
      <c r="S238" s="1">
        <v>2</v>
      </c>
      <c r="T238" s="12">
        <v>0.52083333333333337</v>
      </c>
      <c r="U238" s="12">
        <v>0.5625</v>
      </c>
      <c r="V238" s="1">
        <v>1</v>
      </c>
      <c r="W238" s="1">
        <v>1</v>
      </c>
      <c r="X238" s="5">
        <f t="shared" si="10"/>
        <v>2</v>
      </c>
      <c r="Y238" s="5" t="str">
        <f t="shared" si="11"/>
        <v>C</v>
      </c>
    </row>
    <row r="239" spans="2:25" x14ac:dyDescent="0.25">
      <c r="B239" s="11">
        <v>44652</v>
      </c>
      <c r="C239" s="7">
        <v>600003993306</v>
      </c>
      <c r="D239" s="5">
        <v>1</v>
      </c>
      <c r="E239" t="s">
        <v>485</v>
      </c>
      <c r="F239" t="s">
        <v>529</v>
      </c>
      <c r="G239" t="s">
        <v>634</v>
      </c>
      <c r="H239" t="s">
        <v>742</v>
      </c>
      <c r="I239" t="s">
        <v>755</v>
      </c>
      <c r="J239" s="26" t="s">
        <v>524</v>
      </c>
      <c r="K239" s="5" t="s">
        <v>64</v>
      </c>
      <c r="L239" s="1" t="s">
        <v>217</v>
      </c>
      <c r="M239" s="1" t="s">
        <v>218</v>
      </c>
      <c r="N239" s="1" t="s">
        <v>219</v>
      </c>
      <c r="O239" s="1" t="s">
        <v>19</v>
      </c>
      <c r="P239" s="9">
        <v>44652</v>
      </c>
      <c r="Q239" s="1" t="s">
        <v>473</v>
      </c>
      <c r="R239" s="1" t="s">
        <v>63</v>
      </c>
      <c r="S239" s="1">
        <v>1</v>
      </c>
      <c r="T239" s="12">
        <v>0.375</v>
      </c>
      <c r="U239" s="12">
        <v>0.45833333333333331</v>
      </c>
      <c r="V239" s="1">
        <v>2</v>
      </c>
      <c r="W239" s="1">
        <v>2</v>
      </c>
      <c r="X239" s="5">
        <f t="shared" si="10"/>
        <v>2</v>
      </c>
      <c r="Y239" s="5" t="str">
        <f t="shared" si="11"/>
        <v>C</v>
      </c>
    </row>
    <row r="240" spans="2:25" x14ac:dyDescent="0.25">
      <c r="B240" s="11">
        <v>44652</v>
      </c>
      <c r="C240" s="7">
        <v>600003993219</v>
      </c>
      <c r="D240" s="5">
        <v>1</v>
      </c>
      <c r="E240" t="s">
        <v>506</v>
      </c>
      <c r="F240" t="s">
        <v>550</v>
      </c>
      <c r="G240" t="s">
        <v>655</v>
      </c>
      <c r="H240" t="s">
        <v>745</v>
      </c>
      <c r="I240" t="s">
        <v>776</v>
      </c>
      <c r="J240" s="26" t="s">
        <v>525</v>
      </c>
      <c r="K240" s="5" t="s">
        <v>15</v>
      </c>
      <c r="L240" s="1" t="s">
        <v>222</v>
      </c>
      <c r="M240" s="1" t="s">
        <v>126</v>
      </c>
      <c r="N240" s="1" t="s">
        <v>138</v>
      </c>
      <c r="O240" s="1" t="s">
        <v>19</v>
      </c>
      <c r="P240" s="9">
        <v>44652</v>
      </c>
      <c r="Q240" s="1" t="s">
        <v>479</v>
      </c>
      <c r="R240" s="1" t="s">
        <v>63</v>
      </c>
      <c r="S240" s="1">
        <v>2</v>
      </c>
      <c r="T240" s="12">
        <v>0.29166666666666669</v>
      </c>
      <c r="U240" s="12">
        <v>0.35416666666666669</v>
      </c>
      <c r="V240" s="1">
        <v>1.5</v>
      </c>
      <c r="W240" s="1">
        <v>1.5</v>
      </c>
      <c r="X240" s="5">
        <f t="shared" si="10"/>
        <v>3</v>
      </c>
      <c r="Y240" s="5" t="str">
        <f t="shared" si="11"/>
        <v>C</v>
      </c>
    </row>
    <row r="241" spans="2:25" x14ac:dyDescent="0.25">
      <c r="B241" s="11">
        <v>44652</v>
      </c>
      <c r="C241" s="7">
        <v>600003993308</v>
      </c>
      <c r="D241" s="1">
        <v>1</v>
      </c>
      <c r="E241" t="s">
        <v>515</v>
      </c>
      <c r="F241" t="s">
        <v>559</v>
      </c>
      <c r="G241" t="s">
        <v>664</v>
      </c>
      <c r="H241" t="s">
        <v>745</v>
      </c>
      <c r="I241" t="s">
        <v>785</v>
      </c>
      <c r="J241" s="26" t="s">
        <v>525</v>
      </c>
      <c r="K241" s="1" t="s">
        <v>122</v>
      </c>
      <c r="L241" s="1" t="s">
        <v>173</v>
      </c>
      <c r="M241" s="1" t="s">
        <v>96</v>
      </c>
      <c r="N241" s="1" t="s">
        <v>138</v>
      </c>
      <c r="O241" s="1" t="s">
        <v>19</v>
      </c>
      <c r="P241" s="9">
        <v>44652</v>
      </c>
      <c r="Q241" s="1" t="s">
        <v>476</v>
      </c>
      <c r="R241" s="1" t="s">
        <v>63</v>
      </c>
      <c r="S241" s="1">
        <v>2</v>
      </c>
      <c r="T241" s="12">
        <v>0.58333333333333337</v>
      </c>
      <c r="U241" s="12">
        <v>0.625</v>
      </c>
      <c r="V241" s="1">
        <v>1</v>
      </c>
      <c r="W241" s="1">
        <v>1</v>
      </c>
      <c r="X241" s="5">
        <f t="shared" si="10"/>
        <v>2</v>
      </c>
      <c r="Y241" s="5" t="str">
        <f t="shared" si="11"/>
        <v>C</v>
      </c>
    </row>
    <row r="242" spans="2:25" x14ac:dyDescent="0.25">
      <c r="B242" s="11">
        <v>44652</v>
      </c>
      <c r="C242" s="7">
        <v>600003993346</v>
      </c>
      <c r="D242" s="5">
        <v>1</v>
      </c>
      <c r="E242" t="s">
        <v>492</v>
      </c>
      <c r="F242" t="s">
        <v>536</v>
      </c>
      <c r="G242" t="s">
        <v>641</v>
      </c>
      <c r="H242" t="s">
        <v>740</v>
      </c>
      <c r="I242" t="s">
        <v>762</v>
      </c>
      <c r="J242" s="27" t="s">
        <v>524</v>
      </c>
      <c r="K242" s="5" t="s">
        <v>73</v>
      </c>
      <c r="L242" s="1" t="s">
        <v>74</v>
      </c>
      <c r="M242" s="1" t="s">
        <v>36</v>
      </c>
      <c r="N242" s="1" t="s">
        <v>75</v>
      </c>
      <c r="O242" s="1" t="s">
        <v>19</v>
      </c>
      <c r="P242" s="9">
        <v>44655</v>
      </c>
      <c r="Q242" s="1" t="s">
        <v>473</v>
      </c>
      <c r="R242" s="1" t="s">
        <v>63</v>
      </c>
      <c r="S242" s="1">
        <v>1</v>
      </c>
      <c r="T242" s="12">
        <v>0.54166666666666663</v>
      </c>
      <c r="U242" s="12">
        <v>0.66666666666666663</v>
      </c>
      <c r="V242" s="1">
        <v>3</v>
      </c>
      <c r="W242" s="1">
        <v>3</v>
      </c>
      <c r="X242" s="5">
        <f t="shared" si="10"/>
        <v>3</v>
      </c>
      <c r="Y242" s="5" t="str">
        <f t="shared" si="11"/>
        <v>B</v>
      </c>
    </row>
    <row r="243" spans="2:25" x14ac:dyDescent="0.25">
      <c r="B243" s="11">
        <v>44652</v>
      </c>
      <c r="C243" s="7">
        <v>600003993363</v>
      </c>
      <c r="D243" s="5">
        <v>1</v>
      </c>
      <c r="E243" t="s">
        <v>501</v>
      </c>
      <c r="F243" t="s">
        <v>545</v>
      </c>
      <c r="G243" t="s">
        <v>650</v>
      </c>
      <c r="H243" t="s">
        <v>740</v>
      </c>
      <c r="I243" t="s">
        <v>771</v>
      </c>
      <c r="J243" s="27" t="s">
        <v>524</v>
      </c>
      <c r="K243" s="5" t="s">
        <v>70</v>
      </c>
      <c r="L243" s="1" t="s">
        <v>57</v>
      </c>
      <c r="M243" s="1" t="s">
        <v>55</v>
      </c>
      <c r="N243" s="1" t="s">
        <v>67</v>
      </c>
      <c r="O243" s="1" t="s">
        <v>19</v>
      </c>
      <c r="P243" s="9">
        <v>44655</v>
      </c>
      <c r="Q243" s="1" t="s">
        <v>473</v>
      </c>
      <c r="R243" s="1" t="s">
        <v>63</v>
      </c>
      <c r="S243" s="1">
        <v>1</v>
      </c>
      <c r="T243" s="12">
        <v>0.41666666666666669</v>
      </c>
      <c r="U243" s="12">
        <v>0.5</v>
      </c>
      <c r="V243" s="1">
        <v>2</v>
      </c>
      <c r="W243" s="1">
        <v>2</v>
      </c>
      <c r="X243" s="5">
        <f t="shared" si="10"/>
        <v>2</v>
      </c>
      <c r="Y243" s="5" t="str">
        <f t="shared" si="11"/>
        <v>C</v>
      </c>
    </row>
    <row r="244" spans="2:25" x14ac:dyDescent="0.25">
      <c r="B244" s="11">
        <v>44652</v>
      </c>
      <c r="C244" s="7">
        <v>600003993358</v>
      </c>
      <c r="D244" s="5">
        <v>1</v>
      </c>
      <c r="E244" t="s">
        <v>495</v>
      </c>
      <c r="F244" t="s">
        <v>539</v>
      </c>
      <c r="G244" t="s">
        <v>644</v>
      </c>
      <c r="H244" t="s">
        <v>740</v>
      </c>
      <c r="I244" t="s">
        <v>765</v>
      </c>
      <c r="J244" s="27" t="s">
        <v>524</v>
      </c>
      <c r="K244" s="5" t="s">
        <v>70</v>
      </c>
      <c r="L244" s="1" t="s">
        <v>36</v>
      </c>
      <c r="M244" s="1" t="s">
        <v>96</v>
      </c>
      <c r="N244" s="1" t="s">
        <v>75</v>
      </c>
      <c r="O244" s="1" t="s">
        <v>176</v>
      </c>
      <c r="P244" s="9">
        <v>44680</v>
      </c>
      <c r="Q244" s="1" t="s">
        <v>474</v>
      </c>
      <c r="R244" s="1" t="s">
        <v>63</v>
      </c>
      <c r="S244" s="1">
        <v>5</v>
      </c>
      <c r="T244" s="12">
        <v>0.25</v>
      </c>
      <c r="U244" s="12">
        <v>0.66666666666666663</v>
      </c>
      <c r="V244" s="1">
        <v>9</v>
      </c>
      <c r="W244" s="1">
        <v>9</v>
      </c>
      <c r="X244" s="5">
        <f t="shared" si="10"/>
        <v>45</v>
      </c>
      <c r="Y244" s="5" t="str">
        <f t="shared" si="11"/>
        <v>A</v>
      </c>
    </row>
    <row r="245" spans="2:25" x14ac:dyDescent="0.25">
      <c r="B245" s="11">
        <v>44655</v>
      </c>
      <c r="C245" s="7">
        <v>600003994250</v>
      </c>
      <c r="D245" s="5">
        <v>1</v>
      </c>
      <c r="E245" t="s">
        <v>497</v>
      </c>
      <c r="F245" t="s">
        <v>541</v>
      </c>
      <c r="G245" t="s">
        <v>646</v>
      </c>
      <c r="H245" t="s">
        <v>746</v>
      </c>
      <c r="I245" t="s">
        <v>767</v>
      </c>
      <c r="J245" s="27" t="s">
        <v>525</v>
      </c>
      <c r="K245" s="5" t="s">
        <v>76</v>
      </c>
      <c r="L245" s="1" t="s">
        <v>36</v>
      </c>
      <c r="M245" s="1" t="s">
        <v>186</v>
      </c>
      <c r="N245" s="1" t="s">
        <v>186</v>
      </c>
      <c r="O245" s="1" t="s">
        <v>19</v>
      </c>
      <c r="P245" s="9">
        <v>44657</v>
      </c>
      <c r="Q245" s="1" t="s">
        <v>477</v>
      </c>
      <c r="R245" s="1" t="s">
        <v>63</v>
      </c>
      <c r="S245" s="1">
        <v>3</v>
      </c>
      <c r="T245" s="12">
        <v>0.54166666666666663</v>
      </c>
      <c r="U245" s="12">
        <v>0.58333333333333337</v>
      </c>
      <c r="V245" s="1">
        <v>1</v>
      </c>
      <c r="W245" s="1">
        <v>1</v>
      </c>
      <c r="X245" s="5">
        <f t="shared" si="10"/>
        <v>3</v>
      </c>
      <c r="Y245" s="5" t="str">
        <f t="shared" si="11"/>
        <v>C</v>
      </c>
    </row>
    <row r="246" spans="2:25" x14ac:dyDescent="0.25">
      <c r="B246" s="11">
        <v>44655</v>
      </c>
      <c r="C246" s="7">
        <v>600003994164</v>
      </c>
      <c r="D246" s="5">
        <v>1</v>
      </c>
      <c r="E246" t="s">
        <v>506</v>
      </c>
      <c r="F246" t="s">
        <v>550</v>
      </c>
      <c r="G246" t="s">
        <v>655</v>
      </c>
      <c r="H246" t="s">
        <v>745</v>
      </c>
      <c r="I246" t="s">
        <v>776</v>
      </c>
      <c r="J246" s="27" t="s">
        <v>525</v>
      </c>
      <c r="K246" s="5" t="s">
        <v>15</v>
      </c>
      <c r="L246" s="1" t="s">
        <v>89</v>
      </c>
      <c r="M246" s="1" t="s">
        <v>126</v>
      </c>
      <c r="N246" s="1" t="s">
        <v>213</v>
      </c>
      <c r="O246" s="1" t="s">
        <v>19</v>
      </c>
      <c r="P246" s="9">
        <v>44655</v>
      </c>
      <c r="Q246" s="1" t="s">
        <v>477</v>
      </c>
      <c r="R246" s="1" t="s">
        <v>63</v>
      </c>
      <c r="S246" s="1">
        <v>2</v>
      </c>
      <c r="T246" s="12">
        <v>0.58333333333333337</v>
      </c>
      <c r="U246" s="12">
        <v>0.66666666666666663</v>
      </c>
      <c r="V246" s="1">
        <v>2</v>
      </c>
      <c r="W246" s="1">
        <v>2</v>
      </c>
      <c r="X246" s="5">
        <f t="shared" si="10"/>
        <v>4</v>
      </c>
      <c r="Y246" s="5" t="str">
        <f t="shared" si="11"/>
        <v>C</v>
      </c>
    </row>
    <row r="247" spans="2:25" x14ac:dyDescent="0.25">
      <c r="B247" s="11">
        <v>44655</v>
      </c>
      <c r="C247" s="7">
        <v>600003994097</v>
      </c>
      <c r="D247" s="1">
        <v>1</v>
      </c>
      <c r="E247" t="s">
        <v>497</v>
      </c>
      <c r="F247" t="s">
        <v>541</v>
      </c>
      <c r="G247" t="s">
        <v>646</v>
      </c>
      <c r="H247" t="s">
        <v>746</v>
      </c>
      <c r="I247" t="s">
        <v>767</v>
      </c>
      <c r="J247" s="26" t="s">
        <v>525</v>
      </c>
      <c r="K247" s="1" t="s">
        <v>76</v>
      </c>
      <c r="L247" s="1" t="s">
        <v>31</v>
      </c>
      <c r="M247" s="1" t="s">
        <v>39</v>
      </c>
      <c r="N247" s="1" t="s">
        <v>67</v>
      </c>
      <c r="O247" s="1" t="s">
        <v>19</v>
      </c>
      <c r="P247" s="9">
        <v>44655</v>
      </c>
      <c r="Q247" s="1" t="s">
        <v>477</v>
      </c>
      <c r="R247" s="1" t="s">
        <v>63</v>
      </c>
      <c r="S247" s="1">
        <v>2</v>
      </c>
      <c r="T247" s="12">
        <v>0.29166666666666669</v>
      </c>
      <c r="U247" s="12">
        <v>0.33333333333333331</v>
      </c>
      <c r="V247" s="1">
        <v>1</v>
      </c>
      <c r="W247" s="1">
        <v>1</v>
      </c>
      <c r="X247" s="5">
        <f t="shared" si="10"/>
        <v>2</v>
      </c>
      <c r="Y247" s="5" t="str">
        <f t="shared" si="11"/>
        <v>C</v>
      </c>
    </row>
    <row r="248" spans="2:25" x14ac:dyDescent="0.25">
      <c r="B248" s="11">
        <v>44655</v>
      </c>
      <c r="C248" s="7">
        <v>600003994098</v>
      </c>
      <c r="D248" s="5">
        <v>1</v>
      </c>
      <c r="E248" t="s">
        <v>865</v>
      </c>
      <c r="F248" t="s">
        <v>572</v>
      </c>
      <c r="G248" t="s">
        <v>677</v>
      </c>
      <c r="H248" t="s">
        <v>745</v>
      </c>
      <c r="I248" t="s">
        <v>798</v>
      </c>
      <c r="J248" s="27" t="s">
        <v>525</v>
      </c>
      <c r="K248" s="5" t="s">
        <v>168</v>
      </c>
      <c r="L248" s="1" t="s">
        <v>79</v>
      </c>
      <c r="M248" s="1" t="s">
        <v>80</v>
      </c>
      <c r="N248" s="1" t="s">
        <v>223</v>
      </c>
      <c r="O248" s="1" t="s">
        <v>19</v>
      </c>
      <c r="P248" s="9">
        <v>44655</v>
      </c>
      <c r="Q248" s="1" t="s">
        <v>475</v>
      </c>
      <c r="R248" s="1" t="s">
        <v>50</v>
      </c>
      <c r="S248" s="1">
        <v>1</v>
      </c>
      <c r="T248" s="12">
        <v>0.29166666666666669</v>
      </c>
      <c r="U248" s="12">
        <v>0.33333333333333331</v>
      </c>
      <c r="V248" s="1">
        <v>1</v>
      </c>
      <c r="W248" s="1">
        <v>1</v>
      </c>
      <c r="X248" s="5">
        <f t="shared" si="10"/>
        <v>1</v>
      </c>
      <c r="Y248" s="5" t="str">
        <f t="shared" si="11"/>
        <v>C</v>
      </c>
    </row>
    <row r="249" spans="2:25" x14ac:dyDescent="0.25">
      <c r="B249" s="11">
        <v>44655</v>
      </c>
      <c r="C249" s="7">
        <v>600003994243</v>
      </c>
      <c r="D249" s="5">
        <v>1</v>
      </c>
      <c r="E249" t="s">
        <v>891</v>
      </c>
      <c r="F249" t="s">
        <v>596</v>
      </c>
      <c r="G249" t="s">
        <v>703</v>
      </c>
      <c r="H249" t="s">
        <v>747</v>
      </c>
      <c r="I249" t="s">
        <v>824</v>
      </c>
      <c r="J249" s="27" t="s">
        <v>524</v>
      </c>
      <c r="K249" s="5" t="s">
        <v>127</v>
      </c>
      <c r="L249" s="1" t="s">
        <v>79</v>
      </c>
      <c r="M249" s="1" t="s">
        <v>128</v>
      </c>
      <c r="N249" s="1" t="s">
        <v>146</v>
      </c>
      <c r="O249" s="1" t="s">
        <v>19</v>
      </c>
      <c r="P249" s="9">
        <v>44655</v>
      </c>
      <c r="Q249" s="1" t="s">
        <v>478</v>
      </c>
      <c r="R249" s="1" t="s">
        <v>50</v>
      </c>
      <c r="S249" s="1">
        <v>1</v>
      </c>
      <c r="T249" s="12">
        <v>0.4375</v>
      </c>
      <c r="U249" s="12">
        <v>0.47916666666666669</v>
      </c>
      <c r="V249" s="1">
        <v>1</v>
      </c>
      <c r="W249" s="1">
        <v>1</v>
      </c>
      <c r="X249" s="5">
        <f t="shared" si="10"/>
        <v>1</v>
      </c>
      <c r="Y249" s="5" t="str">
        <f t="shared" si="11"/>
        <v>C</v>
      </c>
    </row>
    <row r="250" spans="2:25" x14ac:dyDescent="0.25">
      <c r="B250" s="11">
        <v>44656</v>
      </c>
      <c r="C250" s="7">
        <v>600003994671</v>
      </c>
      <c r="D250" s="5">
        <v>1</v>
      </c>
      <c r="E250" t="s">
        <v>868</v>
      </c>
      <c r="F250" t="s">
        <v>575</v>
      </c>
      <c r="G250" t="s">
        <v>680</v>
      </c>
      <c r="H250" t="s">
        <v>745</v>
      </c>
      <c r="I250" t="s">
        <v>801</v>
      </c>
      <c r="J250" s="27" t="s">
        <v>525</v>
      </c>
      <c r="K250" s="5" t="s">
        <v>15</v>
      </c>
      <c r="L250" s="1" t="s">
        <v>57</v>
      </c>
      <c r="M250" s="1" t="s">
        <v>65</v>
      </c>
      <c r="N250" s="1" t="s">
        <v>214</v>
      </c>
      <c r="O250" s="1" t="s">
        <v>19</v>
      </c>
      <c r="P250" s="9">
        <v>44656</v>
      </c>
      <c r="Q250" s="1" t="s">
        <v>477</v>
      </c>
      <c r="R250" s="1" t="s">
        <v>63</v>
      </c>
      <c r="S250" s="1">
        <v>2</v>
      </c>
      <c r="T250" s="12">
        <v>0.39583333333333331</v>
      </c>
      <c r="U250" s="12">
        <v>0.45833333333333331</v>
      </c>
      <c r="V250" s="1">
        <v>1.5</v>
      </c>
      <c r="W250" s="1">
        <v>1.5</v>
      </c>
      <c r="X250" s="5">
        <f t="shared" si="10"/>
        <v>3</v>
      </c>
      <c r="Y250" s="5" t="str">
        <f t="shared" si="11"/>
        <v>C</v>
      </c>
    </row>
    <row r="251" spans="2:25" x14ac:dyDescent="0.25">
      <c r="B251" s="11">
        <v>44656</v>
      </c>
      <c r="C251" s="7">
        <v>600003994543</v>
      </c>
      <c r="D251" s="5">
        <v>1</v>
      </c>
      <c r="E251" t="s">
        <v>889</v>
      </c>
      <c r="F251" t="s">
        <v>594</v>
      </c>
      <c r="G251" t="s">
        <v>701</v>
      </c>
      <c r="H251" t="s">
        <v>747</v>
      </c>
      <c r="I251" t="s">
        <v>822</v>
      </c>
      <c r="J251" s="26" t="s">
        <v>524</v>
      </c>
      <c r="K251" s="5" t="s">
        <v>191</v>
      </c>
      <c r="L251" s="1" t="s">
        <v>228</v>
      </c>
      <c r="M251" s="1" t="s">
        <v>65</v>
      </c>
      <c r="N251" s="1" t="s">
        <v>52</v>
      </c>
      <c r="O251" s="1" t="s">
        <v>19</v>
      </c>
      <c r="P251" s="9">
        <v>44656</v>
      </c>
      <c r="Q251" s="1" t="s">
        <v>480</v>
      </c>
      <c r="R251" s="1" t="s">
        <v>63</v>
      </c>
      <c r="S251" s="1">
        <v>2</v>
      </c>
      <c r="T251" s="12">
        <v>0.29166666666666669</v>
      </c>
      <c r="U251" s="12">
        <v>0.375</v>
      </c>
      <c r="V251" s="1">
        <v>2</v>
      </c>
      <c r="W251" s="1">
        <v>2</v>
      </c>
      <c r="X251" s="5">
        <f t="shared" si="10"/>
        <v>4</v>
      </c>
      <c r="Y251" s="5" t="str">
        <f t="shared" si="11"/>
        <v>C</v>
      </c>
    </row>
    <row r="252" spans="2:25" x14ac:dyDescent="0.25">
      <c r="B252" s="11">
        <v>44657</v>
      </c>
      <c r="C252" s="7">
        <v>600003995339</v>
      </c>
      <c r="D252" s="1">
        <v>1</v>
      </c>
      <c r="E252" t="s">
        <v>892</v>
      </c>
      <c r="F252" t="s">
        <v>597</v>
      </c>
      <c r="G252" t="s">
        <v>704</v>
      </c>
      <c r="H252" t="s">
        <v>742</v>
      </c>
      <c r="I252" t="s">
        <v>825</v>
      </c>
      <c r="J252" s="26" t="s">
        <v>524</v>
      </c>
      <c r="K252" s="1" t="s">
        <v>64</v>
      </c>
      <c r="L252" s="1" t="s">
        <v>36</v>
      </c>
      <c r="M252" s="1" t="s">
        <v>34</v>
      </c>
      <c r="N252" s="1" t="s">
        <v>94</v>
      </c>
      <c r="O252" s="1" t="s">
        <v>19</v>
      </c>
      <c r="P252" s="9">
        <v>44657</v>
      </c>
      <c r="Q252" s="1" t="s">
        <v>473</v>
      </c>
      <c r="R252" s="1" t="s">
        <v>63</v>
      </c>
      <c r="S252" s="1">
        <v>1</v>
      </c>
      <c r="T252" s="12">
        <v>0.54166666666666663</v>
      </c>
      <c r="U252" s="12">
        <v>0.66666666666666663</v>
      </c>
      <c r="V252" s="1">
        <v>3</v>
      </c>
      <c r="W252" s="1">
        <v>3</v>
      </c>
      <c r="X252" s="5">
        <f t="shared" si="10"/>
        <v>3</v>
      </c>
      <c r="Y252" s="5" t="str">
        <f t="shared" si="11"/>
        <v>B</v>
      </c>
    </row>
    <row r="253" spans="2:25" x14ac:dyDescent="0.25">
      <c r="B253" s="11">
        <v>44657</v>
      </c>
      <c r="C253" s="7">
        <v>600003995149</v>
      </c>
      <c r="D253" s="5">
        <v>1</v>
      </c>
      <c r="E253" t="s">
        <v>493</v>
      </c>
      <c r="F253" t="s">
        <v>537</v>
      </c>
      <c r="G253" t="s">
        <v>642</v>
      </c>
      <c r="H253" t="s">
        <v>745</v>
      </c>
      <c r="I253" t="s">
        <v>763</v>
      </c>
      <c r="J253" s="27" t="s">
        <v>525</v>
      </c>
      <c r="K253" s="5" t="s">
        <v>15</v>
      </c>
      <c r="L253" s="1" t="s">
        <v>89</v>
      </c>
      <c r="M253" s="1" t="s">
        <v>55</v>
      </c>
      <c r="N253" s="1" t="s">
        <v>124</v>
      </c>
      <c r="O253" s="1" t="s">
        <v>19</v>
      </c>
      <c r="P253" s="9">
        <v>44657</v>
      </c>
      <c r="Q253" s="1" t="s">
        <v>476</v>
      </c>
      <c r="R253" s="1" t="s">
        <v>63</v>
      </c>
      <c r="S253" s="1">
        <v>1</v>
      </c>
      <c r="T253" s="12">
        <v>0.25</v>
      </c>
      <c r="U253" s="12">
        <v>0.3125</v>
      </c>
      <c r="V253" s="1">
        <v>1</v>
      </c>
      <c r="W253" s="1">
        <v>1</v>
      </c>
      <c r="X253" s="5">
        <f t="shared" si="10"/>
        <v>1</v>
      </c>
      <c r="Y253" s="5" t="str">
        <f t="shared" si="11"/>
        <v>C</v>
      </c>
    </row>
    <row r="254" spans="2:25" x14ac:dyDescent="0.25">
      <c r="B254" s="11">
        <v>44657</v>
      </c>
      <c r="C254" s="7">
        <v>600003995341</v>
      </c>
      <c r="D254" s="3">
        <v>1</v>
      </c>
      <c r="E254" t="s">
        <v>496</v>
      </c>
      <c r="F254" t="s">
        <v>540</v>
      </c>
      <c r="G254" t="s">
        <v>645</v>
      </c>
      <c r="H254" t="s">
        <v>745</v>
      </c>
      <c r="I254" t="s">
        <v>766</v>
      </c>
      <c r="J254" s="2" t="s">
        <v>525</v>
      </c>
      <c r="K254" s="3" t="s">
        <v>15</v>
      </c>
      <c r="L254" s="1" t="s">
        <v>79</v>
      </c>
      <c r="M254" s="1" t="s">
        <v>80</v>
      </c>
      <c r="N254" s="1" t="s">
        <v>43</v>
      </c>
      <c r="O254" s="1" t="s">
        <v>19</v>
      </c>
      <c r="P254" s="9">
        <v>44657</v>
      </c>
      <c r="Q254" s="1" t="s">
        <v>478</v>
      </c>
      <c r="R254" s="1" t="s">
        <v>50</v>
      </c>
      <c r="S254" s="1">
        <v>2</v>
      </c>
      <c r="T254" s="12">
        <v>0.58333333333333337</v>
      </c>
      <c r="U254" s="12">
        <v>0.625</v>
      </c>
      <c r="V254" s="1">
        <v>1</v>
      </c>
      <c r="W254" s="1">
        <v>1</v>
      </c>
      <c r="X254" s="5">
        <f t="shared" si="10"/>
        <v>2</v>
      </c>
      <c r="Y254" s="5" t="str">
        <f t="shared" si="11"/>
        <v>C</v>
      </c>
    </row>
    <row r="255" spans="2:25" x14ac:dyDescent="0.25">
      <c r="B255" s="11">
        <v>44658</v>
      </c>
      <c r="C255" s="7">
        <v>600003999591</v>
      </c>
      <c r="D255" s="1">
        <v>1</v>
      </c>
      <c r="E255" t="s">
        <v>505</v>
      </c>
      <c r="F255" t="s">
        <v>549</v>
      </c>
      <c r="G255" t="s">
        <v>654</v>
      </c>
      <c r="H255" t="s">
        <v>745</v>
      </c>
      <c r="I255" t="s">
        <v>775</v>
      </c>
      <c r="J255" s="26" t="s">
        <v>525</v>
      </c>
      <c r="K255" s="1" t="s">
        <v>15</v>
      </c>
      <c r="L255" s="1" t="s">
        <v>16</v>
      </c>
      <c r="M255" s="1" t="s">
        <v>212</v>
      </c>
      <c r="N255" s="1" t="s">
        <v>67</v>
      </c>
      <c r="O255" s="1" t="s">
        <v>19</v>
      </c>
      <c r="P255" s="9">
        <v>44658</v>
      </c>
      <c r="Q255" s="1" t="s">
        <v>477</v>
      </c>
      <c r="R255" s="1" t="s">
        <v>63</v>
      </c>
      <c r="S255" s="1">
        <v>2</v>
      </c>
      <c r="T255" s="12">
        <v>0.375</v>
      </c>
      <c r="U255" s="12">
        <v>0.45833333333333331</v>
      </c>
      <c r="V255" s="1">
        <v>2</v>
      </c>
      <c r="W255" s="1">
        <v>2</v>
      </c>
      <c r="X255" s="5">
        <f t="shared" si="10"/>
        <v>4</v>
      </c>
      <c r="Y255" s="5" t="str">
        <f t="shared" si="11"/>
        <v>C</v>
      </c>
    </row>
    <row r="256" spans="2:25" x14ac:dyDescent="0.25">
      <c r="B256" s="11">
        <v>44658</v>
      </c>
      <c r="C256" s="7">
        <v>60000395726</v>
      </c>
      <c r="D256" s="5">
        <v>1</v>
      </c>
      <c r="E256" t="s">
        <v>486</v>
      </c>
      <c r="F256" t="s">
        <v>530</v>
      </c>
      <c r="G256" t="s">
        <v>635</v>
      </c>
      <c r="H256" t="s">
        <v>740</v>
      </c>
      <c r="I256" t="s">
        <v>756</v>
      </c>
      <c r="J256" s="27" t="s">
        <v>525</v>
      </c>
      <c r="K256" s="5" t="s">
        <v>69</v>
      </c>
      <c r="L256" s="1" t="s">
        <v>42</v>
      </c>
      <c r="M256" s="1" t="s">
        <v>101</v>
      </c>
      <c r="N256" s="1" t="s">
        <v>125</v>
      </c>
      <c r="O256" s="1" t="s">
        <v>19</v>
      </c>
      <c r="P256" s="9">
        <v>44658</v>
      </c>
      <c r="Q256" s="1" t="s">
        <v>473</v>
      </c>
      <c r="R256" s="1" t="s">
        <v>63</v>
      </c>
      <c r="S256" s="1">
        <v>2</v>
      </c>
      <c r="T256" s="12">
        <v>0.60416666666666663</v>
      </c>
      <c r="U256" s="12">
        <v>0.64583333333333337</v>
      </c>
      <c r="V256" s="1">
        <v>1</v>
      </c>
      <c r="W256" s="1">
        <v>1</v>
      </c>
      <c r="X256" s="5">
        <f t="shared" si="10"/>
        <v>2</v>
      </c>
      <c r="Y256" s="5" t="str">
        <f t="shared" si="11"/>
        <v>C</v>
      </c>
    </row>
    <row r="257" spans="2:25" x14ac:dyDescent="0.25">
      <c r="B257" s="11">
        <v>44658</v>
      </c>
      <c r="C257" s="7">
        <v>600003995729</v>
      </c>
      <c r="D257" s="5">
        <v>1</v>
      </c>
      <c r="E257" t="s">
        <v>889</v>
      </c>
      <c r="F257" t="s">
        <v>594</v>
      </c>
      <c r="G257" t="s">
        <v>701</v>
      </c>
      <c r="H257" t="s">
        <v>747</v>
      </c>
      <c r="I257" t="s">
        <v>822</v>
      </c>
      <c r="J257" s="27" t="s">
        <v>524</v>
      </c>
      <c r="K257" s="5" t="s">
        <v>191</v>
      </c>
      <c r="L257" s="1" t="s">
        <v>228</v>
      </c>
      <c r="M257" s="1" t="s">
        <v>65</v>
      </c>
      <c r="N257" s="1" t="s">
        <v>52</v>
      </c>
      <c r="O257" s="1" t="s">
        <v>19</v>
      </c>
      <c r="P257" s="9">
        <v>44658</v>
      </c>
      <c r="Q257" s="1" t="s">
        <v>480</v>
      </c>
      <c r="R257" s="1" t="s">
        <v>63</v>
      </c>
      <c r="S257" s="1">
        <v>1</v>
      </c>
      <c r="T257" s="12">
        <v>0.29166666666666669</v>
      </c>
      <c r="U257" s="12">
        <v>0.41666666666666669</v>
      </c>
      <c r="V257" s="1">
        <v>3</v>
      </c>
      <c r="W257" s="1">
        <v>3</v>
      </c>
      <c r="X257" s="5">
        <f t="shared" si="10"/>
        <v>3</v>
      </c>
      <c r="Y257" s="5" t="str">
        <f t="shared" si="11"/>
        <v>B</v>
      </c>
    </row>
    <row r="258" spans="2:25" x14ac:dyDescent="0.25">
      <c r="B258" s="11">
        <v>44658</v>
      </c>
      <c r="C258" s="7">
        <v>600003996887</v>
      </c>
      <c r="D258" s="1">
        <v>1</v>
      </c>
      <c r="E258" t="s">
        <v>866</v>
      </c>
      <c r="F258" t="s">
        <v>573</v>
      </c>
      <c r="G258" t="s">
        <v>678</v>
      </c>
      <c r="H258" t="s">
        <v>745</v>
      </c>
      <c r="I258" t="s">
        <v>799</v>
      </c>
      <c r="J258" s="26" t="s">
        <v>524</v>
      </c>
      <c r="K258" s="1" t="s">
        <v>15</v>
      </c>
      <c r="L258" s="1" t="s">
        <v>79</v>
      </c>
      <c r="M258" s="1" t="s">
        <v>80</v>
      </c>
      <c r="N258" s="1" t="s">
        <v>229</v>
      </c>
      <c r="O258" s="1" t="s">
        <v>19</v>
      </c>
      <c r="P258" s="9">
        <v>44662</v>
      </c>
      <c r="Q258" s="1" t="s">
        <v>475</v>
      </c>
      <c r="R258" s="1" t="s">
        <v>50</v>
      </c>
      <c r="S258" s="1">
        <v>2</v>
      </c>
      <c r="T258" s="12">
        <v>0.33333333333333331</v>
      </c>
      <c r="U258" s="12">
        <v>0.4375</v>
      </c>
      <c r="V258" s="1">
        <v>2.5</v>
      </c>
      <c r="W258" s="1">
        <v>2.5</v>
      </c>
      <c r="X258" s="5">
        <f t="shared" si="10"/>
        <v>5</v>
      </c>
      <c r="Y258" s="5" t="str">
        <f t="shared" si="11"/>
        <v>B</v>
      </c>
    </row>
    <row r="259" spans="2:25" x14ac:dyDescent="0.25">
      <c r="B259" s="11">
        <v>44658</v>
      </c>
      <c r="C259" s="7">
        <v>600003995728</v>
      </c>
      <c r="D259" s="1">
        <v>1</v>
      </c>
      <c r="E259" t="s">
        <v>878</v>
      </c>
      <c r="F259" t="s">
        <v>584</v>
      </c>
      <c r="G259" t="s">
        <v>690</v>
      </c>
      <c r="H259" t="s">
        <v>747</v>
      </c>
      <c r="I259" t="s">
        <v>811</v>
      </c>
      <c r="J259" s="26" t="s">
        <v>524</v>
      </c>
      <c r="K259" s="1" t="s">
        <v>73</v>
      </c>
      <c r="L259" s="1" t="s">
        <v>57</v>
      </c>
      <c r="M259" s="1" t="s">
        <v>162</v>
      </c>
      <c r="N259" s="1" t="s">
        <v>67</v>
      </c>
      <c r="O259" s="1" t="s">
        <v>19</v>
      </c>
      <c r="P259" s="9">
        <v>44662</v>
      </c>
      <c r="Q259" s="1" t="s">
        <v>473</v>
      </c>
      <c r="R259" s="1" t="s">
        <v>63</v>
      </c>
      <c r="S259" s="1">
        <v>2</v>
      </c>
      <c r="T259" s="12">
        <v>0.39583333333333331</v>
      </c>
      <c r="U259" s="12">
        <v>0.4375</v>
      </c>
      <c r="V259" s="1">
        <v>1</v>
      </c>
      <c r="W259" s="1">
        <v>1</v>
      </c>
      <c r="X259" s="5">
        <f t="shared" si="10"/>
        <v>2</v>
      </c>
      <c r="Y259" s="5" t="str">
        <f t="shared" si="11"/>
        <v>C</v>
      </c>
    </row>
    <row r="260" spans="2:25" x14ac:dyDescent="0.25">
      <c r="B260" s="11">
        <v>44662</v>
      </c>
      <c r="C260" s="7">
        <v>600003996895</v>
      </c>
      <c r="D260" s="1">
        <v>1</v>
      </c>
      <c r="E260" t="s">
        <v>867</v>
      </c>
      <c r="F260" t="s">
        <v>574</v>
      </c>
      <c r="G260" t="s">
        <v>679</v>
      </c>
      <c r="H260" t="s">
        <v>745</v>
      </c>
      <c r="I260" t="s">
        <v>800</v>
      </c>
      <c r="J260" s="26" t="s">
        <v>525</v>
      </c>
      <c r="K260" s="1" t="s">
        <v>171</v>
      </c>
      <c r="L260" s="1" t="s">
        <v>227</v>
      </c>
      <c r="M260" s="1" t="s">
        <v>55</v>
      </c>
      <c r="N260" s="1" t="s">
        <v>194</v>
      </c>
      <c r="O260" s="1" t="s">
        <v>19</v>
      </c>
      <c r="P260" s="9">
        <v>44662</v>
      </c>
      <c r="Q260" s="1" t="s">
        <v>476</v>
      </c>
      <c r="R260" s="1" t="s">
        <v>63</v>
      </c>
      <c r="S260" s="1">
        <v>2</v>
      </c>
      <c r="T260" s="12">
        <v>0.375</v>
      </c>
      <c r="U260" s="12">
        <v>0.45833333333333331</v>
      </c>
      <c r="V260" s="1">
        <v>2</v>
      </c>
      <c r="W260" s="1">
        <v>2</v>
      </c>
      <c r="X260" s="5">
        <f t="shared" si="10"/>
        <v>4</v>
      </c>
      <c r="Y260" s="5" t="str">
        <f t="shared" si="11"/>
        <v>C</v>
      </c>
    </row>
    <row r="261" spans="2:25" x14ac:dyDescent="0.25">
      <c r="B261" s="11">
        <v>44662</v>
      </c>
      <c r="C261" s="7">
        <v>600003996943</v>
      </c>
      <c r="D261" s="5">
        <v>1</v>
      </c>
      <c r="E261" t="s">
        <v>517</v>
      </c>
      <c r="F261" t="s">
        <v>561</v>
      </c>
      <c r="G261" t="s">
        <v>666</v>
      </c>
      <c r="H261" t="s">
        <v>745</v>
      </c>
      <c r="I261" t="s">
        <v>787</v>
      </c>
      <c r="J261" s="27" t="s">
        <v>525</v>
      </c>
      <c r="K261" s="5" t="s">
        <v>15</v>
      </c>
      <c r="L261" s="1" t="s">
        <v>65</v>
      </c>
      <c r="M261" s="1" t="s">
        <v>126</v>
      </c>
      <c r="N261" s="1" t="s">
        <v>213</v>
      </c>
      <c r="O261" s="1" t="s">
        <v>19</v>
      </c>
      <c r="P261" s="9">
        <v>44662</v>
      </c>
      <c r="Q261" s="1" t="s">
        <v>477</v>
      </c>
      <c r="R261" s="1" t="s">
        <v>63</v>
      </c>
      <c r="S261" s="1">
        <v>1</v>
      </c>
      <c r="T261" s="12">
        <v>0.375</v>
      </c>
      <c r="U261" s="12">
        <v>0.4375</v>
      </c>
      <c r="V261" s="1">
        <v>1.5</v>
      </c>
      <c r="W261" s="1">
        <v>1.5</v>
      </c>
      <c r="X261" s="5">
        <f t="shared" si="10"/>
        <v>1.5</v>
      </c>
      <c r="Y261" s="5" t="str">
        <f t="shared" si="11"/>
        <v>C</v>
      </c>
    </row>
    <row r="262" spans="2:25" x14ac:dyDescent="0.25">
      <c r="B262" s="11">
        <v>44663</v>
      </c>
      <c r="C262" s="7">
        <v>600003997499</v>
      </c>
      <c r="D262" s="5">
        <v>1</v>
      </c>
      <c r="E262" t="s">
        <v>499</v>
      </c>
      <c r="F262" t="s">
        <v>543</v>
      </c>
      <c r="G262" t="s">
        <v>648</v>
      </c>
      <c r="H262" t="s">
        <v>745</v>
      </c>
      <c r="I262" t="s">
        <v>769</v>
      </c>
      <c r="J262" s="27" t="s">
        <v>525</v>
      </c>
      <c r="K262" s="5" t="s">
        <v>15</v>
      </c>
      <c r="L262" s="1" t="s">
        <v>65</v>
      </c>
      <c r="M262" s="1" t="s">
        <v>126</v>
      </c>
      <c r="N262" s="1" t="s">
        <v>137</v>
      </c>
      <c r="O262" s="1" t="s">
        <v>19</v>
      </c>
      <c r="P262" s="9">
        <v>44663</v>
      </c>
      <c r="Q262" s="1" t="s">
        <v>477</v>
      </c>
      <c r="R262" s="1" t="s">
        <v>63</v>
      </c>
      <c r="S262" s="1">
        <v>2</v>
      </c>
      <c r="T262" s="12">
        <v>0.39583333333333331</v>
      </c>
      <c r="U262" s="12">
        <v>0.41666666666666669</v>
      </c>
      <c r="V262" s="1">
        <v>1.5</v>
      </c>
      <c r="W262" s="1">
        <v>1.5</v>
      </c>
      <c r="X262" s="5">
        <f t="shared" si="10"/>
        <v>3</v>
      </c>
      <c r="Y262" s="5" t="str">
        <f t="shared" si="11"/>
        <v>C</v>
      </c>
    </row>
    <row r="263" spans="2:25" x14ac:dyDescent="0.25">
      <c r="B263" s="11">
        <v>44663</v>
      </c>
      <c r="C263" s="7">
        <v>600003997409</v>
      </c>
      <c r="D263" s="5">
        <v>1</v>
      </c>
      <c r="E263" t="s">
        <v>891</v>
      </c>
      <c r="F263" t="s">
        <v>596</v>
      </c>
      <c r="G263" t="s">
        <v>703</v>
      </c>
      <c r="H263" t="s">
        <v>747</v>
      </c>
      <c r="I263" t="s">
        <v>824</v>
      </c>
      <c r="J263" s="27" t="s">
        <v>524</v>
      </c>
      <c r="K263" s="5" t="s">
        <v>127</v>
      </c>
      <c r="L263" s="1" t="s">
        <v>57</v>
      </c>
      <c r="M263" s="1" t="s">
        <v>36</v>
      </c>
      <c r="N263" s="1" t="s">
        <v>231</v>
      </c>
      <c r="O263" s="1" t="s">
        <v>19</v>
      </c>
      <c r="P263" s="9">
        <v>44665</v>
      </c>
      <c r="Q263" s="1" t="s">
        <v>473</v>
      </c>
      <c r="R263" s="1" t="s">
        <v>63</v>
      </c>
      <c r="S263" s="1">
        <v>2</v>
      </c>
      <c r="T263" s="12">
        <v>0.54166666666666663</v>
      </c>
      <c r="U263" s="12">
        <v>0.58333333333333337</v>
      </c>
      <c r="V263" s="1">
        <v>1</v>
      </c>
      <c r="W263" s="1">
        <v>1</v>
      </c>
      <c r="X263" s="5">
        <f t="shared" si="10"/>
        <v>2</v>
      </c>
      <c r="Y263" s="5" t="str">
        <f t="shared" si="11"/>
        <v>C</v>
      </c>
    </row>
    <row r="264" spans="2:25" x14ac:dyDescent="0.25">
      <c r="B264" s="11">
        <v>44664</v>
      </c>
      <c r="C264" s="7">
        <v>600003997843</v>
      </c>
      <c r="D264" s="1">
        <v>1</v>
      </c>
      <c r="E264" t="s">
        <v>503</v>
      </c>
      <c r="F264" t="s">
        <v>547</v>
      </c>
      <c r="G264" t="s">
        <v>652</v>
      </c>
      <c r="H264" t="s">
        <v>747</v>
      </c>
      <c r="I264" t="s">
        <v>773</v>
      </c>
      <c r="J264" s="26" t="s">
        <v>524</v>
      </c>
      <c r="K264" s="1" t="s">
        <v>82</v>
      </c>
      <c r="L264" s="1" t="s">
        <v>57</v>
      </c>
      <c r="M264" s="1" t="s">
        <v>96</v>
      </c>
      <c r="N264" s="1" t="s">
        <v>232</v>
      </c>
      <c r="O264" s="1" t="s">
        <v>19</v>
      </c>
      <c r="P264" s="9">
        <v>44673</v>
      </c>
      <c r="Q264" s="1" t="s">
        <v>473</v>
      </c>
      <c r="R264" s="1" t="s">
        <v>63</v>
      </c>
      <c r="S264" s="1">
        <v>3</v>
      </c>
      <c r="T264" s="12">
        <v>0.29166666666666669</v>
      </c>
      <c r="U264" s="12">
        <v>0.66666666666666663</v>
      </c>
      <c r="V264" s="1">
        <v>9</v>
      </c>
      <c r="W264" s="1">
        <v>9</v>
      </c>
      <c r="X264" s="5">
        <f t="shared" si="10"/>
        <v>27</v>
      </c>
      <c r="Y264" s="5" t="str">
        <f t="shared" si="11"/>
        <v>A</v>
      </c>
    </row>
    <row r="265" spans="2:25" x14ac:dyDescent="0.25">
      <c r="B265" s="11">
        <v>44664</v>
      </c>
      <c r="C265" s="7">
        <v>600003997986</v>
      </c>
      <c r="D265" s="5">
        <v>1</v>
      </c>
      <c r="E265" t="s">
        <v>863</v>
      </c>
      <c r="F265" t="s">
        <v>570</v>
      </c>
      <c r="G265" t="s">
        <v>675</v>
      </c>
      <c r="H265" t="s">
        <v>749</v>
      </c>
      <c r="I265" t="s">
        <v>796</v>
      </c>
      <c r="J265" s="27" t="s">
        <v>524</v>
      </c>
      <c r="K265" s="5" t="s">
        <v>44</v>
      </c>
      <c r="L265" s="1" t="s">
        <v>148</v>
      </c>
      <c r="M265" s="1" t="s">
        <v>114</v>
      </c>
      <c r="N265" s="1" t="s">
        <v>115</v>
      </c>
      <c r="O265" s="1" t="s">
        <v>176</v>
      </c>
      <c r="P265" s="9">
        <v>44664</v>
      </c>
      <c r="Q265" s="1" t="s">
        <v>474</v>
      </c>
      <c r="R265" s="1" t="s">
        <v>63</v>
      </c>
      <c r="S265" s="1">
        <v>2</v>
      </c>
      <c r="T265" s="12">
        <v>0.375</v>
      </c>
      <c r="U265" s="12">
        <v>0.45833333333333331</v>
      </c>
      <c r="V265" s="1">
        <v>2</v>
      </c>
      <c r="W265" s="1">
        <v>2</v>
      </c>
      <c r="X265" s="5">
        <f t="shared" si="10"/>
        <v>4</v>
      </c>
      <c r="Y265" s="5" t="str">
        <f t="shared" si="11"/>
        <v>C</v>
      </c>
    </row>
    <row r="266" spans="2:25" x14ac:dyDescent="0.25">
      <c r="B266" s="11">
        <v>44669</v>
      </c>
      <c r="C266" s="7">
        <v>600003999546</v>
      </c>
      <c r="D266" s="4">
        <v>1</v>
      </c>
      <c r="E266" t="s">
        <v>496</v>
      </c>
      <c r="F266" t="s">
        <v>540</v>
      </c>
      <c r="G266" t="s">
        <v>645</v>
      </c>
      <c r="H266" t="s">
        <v>745</v>
      </c>
      <c r="I266" t="s">
        <v>766</v>
      </c>
      <c r="J266" s="29" t="s">
        <v>525</v>
      </c>
      <c r="K266" s="4" t="s">
        <v>15</v>
      </c>
      <c r="L266" s="1" t="s">
        <v>79</v>
      </c>
      <c r="M266" s="1" t="s">
        <v>80</v>
      </c>
      <c r="N266" s="1" t="s">
        <v>111</v>
      </c>
      <c r="O266" s="1" t="s">
        <v>19</v>
      </c>
      <c r="P266" s="9">
        <v>44669</v>
      </c>
      <c r="Q266" s="1" t="s">
        <v>478</v>
      </c>
      <c r="R266" s="1" t="s">
        <v>50</v>
      </c>
      <c r="S266" s="1">
        <v>2</v>
      </c>
      <c r="T266" s="12">
        <v>0.39583333333333331</v>
      </c>
      <c r="U266" s="12">
        <v>0.47916666666666669</v>
      </c>
      <c r="V266" s="1">
        <v>2</v>
      </c>
      <c r="W266" s="1">
        <v>2</v>
      </c>
      <c r="X266" s="5">
        <f t="shared" si="10"/>
        <v>4</v>
      </c>
      <c r="Y266" s="5" t="str">
        <f t="shared" si="11"/>
        <v>C</v>
      </c>
    </row>
    <row r="267" spans="2:25" x14ac:dyDescent="0.25">
      <c r="B267" s="11">
        <v>44669</v>
      </c>
      <c r="C267" s="7">
        <v>600003999572</v>
      </c>
      <c r="D267" s="5">
        <v>1</v>
      </c>
      <c r="E267" t="s">
        <v>875</v>
      </c>
      <c r="F267" t="s">
        <v>581</v>
      </c>
      <c r="G267" t="s">
        <v>687</v>
      </c>
      <c r="H267" t="s">
        <v>745</v>
      </c>
      <c r="I267" t="s">
        <v>808</v>
      </c>
      <c r="J267" s="27" t="s">
        <v>525</v>
      </c>
      <c r="K267" s="5" t="s">
        <v>15</v>
      </c>
      <c r="L267" s="1" t="s">
        <v>57</v>
      </c>
      <c r="M267" s="1" t="s">
        <v>71</v>
      </c>
      <c r="N267" s="1" t="s">
        <v>84</v>
      </c>
      <c r="O267" s="1" t="s">
        <v>19</v>
      </c>
      <c r="P267" s="9">
        <v>44671</v>
      </c>
      <c r="Q267" s="1" t="s">
        <v>477</v>
      </c>
      <c r="R267" s="1" t="s">
        <v>63</v>
      </c>
      <c r="S267" s="1">
        <v>1</v>
      </c>
      <c r="T267" s="12">
        <v>0.3263888888888889</v>
      </c>
      <c r="U267" s="12">
        <v>0.36805555555555558</v>
      </c>
      <c r="V267" s="1">
        <v>1</v>
      </c>
      <c r="W267" s="1">
        <v>1</v>
      </c>
      <c r="X267" s="5">
        <f t="shared" si="10"/>
        <v>1</v>
      </c>
      <c r="Y267" s="5" t="str">
        <f t="shared" si="11"/>
        <v>C</v>
      </c>
    </row>
    <row r="268" spans="2:25" x14ac:dyDescent="0.25">
      <c r="B268" s="11">
        <v>44669</v>
      </c>
      <c r="C268" s="7">
        <v>600003999570</v>
      </c>
      <c r="D268" s="5">
        <v>1</v>
      </c>
      <c r="E268" t="s">
        <v>493</v>
      </c>
      <c r="F268" t="s">
        <v>537</v>
      </c>
      <c r="G268" t="s">
        <v>642</v>
      </c>
      <c r="H268" t="s">
        <v>745</v>
      </c>
      <c r="I268" t="s">
        <v>763</v>
      </c>
      <c r="J268" s="27" t="s">
        <v>525</v>
      </c>
      <c r="K268" s="5" t="s">
        <v>15</v>
      </c>
      <c r="L268" s="1" t="s">
        <v>57</v>
      </c>
      <c r="M268" s="1" t="s">
        <v>71</v>
      </c>
      <c r="N268" s="1" t="s">
        <v>84</v>
      </c>
      <c r="O268" s="1" t="s">
        <v>19</v>
      </c>
      <c r="P268" s="9">
        <v>44673</v>
      </c>
      <c r="Q268" s="1" t="s">
        <v>476</v>
      </c>
      <c r="R268" s="1" t="s">
        <v>63</v>
      </c>
      <c r="S268" s="1">
        <v>1</v>
      </c>
      <c r="T268" s="12">
        <v>0.52083333333333337</v>
      </c>
      <c r="U268" s="12">
        <v>0.5625</v>
      </c>
      <c r="V268" s="1">
        <v>1</v>
      </c>
      <c r="W268" s="1">
        <v>1</v>
      </c>
      <c r="X268" s="5">
        <f t="shared" si="10"/>
        <v>1</v>
      </c>
      <c r="Y268" s="5" t="str">
        <f t="shared" si="11"/>
        <v>C</v>
      </c>
    </row>
    <row r="269" spans="2:25" x14ac:dyDescent="0.25">
      <c r="B269" s="11">
        <v>44669</v>
      </c>
      <c r="C269" s="7">
        <v>600003999571</v>
      </c>
      <c r="D269" s="5">
        <v>1</v>
      </c>
      <c r="E269" t="s">
        <v>517</v>
      </c>
      <c r="F269" t="s">
        <v>561</v>
      </c>
      <c r="G269" t="s">
        <v>666</v>
      </c>
      <c r="H269" t="s">
        <v>745</v>
      </c>
      <c r="I269" t="s">
        <v>787</v>
      </c>
      <c r="J269" s="27" t="s">
        <v>525</v>
      </c>
      <c r="K269" s="5" t="s">
        <v>15</v>
      </c>
      <c r="L269" s="1" t="s">
        <v>57</v>
      </c>
      <c r="M269" s="1" t="s">
        <v>71</v>
      </c>
      <c r="N269" s="1" t="s">
        <v>84</v>
      </c>
      <c r="O269" s="1" t="s">
        <v>19</v>
      </c>
      <c r="P269" s="9">
        <v>44670</v>
      </c>
      <c r="Q269" s="1" t="s">
        <v>476</v>
      </c>
      <c r="R269" s="1" t="s">
        <v>63</v>
      </c>
      <c r="S269" s="1">
        <v>1</v>
      </c>
      <c r="T269" s="12">
        <v>0.625</v>
      </c>
      <c r="U269" s="12">
        <v>0.66666666666666663</v>
      </c>
      <c r="V269" s="1">
        <v>1</v>
      </c>
      <c r="W269" s="1">
        <v>1</v>
      </c>
      <c r="X269" s="5">
        <f t="shared" si="10"/>
        <v>1</v>
      </c>
      <c r="Y269" s="5" t="str">
        <f t="shared" si="11"/>
        <v>C</v>
      </c>
    </row>
    <row r="270" spans="2:25" x14ac:dyDescent="0.25">
      <c r="B270" s="11">
        <v>44669</v>
      </c>
      <c r="C270" s="7">
        <v>600004000018</v>
      </c>
      <c r="D270" s="4">
        <v>1</v>
      </c>
      <c r="E270" t="s">
        <v>496</v>
      </c>
      <c r="F270" t="s">
        <v>540</v>
      </c>
      <c r="G270" t="s">
        <v>645</v>
      </c>
      <c r="H270" t="s">
        <v>745</v>
      </c>
      <c r="I270" t="s">
        <v>766</v>
      </c>
      <c r="J270" s="29" t="s">
        <v>525</v>
      </c>
      <c r="K270" s="4" t="s">
        <v>15</v>
      </c>
      <c r="L270" s="1" t="s">
        <v>16</v>
      </c>
      <c r="M270" s="1" t="s">
        <v>119</v>
      </c>
      <c r="N270" s="1" t="s">
        <v>67</v>
      </c>
      <c r="O270" s="1" t="s">
        <v>19</v>
      </c>
      <c r="P270" s="9">
        <v>44670</v>
      </c>
      <c r="Q270" s="1" t="s">
        <v>475</v>
      </c>
      <c r="R270" s="1" t="s">
        <v>63</v>
      </c>
      <c r="S270" s="1">
        <v>1</v>
      </c>
      <c r="T270" s="12">
        <v>0.375</v>
      </c>
      <c r="U270" s="12">
        <v>0.4375</v>
      </c>
      <c r="V270" s="1">
        <v>1.5</v>
      </c>
      <c r="W270" s="1">
        <v>1.5</v>
      </c>
      <c r="X270" s="5">
        <f t="shared" si="10"/>
        <v>1.5</v>
      </c>
      <c r="Y270" s="5" t="str">
        <f t="shared" si="11"/>
        <v>C</v>
      </c>
    </row>
    <row r="271" spans="2:25" x14ac:dyDescent="0.25">
      <c r="B271" s="11">
        <v>44669</v>
      </c>
      <c r="C271" s="7">
        <v>600003999524</v>
      </c>
      <c r="D271" s="5">
        <v>1</v>
      </c>
      <c r="E271" t="s">
        <v>507</v>
      </c>
      <c r="F271" t="s">
        <v>551</v>
      </c>
      <c r="G271" t="s">
        <v>656</v>
      </c>
      <c r="H271" t="s">
        <v>745</v>
      </c>
      <c r="I271" t="s">
        <v>777</v>
      </c>
      <c r="J271" s="26" t="s">
        <v>525</v>
      </c>
      <c r="K271" s="5" t="s">
        <v>15</v>
      </c>
      <c r="L271" s="1" t="s">
        <v>57</v>
      </c>
      <c r="M271" s="1" t="s">
        <v>71</v>
      </c>
      <c r="N271" s="1" t="s">
        <v>194</v>
      </c>
      <c r="O271" s="1" t="s">
        <v>176</v>
      </c>
      <c r="P271" s="9">
        <v>44687</v>
      </c>
      <c r="Q271" s="1" t="s">
        <v>476</v>
      </c>
      <c r="R271" s="1" t="s">
        <v>63</v>
      </c>
      <c r="S271" s="1">
        <v>1</v>
      </c>
      <c r="T271" s="12">
        <v>0.5625</v>
      </c>
      <c r="U271" s="12">
        <v>0.60416666666666663</v>
      </c>
      <c r="V271" s="1">
        <v>1</v>
      </c>
      <c r="W271" s="1">
        <v>1</v>
      </c>
      <c r="X271" s="5">
        <f t="shared" si="10"/>
        <v>1</v>
      </c>
      <c r="Y271" s="5" t="str">
        <f t="shared" si="11"/>
        <v>C</v>
      </c>
    </row>
    <row r="272" spans="2:25" x14ac:dyDescent="0.25">
      <c r="B272" s="11">
        <v>44670</v>
      </c>
      <c r="C272" s="7">
        <v>600003999889</v>
      </c>
      <c r="D272" s="4">
        <v>1</v>
      </c>
      <c r="E272" t="s">
        <v>496</v>
      </c>
      <c r="F272" t="s">
        <v>540</v>
      </c>
      <c r="G272" t="s">
        <v>645</v>
      </c>
      <c r="H272" t="s">
        <v>745</v>
      </c>
      <c r="I272" t="s">
        <v>766</v>
      </c>
      <c r="J272" s="29" t="s">
        <v>525</v>
      </c>
      <c r="K272" s="4" t="s">
        <v>15</v>
      </c>
      <c r="L272" s="1" t="s">
        <v>79</v>
      </c>
      <c r="M272" s="1" t="s">
        <v>80</v>
      </c>
      <c r="N272" s="1" t="s">
        <v>110</v>
      </c>
      <c r="O272" s="1" t="s">
        <v>19</v>
      </c>
      <c r="P272" s="9">
        <v>44670</v>
      </c>
      <c r="Q272" s="1" t="s">
        <v>475</v>
      </c>
      <c r="R272" s="1" t="s">
        <v>50</v>
      </c>
      <c r="S272" s="1">
        <v>3</v>
      </c>
      <c r="T272" s="12">
        <v>0.58333333333333337</v>
      </c>
      <c r="U272" s="12">
        <v>0.72916666666666663</v>
      </c>
      <c r="V272" s="1">
        <v>3.5</v>
      </c>
      <c r="W272" s="1">
        <v>3.5</v>
      </c>
      <c r="X272" s="5">
        <f t="shared" si="10"/>
        <v>10.5</v>
      </c>
      <c r="Y272" s="5" t="str">
        <f t="shared" si="11"/>
        <v>B</v>
      </c>
    </row>
    <row r="273" spans="2:25" x14ac:dyDescent="0.25">
      <c r="B273" s="11">
        <v>44670</v>
      </c>
      <c r="C273" s="7">
        <v>600004000021</v>
      </c>
      <c r="D273" s="5">
        <v>1</v>
      </c>
      <c r="E273" t="s">
        <v>875</v>
      </c>
      <c r="F273" t="s">
        <v>581</v>
      </c>
      <c r="G273" t="s">
        <v>687</v>
      </c>
      <c r="H273" t="s">
        <v>745</v>
      </c>
      <c r="I273" t="s">
        <v>808</v>
      </c>
      <c r="J273" s="26" t="s">
        <v>525</v>
      </c>
      <c r="K273" s="5" t="s">
        <v>15</v>
      </c>
      <c r="L273" s="1" t="s">
        <v>16</v>
      </c>
      <c r="M273" s="1" t="s">
        <v>128</v>
      </c>
      <c r="N273" s="1" t="s">
        <v>120</v>
      </c>
      <c r="O273" s="1" t="s">
        <v>19</v>
      </c>
      <c r="P273" s="9">
        <v>44670</v>
      </c>
      <c r="Q273" s="1" t="s">
        <v>475</v>
      </c>
      <c r="R273" s="1" t="s">
        <v>63</v>
      </c>
      <c r="S273" s="1">
        <v>1</v>
      </c>
      <c r="T273" s="12">
        <v>0.54166666666666663</v>
      </c>
      <c r="U273" s="12">
        <v>0.60416666666666663</v>
      </c>
      <c r="V273" s="1">
        <v>1.5</v>
      </c>
      <c r="W273" s="1">
        <v>1.5</v>
      </c>
      <c r="X273" s="5">
        <f t="shared" si="10"/>
        <v>1.5</v>
      </c>
      <c r="Y273" s="5" t="str">
        <f t="shared" si="11"/>
        <v>C</v>
      </c>
    </row>
    <row r="274" spans="2:25" x14ac:dyDescent="0.25">
      <c r="B274" s="11">
        <v>44671</v>
      </c>
      <c r="C274" s="7">
        <v>600004000365</v>
      </c>
      <c r="D274" s="4">
        <v>1</v>
      </c>
      <c r="E274" t="s">
        <v>491</v>
      </c>
      <c r="F274" t="s">
        <v>535</v>
      </c>
      <c r="G274" t="s">
        <v>640</v>
      </c>
      <c r="H274" t="s">
        <v>745</v>
      </c>
      <c r="I274" t="s">
        <v>761</v>
      </c>
      <c r="J274" s="28" t="s">
        <v>525</v>
      </c>
      <c r="K274" s="4" t="s">
        <v>44</v>
      </c>
      <c r="L274" s="1" t="s">
        <v>71</v>
      </c>
      <c r="M274" s="1" t="s">
        <v>55</v>
      </c>
      <c r="N274" s="1" t="s">
        <v>235</v>
      </c>
      <c r="O274" s="1" t="s">
        <v>19</v>
      </c>
      <c r="P274" s="9">
        <v>44671</v>
      </c>
      <c r="Q274" s="1" t="s">
        <v>477</v>
      </c>
      <c r="R274" s="1" t="s">
        <v>63</v>
      </c>
      <c r="S274" s="1">
        <v>2</v>
      </c>
      <c r="T274" s="12">
        <v>0.375</v>
      </c>
      <c r="U274" s="12">
        <v>0.52083333333333337</v>
      </c>
      <c r="V274" s="1">
        <v>3.5</v>
      </c>
      <c r="W274" s="1">
        <v>3.5</v>
      </c>
      <c r="X274" s="5">
        <f t="shared" si="10"/>
        <v>7</v>
      </c>
      <c r="Y274" s="5" t="str">
        <f t="shared" si="11"/>
        <v>B</v>
      </c>
    </row>
    <row r="275" spans="2:25" x14ac:dyDescent="0.25">
      <c r="B275" s="11">
        <v>44672</v>
      </c>
      <c r="C275" s="7">
        <v>600004001079</v>
      </c>
      <c r="D275" s="4">
        <v>1</v>
      </c>
      <c r="E275" t="s">
        <v>496</v>
      </c>
      <c r="F275" t="s">
        <v>540</v>
      </c>
      <c r="G275" t="s">
        <v>645</v>
      </c>
      <c r="H275" t="s">
        <v>745</v>
      </c>
      <c r="I275" t="s">
        <v>766</v>
      </c>
      <c r="J275" s="29" t="s">
        <v>525</v>
      </c>
      <c r="K275" s="4" t="s">
        <v>15</v>
      </c>
      <c r="L275" s="1" t="s">
        <v>79</v>
      </c>
      <c r="M275" s="1" t="s">
        <v>62</v>
      </c>
      <c r="N275" s="1" t="s">
        <v>110</v>
      </c>
      <c r="O275" s="1" t="s">
        <v>19</v>
      </c>
      <c r="P275" s="9">
        <v>44672</v>
      </c>
      <c r="Q275" s="1" t="s">
        <v>475</v>
      </c>
      <c r="R275" s="1" t="s">
        <v>50</v>
      </c>
      <c r="S275" s="1">
        <v>2</v>
      </c>
      <c r="T275" s="12">
        <v>0.29166666666666669</v>
      </c>
      <c r="U275" s="12">
        <v>0.33333333333333331</v>
      </c>
      <c r="V275" s="1">
        <v>1</v>
      </c>
      <c r="W275" s="1">
        <v>1</v>
      </c>
      <c r="X275" s="5">
        <f t="shared" si="10"/>
        <v>2</v>
      </c>
      <c r="Y275" s="5" t="str">
        <f t="shared" si="11"/>
        <v>C</v>
      </c>
    </row>
    <row r="276" spans="2:25" x14ac:dyDescent="0.25">
      <c r="B276" s="11">
        <v>44672</v>
      </c>
      <c r="C276" s="7">
        <v>600004001080</v>
      </c>
      <c r="D276" s="5">
        <v>1</v>
      </c>
      <c r="E276" t="s">
        <v>499</v>
      </c>
      <c r="F276" t="s">
        <v>543</v>
      </c>
      <c r="G276" t="s">
        <v>648</v>
      </c>
      <c r="H276" t="s">
        <v>745</v>
      </c>
      <c r="I276" t="s">
        <v>769</v>
      </c>
      <c r="J276" s="27" t="s">
        <v>525</v>
      </c>
      <c r="K276" s="5" t="s">
        <v>15</v>
      </c>
      <c r="L276" s="1" t="s">
        <v>16</v>
      </c>
      <c r="M276" s="1" t="s">
        <v>57</v>
      </c>
      <c r="N276" s="1" t="s">
        <v>236</v>
      </c>
      <c r="O276" s="1" t="s">
        <v>19</v>
      </c>
      <c r="P276" s="9">
        <v>44672</v>
      </c>
      <c r="Q276" s="1" t="s">
        <v>477</v>
      </c>
      <c r="R276" s="1" t="s">
        <v>63</v>
      </c>
      <c r="S276" s="1">
        <v>4</v>
      </c>
      <c r="T276" s="12">
        <v>0.64583333333333337</v>
      </c>
      <c r="U276" s="12">
        <v>0.6875</v>
      </c>
      <c r="V276" s="1">
        <v>1</v>
      </c>
      <c r="W276" s="1">
        <v>1</v>
      </c>
      <c r="X276" s="5">
        <f t="shared" ref="X276:X339" si="12">PRODUCT(S276,V276)</f>
        <v>4</v>
      </c>
      <c r="Y276" s="5" t="str">
        <f t="shared" ref="Y276:Y339" si="13">IF(W276=0,"D",IF(W276&lt;=2,"C",IF(W276&lt;=8,"B",IF(W276&gt;8,"A"))))</f>
        <v>C</v>
      </c>
    </row>
    <row r="277" spans="2:25" x14ac:dyDescent="0.25">
      <c r="B277" s="11">
        <v>44673</v>
      </c>
      <c r="C277" s="7">
        <v>600004001495</v>
      </c>
      <c r="D277" s="1">
        <v>1</v>
      </c>
      <c r="E277" t="s">
        <v>866</v>
      </c>
      <c r="F277" t="s">
        <v>573</v>
      </c>
      <c r="G277" t="s">
        <v>678</v>
      </c>
      <c r="H277" t="s">
        <v>745</v>
      </c>
      <c r="I277" t="s">
        <v>799</v>
      </c>
      <c r="J277" s="26" t="s">
        <v>524</v>
      </c>
      <c r="K277" s="1" t="s">
        <v>15</v>
      </c>
      <c r="L277" s="1" t="s">
        <v>89</v>
      </c>
      <c r="M277" s="1" t="s">
        <v>57</v>
      </c>
      <c r="N277" s="1" t="s">
        <v>67</v>
      </c>
      <c r="O277" s="1" t="s">
        <v>19</v>
      </c>
      <c r="P277" s="9">
        <v>44673</v>
      </c>
      <c r="Q277" s="1" t="s">
        <v>477</v>
      </c>
      <c r="R277" s="1" t="s">
        <v>63</v>
      </c>
      <c r="S277" s="1">
        <v>1</v>
      </c>
      <c r="T277" s="12">
        <v>0.4375</v>
      </c>
      <c r="U277" s="12">
        <v>0.47916666666666669</v>
      </c>
      <c r="V277" s="1">
        <v>1</v>
      </c>
      <c r="W277" s="1">
        <v>1</v>
      </c>
      <c r="X277" s="5">
        <f t="shared" si="12"/>
        <v>1</v>
      </c>
      <c r="Y277" s="5" t="str">
        <f t="shared" si="13"/>
        <v>C</v>
      </c>
    </row>
    <row r="278" spans="2:25" x14ac:dyDescent="0.25">
      <c r="B278" s="11">
        <v>44673</v>
      </c>
      <c r="C278" s="7">
        <v>600004001514</v>
      </c>
      <c r="D278" s="5">
        <v>1</v>
      </c>
      <c r="E278" t="s">
        <v>509</v>
      </c>
      <c r="F278" t="s">
        <v>553</v>
      </c>
      <c r="G278" t="s">
        <v>658</v>
      </c>
      <c r="H278" t="s">
        <v>744</v>
      </c>
      <c r="I278" t="s">
        <v>779</v>
      </c>
      <c r="J278" s="27" t="s">
        <v>525</v>
      </c>
      <c r="K278" s="5" t="s">
        <v>64</v>
      </c>
      <c r="L278" s="1" t="s">
        <v>36</v>
      </c>
      <c r="M278" s="1" t="s">
        <v>240</v>
      </c>
      <c r="N278" s="1" t="s">
        <v>241</v>
      </c>
      <c r="O278" s="1" t="s">
        <v>19</v>
      </c>
      <c r="P278" s="9">
        <v>44674</v>
      </c>
      <c r="Q278" s="1" t="s">
        <v>473</v>
      </c>
      <c r="R278" s="1" t="s">
        <v>63</v>
      </c>
      <c r="S278" s="1">
        <v>1</v>
      </c>
      <c r="T278" s="12">
        <v>0.39583333333333331</v>
      </c>
      <c r="U278" s="12">
        <v>0.66666666666666663</v>
      </c>
      <c r="V278" s="1">
        <v>6.5</v>
      </c>
      <c r="W278" s="1">
        <v>6.5</v>
      </c>
      <c r="X278" s="1">
        <f t="shared" si="12"/>
        <v>6.5</v>
      </c>
      <c r="Y278" s="1" t="str">
        <f t="shared" si="13"/>
        <v>B</v>
      </c>
    </row>
    <row r="279" spans="2:25" x14ac:dyDescent="0.25">
      <c r="B279" s="11">
        <v>44677</v>
      </c>
      <c r="C279" s="7">
        <v>600004004567</v>
      </c>
      <c r="D279" s="5">
        <v>1</v>
      </c>
      <c r="E279" t="s">
        <v>497</v>
      </c>
      <c r="F279" t="s">
        <v>541</v>
      </c>
      <c r="G279" t="s">
        <v>646</v>
      </c>
      <c r="H279" t="s">
        <v>746</v>
      </c>
      <c r="I279" t="s">
        <v>767</v>
      </c>
      <c r="J279" s="27" t="s">
        <v>525</v>
      </c>
      <c r="K279" s="5" t="s">
        <v>76</v>
      </c>
      <c r="L279" s="1" t="s">
        <v>57</v>
      </c>
      <c r="M279" s="1" t="s">
        <v>237</v>
      </c>
      <c r="N279" s="1" t="s">
        <v>186</v>
      </c>
      <c r="O279" s="1" t="s">
        <v>176</v>
      </c>
      <c r="P279" s="9">
        <v>44677</v>
      </c>
      <c r="Q279" s="1" t="s">
        <v>479</v>
      </c>
      <c r="R279" s="1" t="s">
        <v>63</v>
      </c>
      <c r="S279" s="1">
        <v>2</v>
      </c>
      <c r="T279" s="12">
        <v>0.29166666666666669</v>
      </c>
      <c r="U279" s="12">
        <v>0.41666666666666669</v>
      </c>
      <c r="V279" s="1">
        <v>3</v>
      </c>
      <c r="W279" s="1">
        <v>3</v>
      </c>
      <c r="X279" s="5">
        <f t="shared" si="12"/>
        <v>6</v>
      </c>
      <c r="Y279" s="5" t="str">
        <f t="shared" si="13"/>
        <v>B</v>
      </c>
    </row>
    <row r="280" spans="2:25" x14ac:dyDescent="0.25">
      <c r="B280" s="11">
        <v>44677</v>
      </c>
      <c r="C280" s="7">
        <v>600004004687</v>
      </c>
      <c r="D280" s="1">
        <v>1</v>
      </c>
      <c r="E280" t="s">
        <v>517</v>
      </c>
      <c r="F280" t="s">
        <v>561</v>
      </c>
      <c r="G280" t="s">
        <v>666</v>
      </c>
      <c r="H280" t="s">
        <v>745</v>
      </c>
      <c r="I280" t="s">
        <v>787</v>
      </c>
      <c r="J280" s="26" t="s">
        <v>525</v>
      </c>
      <c r="K280" s="1" t="s">
        <v>15</v>
      </c>
      <c r="L280" s="1" t="s">
        <v>79</v>
      </c>
      <c r="M280" s="1" t="s">
        <v>128</v>
      </c>
      <c r="N280" s="1" t="s">
        <v>238</v>
      </c>
      <c r="O280" s="1" t="s">
        <v>176</v>
      </c>
      <c r="P280" s="9">
        <v>44677</v>
      </c>
      <c r="Q280" s="1" t="s">
        <v>477</v>
      </c>
      <c r="R280" s="1" t="s">
        <v>50</v>
      </c>
      <c r="S280" s="1">
        <v>3</v>
      </c>
      <c r="T280" s="12">
        <v>0.54166666666666663</v>
      </c>
      <c r="U280" s="12">
        <v>0.58333333333333337</v>
      </c>
      <c r="V280" s="1">
        <v>1</v>
      </c>
      <c r="W280" s="1">
        <v>1</v>
      </c>
      <c r="X280" s="5">
        <f t="shared" si="12"/>
        <v>3</v>
      </c>
      <c r="Y280" s="5" t="str">
        <f t="shared" si="13"/>
        <v>C</v>
      </c>
    </row>
    <row r="281" spans="2:25" x14ac:dyDescent="0.25">
      <c r="B281" s="11">
        <v>44677</v>
      </c>
      <c r="C281" s="7">
        <v>600004004686</v>
      </c>
      <c r="D281" s="1">
        <v>1</v>
      </c>
      <c r="E281" t="s">
        <v>500</v>
      </c>
      <c r="F281" t="s">
        <v>544</v>
      </c>
      <c r="G281" t="s">
        <v>649</v>
      </c>
      <c r="H281" t="s">
        <v>745</v>
      </c>
      <c r="I281" t="s">
        <v>770</v>
      </c>
      <c r="J281" s="26" t="s">
        <v>525</v>
      </c>
      <c r="K281" s="1" t="s">
        <v>15</v>
      </c>
      <c r="L281" s="1" t="s">
        <v>16</v>
      </c>
      <c r="M281" s="1" t="s">
        <v>65</v>
      </c>
      <c r="N281" s="1" t="s">
        <v>67</v>
      </c>
      <c r="O281" s="1" t="s">
        <v>176</v>
      </c>
      <c r="P281" s="9">
        <v>44677</v>
      </c>
      <c r="Q281" s="1" t="s">
        <v>479</v>
      </c>
      <c r="R281" s="1" t="s">
        <v>63</v>
      </c>
      <c r="S281" s="1">
        <v>2</v>
      </c>
      <c r="T281" s="12">
        <v>0.41666666666666669</v>
      </c>
      <c r="U281" s="12">
        <v>0.47916666666666669</v>
      </c>
      <c r="V281" s="1">
        <v>1.5</v>
      </c>
      <c r="W281" s="1">
        <v>1.5</v>
      </c>
      <c r="X281" s="5">
        <f t="shared" si="12"/>
        <v>3</v>
      </c>
      <c r="Y281" s="5" t="str">
        <f t="shared" si="13"/>
        <v>C</v>
      </c>
    </row>
    <row r="282" spans="2:25" x14ac:dyDescent="0.25">
      <c r="B282" s="11">
        <v>44677</v>
      </c>
      <c r="C282" s="7">
        <v>600004004569</v>
      </c>
      <c r="D282" s="5">
        <v>1</v>
      </c>
      <c r="E282" t="s">
        <v>500</v>
      </c>
      <c r="F282" t="s">
        <v>544</v>
      </c>
      <c r="G282" t="s">
        <v>649</v>
      </c>
      <c r="H282" t="s">
        <v>745</v>
      </c>
      <c r="I282" t="s">
        <v>770</v>
      </c>
      <c r="J282" s="27" t="s">
        <v>525</v>
      </c>
      <c r="K282" s="5" t="s">
        <v>15</v>
      </c>
      <c r="L282" s="1" t="s">
        <v>16</v>
      </c>
      <c r="M282" s="1" t="s">
        <v>62</v>
      </c>
      <c r="N282" s="1" t="s">
        <v>67</v>
      </c>
      <c r="O282" s="1" t="s">
        <v>176</v>
      </c>
      <c r="P282" s="9">
        <v>44677</v>
      </c>
      <c r="Q282" s="1" t="s">
        <v>475</v>
      </c>
      <c r="R282" s="1" t="s">
        <v>63</v>
      </c>
      <c r="S282" s="1">
        <v>3</v>
      </c>
      <c r="T282" s="12">
        <v>0.39583333333333331</v>
      </c>
      <c r="U282" s="12">
        <v>0.5</v>
      </c>
      <c r="V282" s="1">
        <v>2.5</v>
      </c>
      <c r="W282" s="1">
        <v>2.5</v>
      </c>
      <c r="X282" s="5">
        <f t="shared" si="12"/>
        <v>7.5</v>
      </c>
      <c r="Y282" s="5" t="str">
        <f t="shared" si="13"/>
        <v>B</v>
      </c>
    </row>
    <row r="283" spans="2:25" x14ac:dyDescent="0.25">
      <c r="B283" s="11">
        <v>44678</v>
      </c>
      <c r="C283" s="7">
        <v>600004004969</v>
      </c>
      <c r="D283" s="5">
        <v>1</v>
      </c>
      <c r="E283" t="s">
        <v>512</v>
      </c>
      <c r="F283" t="s">
        <v>556</v>
      </c>
      <c r="G283" t="s">
        <v>661</v>
      </c>
      <c r="H283" t="s">
        <v>745</v>
      </c>
      <c r="I283" t="s">
        <v>782</v>
      </c>
      <c r="J283" s="27" t="s">
        <v>525</v>
      </c>
      <c r="K283" s="5" t="s">
        <v>88</v>
      </c>
      <c r="L283" s="1" t="s">
        <v>89</v>
      </c>
      <c r="M283" s="1" t="s">
        <v>128</v>
      </c>
      <c r="N283" s="1" t="s">
        <v>67</v>
      </c>
      <c r="O283" s="1" t="s">
        <v>176</v>
      </c>
      <c r="P283" s="9">
        <v>44678</v>
      </c>
      <c r="Q283" s="1" t="s">
        <v>479</v>
      </c>
      <c r="R283" s="1" t="s">
        <v>63</v>
      </c>
      <c r="S283" s="1">
        <v>1</v>
      </c>
      <c r="T283" s="12">
        <v>0.30555555555555552</v>
      </c>
      <c r="U283" s="12">
        <v>0.34722222222222227</v>
      </c>
      <c r="V283" s="1">
        <v>1</v>
      </c>
      <c r="W283" s="1">
        <v>1</v>
      </c>
      <c r="X283" s="5">
        <f t="shared" si="12"/>
        <v>1</v>
      </c>
      <c r="Y283" s="5" t="str">
        <f t="shared" si="13"/>
        <v>C</v>
      </c>
    </row>
    <row r="284" spans="2:25" x14ac:dyDescent="0.25">
      <c r="B284" s="11">
        <v>44679</v>
      </c>
      <c r="C284" s="7">
        <v>600004005548</v>
      </c>
      <c r="D284" s="5">
        <v>1</v>
      </c>
      <c r="E284" t="s">
        <v>893</v>
      </c>
      <c r="F284" t="s">
        <v>598</v>
      </c>
      <c r="G284" t="s">
        <v>705</v>
      </c>
      <c r="H284" t="s">
        <v>740</v>
      </c>
      <c r="I284" t="s">
        <v>826</v>
      </c>
      <c r="J284" s="27" t="s">
        <v>524</v>
      </c>
      <c r="K284" s="5" t="s">
        <v>127</v>
      </c>
      <c r="L284" s="1" t="s">
        <v>148</v>
      </c>
      <c r="M284" s="1" t="s">
        <v>242</v>
      </c>
      <c r="N284" s="1" t="s">
        <v>180</v>
      </c>
      <c r="O284" s="1" t="s">
        <v>176</v>
      </c>
      <c r="P284" s="9">
        <v>44679</v>
      </c>
      <c r="Q284" s="1" t="s">
        <v>473</v>
      </c>
      <c r="R284" s="1" t="s">
        <v>63</v>
      </c>
      <c r="S284" s="1">
        <v>2</v>
      </c>
      <c r="T284" s="12">
        <v>0.29166666666666669</v>
      </c>
      <c r="U284" s="12">
        <v>0.4375</v>
      </c>
      <c r="V284" s="1">
        <v>3.5</v>
      </c>
      <c r="W284" s="1">
        <v>3.5</v>
      </c>
      <c r="X284" s="5">
        <f t="shared" si="12"/>
        <v>7</v>
      </c>
      <c r="Y284" s="1" t="str">
        <f t="shared" si="13"/>
        <v>B</v>
      </c>
    </row>
    <row r="285" spans="2:25" x14ac:dyDescent="0.25">
      <c r="B285" s="11">
        <v>44680</v>
      </c>
      <c r="C285" s="7">
        <v>600004005833</v>
      </c>
      <c r="D285" s="1">
        <v>1</v>
      </c>
      <c r="E285" t="s">
        <v>884</v>
      </c>
      <c r="F285" t="s">
        <v>590</v>
      </c>
      <c r="G285" t="s">
        <v>696</v>
      </c>
      <c r="H285" t="s">
        <v>745</v>
      </c>
      <c r="I285" t="s">
        <v>817</v>
      </c>
      <c r="J285" s="27" t="s">
        <v>525</v>
      </c>
      <c r="K285" s="5" t="s">
        <v>44</v>
      </c>
      <c r="L285" s="1" t="s">
        <v>148</v>
      </c>
      <c r="M285" s="1" t="s">
        <v>114</v>
      </c>
      <c r="N285" s="1" t="s">
        <v>243</v>
      </c>
      <c r="O285" s="1" t="s">
        <v>176</v>
      </c>
      <c r="P285" s="9">
        <v>44680</v>
      </c>
      <c r="Q285" s="1" t="s">
        <v>476</v>
      </c>
      <c r="R285" s="1" t="s">
        <v>63</v>
      </c>
      <c r="S285" s="1">
        <v>2</v>
      </c>
      <c r="T285" s="12">
        <v>0.58333333333333337</v>
      </c>
      <c r="U285" s="12">
        <v>0.625</v>
      </c>
      <c r="V285" s="1">
        <v>1</v>
      </c>
      <c r="W285" s="1">
        <v>1</v>
      </c>
      <c r="X285" s="1">
        <f t="shared" si="12"/>
        <v>2</v>
      </c>
      <c r="Y285" s="5" t="str">
        <f t="shared" si="13"/>
        <v>C</v>
      </c>
    </row>
    <row r="286" spans="2:25" x14ac:dyDescent="0.25">
      <c r="B286" s="11">
        <v>44680</v>
      </c>
      <c r="C286" s="7">
        <v>600004005747</v>
      </c>
      <c r="D286" s="1">
        <v>1</v>
      </c>
      <c r="E286" t="s">
        <v>866</v>
      </c>
      <c r="F286" t="s">
        <v>573</v>
      </c>
      <c r="G286" t="s">
        <v>678</v>
      </c>
      <c r="H286" t="s">
        <v>745</v>
      </c>
      <c r="I286" t="s">
        <v>799</v>
      </c>
      <c r="J286" s="26" t="s">
        <v>524</v>
      </c>
      <c r="K286" s="1" t="s">
        <v>15</v>
      </c>
      <c r="L286" s="1" t="s">
        <v>79</v>
      </c>
      <c r="M286" s="1" t="s">
        <v>57</v>
      </c>
      <c r="N286" s="1" t="s">
        <v>244</v>
      </c>
      <c r="O286" s="1" t="s">
        <v>176</v>
      </c>
      <c r="P286" s="9">
        <v>44680</v>
      </c>
      <c r="Q286" s="1" t="s">
        <v>475</v>
      </c>
      <c r="R286" s="1" t="s">
        <v>50</v>
      </c>
      <c r="S286" s="1">
        <v>1</v>
      </c>
      <c r="T286" s="12">
        <v>0.45833333333333331</v>
      </c>
      <c r="U286" s="12">
        <v>0.54166666666666663</v>
      </c>
      <c r="V286" s="1">
        <v>2</v>
      </c>
      <c r="W286" s="1">
        <v>2</v>
      </c>
      <c r="X286" s="5">
        <f t="shared" si="12"/>
        <v>2</v>
      </c>
      <c r="Y286" s="5" t="str">
        <f t="shared" si="13"/>
        <v>C</v>
      </c>
    </row>
    <row r="287" spans="2:25" x14ac:dyDescent="0.25">
      <c r="B287" s="11">
        <v>44680</v>
      </c>
      <c r="C287" s="7">
        <v>600004005746</v>
      </c>
      <c r="D287" s="1">
        <v>1</v>
      </c>
      <c r="E287" t="s">
        <v>517</v>
      </c>
      <c r="F287" t="s">
        <v>561</v>
      </c>
      <c r="G287" t="s">
        <v>666</v>
      </c>
      <c r="H287" t="s">
        <v>745</v>
      </c>
      <c r="I287" t="s">
        <v>787</v>
      </c>
      <c r="J287" s="27" t="s">
        <v>525</v>
      </c>
      <c r="K287" s="5" t="s">
        <v>15</v>
      </c>
      <c r="L287" s="1" t="s">
        <v>79</v>
      </c>
      <c r="M287" s="1" t="s">
        <v>246</v>
      </c>
      <c r="N287" s="1" t="s">
        <v>83</v>
      </c>
      <c r="O287" s="1" t="s">
        <v>176</v>
      </c>
      <c r="P287" s="9">
        <v>44680</v>
      </c>
      <c r="Q287" s="1" t="s">
        <v>478</v>
      </c>
      <c r="R287" s="1" t="s">
        <v>50</v>
      </c>
      <c r="S287" s="1">
        <v>3</v>
      </c>
      <c r="T287" s="12">
        <v>0.33333333333333331</v>
      </c>
      <c r="U287" s="12">
        <v>0.4375</v>
      </c>
      <c r="V287" s="1">
        <v>2.5</v>
      </c>
      <c r="W287" s="1">
        <v>2.5</v>
      </c>
      <c r="X287" s="5">
        <f t="shared" si="12"/>
        <v>7.5</v>
      </c>
      <c r="Y287" s="5" t="str">
        <f t="shared" si="13"/>
        <v>B</v>
      </c>
    </row>
    <row r="288" spans="2:25" x14ac:dyDescent="0.25">
      <c r="B288" s="11">
        <v>44680</v>
      </c>
      <c r="C288" s="7">
        <v>600004005769</v>
      </c>
      <c r="D288" s="5">
        <v>1</v>
      </c>
      <c r="E288" t="s">
        <v>882</v>
      </c>
      <c r="F288" t="s">
        <v>588</v>
      </c>
      <c r="G288" t="s">
        <v>694</v>
      </c>
      <c r="H288" t="s">
        <v>745</v>
      </c>
      <c r="I288" t="s">
        <v>815</v>
      </c>
      <c r="J288" s="27" t="s">
        <v>525</v>
      </c>
      <c r="K288" s="5" t="s">
        <v>15</v>
      </c>
      <c r="L288" s="1" t="s">
        <v>79</v>
      </c>
      <c r="M288" s="1" t="s">
        <v>71</v>
      </c>
      <c r="N288" s="1" t="s">
        <v>204</v>
      </c>
      <c r="O288" s="1" t="s">
        <v>176</v>
      </c>
      <c r="P288" s="9">
        <v>44680</v>
      </c>
      <c r="Q288" s="1" t="s">
        <v>478</v>
      </c>
      <c r="R288" s="1" t="s">
        <v>50</v>
      </c>
      <c r="S288" s="1">
        <v>3</v>
      </c>
      <c r="T288" s="12">
        <v>0.4375</v>
      </c>
      <c r="U288" s="12">
        <v>0.52083333333333337</v>
      </c>
      <c r="V288" s="1">
        <v>2</v>
      </c>
      <c r="W288" s="1">
        <v>2</v>
      </c>
      <c r="X288" s="5">
        <f t="shared" si="12"/>
        <v>6</v>
      </c>
      <c r="Y288" s="5" t="str">
        <f t="shared" si="13"/>
        <v>C</v>
      </c>
    </row>
    <row r="289" spans="2:25" x14ac:dyDescent="0.25">
      <c r="B289" s="11">
        <v>44683</v>
      </c>
      <c r="C289" s="7">
        <v>600004006693</v>
      </c>
      <c r="D289" s="1">
        <v>1</v>
      </c>
      <c r="E289" t="s">
        <v>874</v>
      </c>
      <c r="F289" t="s">
        <v>572</v>
      </c>
      <c r="G289" t="s">
        <v>686</v>
      </c>
      <c r="H289" t="s">
        <v>745</v>
      </c>
      <c r="I289" t="s">
        <v>807</v>
      </c>
      <c r="J289" s="26" t="s">
        <v>525</v>
      </c>
      <c r="K289" s="1" t="s">
        <v>168</v>
      </c>
      <c r="L289" s="1" t="s">
        <v>57</v>
      </c>
      <c r="M289" s="1" t="s">
        <v>112</v>
      </c>
      <c r="N289" s="1" t="s">
        <v>73</v>
      </c>
      <c r="O289" s="1" t="s">
        <v>176</v>
      </c>
      <c r="P289" s="9">
        <v>44683</v>
      </c>
      <c r="Q289" s="1" t="s">
        <v>477</v>
      </c>
      <c r="R289" s="1" t="s">
        <v>63</v>
      </c>
      <c r="S289" s="1">
        <v>3</v>
      </c>
      <c r="T289" s="12">
        <v>0.375</v>
      </c>
      <c r="U289" s="12">
        <v>0.4375</v>
      </c>
      <c r="V289" s="1">
        <v>1.5</v>
      </c>
      <c r="W289" s="1">
        <v>1.5</v>
      </c>
      <c r="X289" s="5">
        <f t="shared" si="12"/>
        <v>4.5</v>
      </c>
      <c r="Y289" s="5" t="str">
        <f t="shared" si="13"/>
        <v>C</v>
      </c>
    </row>
    <row r="290" spans="2:25" x14ac:dyDescent="0.25">
      <c r="B290" s="11">
        <v>44684</v>
      </c>
      <c r="C290" s="7">
        <v>600004006936</v>
      </c>
      <c r="D290" s="5">
        <v>1</v>
      </c>
      <c r="E290" t="s">
        <v>499</v>
      </c>
      <c r="F290" t="s">
        <v>543</v>
      </c>
      <c r="G290" t="s">
        <v>648</v>
      </c>
      <c r="H290" t="s">
        <v>745</v>
      </c>
      <c r="I290" t="s">
        <v>769</v>
      </c>
      <c r="J290" s="26" t="s">
        <v>525</v>
      </c>
      <c r="K290" s="5" t="s">
        <v>15</v>
      </c>
      <c r="L290" s="1" t="s">
        <v>71</v>
      </c>
      <c r="M290" s="1" t="s">
        <v>60</v>
      </c>
      <c r="N290" s="1" t="s">
        <v>194</v>
      </c>
      <c r="O290" s="1" t="s">
        <v>19</v>
      </c>
      <c r="P290" s="9">
        <v>44684</v>
      </c>
      <c r="Q290" s="1" t="s">
        <v>479</v>
      </c>
      <c r="R290" s="1" t="s">
        <v>63</v>
      </c>
      <c r="S290" s="1">
        <v>1</v>
      </c>
      <c r="T290" s="12">
        <v>0.51041666666666663</v>
      </c>
      <c r="U290" s="12">
        <v>0.55208333333333337</v>
      </c>
      <c r="V290" s="1">
        <v>1</v>
      </c>
      <c r="W290" s="1">
        <v>1</v>
      </c>
      <c r="X290" s="5">
        <f t="shared" si="12"/>
        <v>1</v>
      </c>
      <c r="Y290" s="1" t="str">
        <f t="shared" si="13"/>
        <v>C</v>
      </c>
    </row>
    <row r="291" spans="2:25" x14ac:dyDescent="0.25">
      <c r="B291" s="11">
        <v>44684</v>
      </c>
      <c r="C291" s="7">
        <v>600004006938</v>
      </c>
      <c r="D291" s="5">
        <v>1</v>
      </c>
      <c r="E291" t="s">
        <v>517</v>
      </c>
      <c r="F291" t="s">
        <v>561</v>
      </c>
      <c r="G291" t="s">
        <v>666</v>
      </c>
      <c r="H291" t="s">
        <v>745</v>
      </c>
      <c r="I291" t="s">
        <v>787</v>
      </c>
      <c r="J291" s="27" t="s">
        <v>525</v>
      </c>
      <c r="K291" s="5" t="s">
        <v>15</v>
      </c>
      <c r="L291" s="1" t="s">
        <v>71</v>
      </c>
      <c r="M291" s="1" t="s">
        <v>126</v>
      </c>
      <c r="N291" s="1" t="s">
        <v>84</v>
      </c>
      <c r="O291" s="1" t="s">
        <v>19</v>
      </c>
      <c r="P291" s="9">
        <v>44684</v>
      </c>
      <c r="Q291" s="1" t="s">
        <v>479</v>
      </c>
      <c r="R291" s="1" t="s">
        <v>63</v>
      </c>
      <c r="S291" s="1">
        <v>1</v>
      </c>
      <c r="T291" s="12">
        <v>0.5625</v>
      </c>
      <c r="U291" s="12">
        <v>0.60416666666666663</v>
      </c>
      <c r="V291" s="1">
        <v>1</v>
      </c>
      <c r="W291" s="1">
        <v>1</v>
      </c>
      <c r="X291" s="5">
        <f t="shared" si="12"/>
        <v>1</v>
      </c>
      <c r="Y291" s="5" t="str">
        <f t="shared" si="13"/>
        <v>C</v>
      </c>
    </row>
    <row r="292" spans="2:25" x14ac:dyDescent="0.25">
      <c r="B292" s="11">
        <v>44684</v>
      </c>
      <c r="C292" s="7">
        <v>600004006933</v>
      </c>
      <c r="D292" s="5">
        <v>1</v>
      </c>
      <c r="E292" t="s">
        <v>505</v>
      </c>
      <c r="F292" t="s">
        <v>549</v>
      </c>
      <c r="G292" t="s">
        <v>654</v>
      </c>
      <c r="H292" t="s">
        <v>745</v>
      </c>
      <c r="I292" t="s">
        <v>775</v>
      </c>
      <c r="J292" s="27" t="s">
        <v>525</v>
      </c>
      <c r="K292" s="5" t="s">
        <v>15</v>
      </c>
      <c r="L292" s="1" t="s">
        <v>57</v>
      </c>
      <c r="M292" s="1" t="s">
        <v>71</v>
      </c>
      <c r="N292" s="1" t="s">
        <v>84</v>
      </c>
      <c r="O292" s="1" t="s">
        <v>19</v>
      </c>
      <c r="P292" s="9">
        <v>44684</v>
      </c>
      <c r="Q292" s="1" t="s">
        <v>477</v>
      </c>
      <c r="R292" s="1" t="s">
        <v>63</v>
      </c>
      <c r="S292" s="1">
        <v>1</v>
      </c>
      <c r="T292" s="12">
        <v>0.625</v>
      </c>
      <c r="U292" s="12">
        <v>0.66666666666666663</v>
      </c>
      <c r="V292" s="1">
        <v>1</v>
      </c>
      <c r="W292" s="1">
        <v>1</v>
      </c>
      <c r="X292" s="1">
        <f t="shared" si="12"/>
        <v>1</v>
      </c>
      <c r="Y292" s="5" t="str">
        <f t="shared" si="13"/>
        <v>C</v>
      </c>
    </row>
    <row r="293" spans="2:25" x14ac:dyDescent="0.25">
      <c r="B293" s="11">
        <v>44684</v>
      </c>
      <c r="C293" s="7">
        <v>600004006934</v>
      </c>
      <c r="D293" s="5">
        <v>1</v>
      </c>
      <c r="E293" t="s">
        <v>511</v>
      </c>
      <c r="F293" t="s">
        <v>555</v>
      </c>
      <c r="G293" t="s">
        <v>660</v>
      </c>
      <c r="H293" t="s">
        <v>745</v>
      </c>
      <c r="I293" t="s">
        <v>781</v>
      </c>
      <c r="J293" s="26" t="s">
        <v>525</v>
      </c>
      <c r="K293" s="5" t="s">
        <v>15</v>
      </c>
      <c r="L293" s="1" t="s">
        <v>57</v>
      </c>
      <c r="M293" s="1" t="s">
        <v>71</v>
      </c>
      <c r="N293" s="1" t="s">
        <v>194</v>
      </c>
      <c r="O293" s="1" t="s">
        <v>19</v>
      </c>
      <c r="P293" s="9">
        <v>44685</v>
      </c>
      <c r="Q293" s="1" t="s">
        <v>477</v>
      </c>
      <c r="R293" s="1" t="s">
        <v>63</v>
      </c>
      <c r="S293" s="1">
        <v>1</v>
      </c>
      <c r="T293" s="12">
        <v>0.54166666666666663</v>
      </c>
      <c r="U293" s="12">
        <v>0.58333333333333337</v>
      </c>
      <c r="V293" s="1">
        <v>1</v>
      </c>
      <c r="W293" s="1">
        <v>1</v>
      </c>
      <c r="X293" s="5">
        <f t="shared" si="12"/>
        <v>1</v>
      </c>
      <c r="Y293" s="5" t="str">
        <f t="shared" si="13"/>
        <v>C</v>
      </c>
    </row>
    <row r="294" spans="2:25" x14ac:dyDescent="0.25">
      <c r="B294" s="11">
        <v>44684</v>
      </c>
      <c r="C294" s="7">
        <v>600004006940</v>
      </c>
      <c r="D294" s="4">
        <v>1</v>
      </c>
      <c r="E294" t="s">
        <v>496</v>
      </c>
      <c r="F294" t="s">
        <v>540</v>
      </c>
      <c r="G294" t="s">
        <v>645</v>
      </c>
      <c r="H294" t="s">
        <v>745</v>
      </c>
      <c r="I294" t="s">
        <v>766</v>
      </c>
      <c r="J294" s="29" t="s">
        <v>525</v>
      </c>
      <c r="K294" s="4" t="s">
        <v>15</v>
      </c>
      <c r="L294" s="1" t="s">
        <v>57</v>
      </c>
      <c r="M294" s="1" t="s">
        <v>71</v>
      </c>
      <c r="N294" s="1" t="s">
        <v>257</v>
      </c>
      <c r="O294" s="1" t="s">
        <v>19</v>
      </c>
      <c r="P294" s="9">
        <v>44690</v>
      </c>
      <c r="Q294" s="1" t="s">
        <v>476</v>
      </c>
      <c r="R294" s="1" t="s">
        <v>63</v>
      </c>
      <c r="S294" s="1">
        <v>1</v>
      </c>
      <c r="T294" s="12">
        <v>0.5625</v>
      </c>
      <c r="U294" s="12">
        <v>0.60416666666666663</v>
      </c>
      <c r="V294" s="1">
        <v>1</v>
      </c>
      <c r="W294" s="1">
        <v>1</v>
      </c>
      <c r="X294" s="5">
        <f t="shared" si="12"/>
        <v>1</v>
      </c>
      <c r="Y294" s="5" t="str">
        <f t="shared" si="13"/>
        <v>C</v>
      </c>
    </row>
    <row r="295" spans="2:25" x14ac:dyDescent="0.25">
      <c r="B295" s="11">
        <v>44684</v>
      </c>
      <c r="C295" s="7">
        <v>600004006941</v>
      </c>
      <c r="D295" s="1">
        <v>1</v>
      </c>
      <c r="E295" t="s">
        <v>864</v>
      </c>
      <c r="F295" t="s">
        <v>571</v>
      </c>
      <c r="G295" t="s">
        <v>676</v>
      </c>
      <c r="H295" t="s">
        <v>745</v>
      </c>
      <c r="I295" t="s">
        <v>797</v>
      </c>
      <c r="J295" s="26" t="s">
        <v>525</v>
      </c>
      <c r="K295" s="1" t="s">
        <v>15</v>
      </c>
      <c r="L295" s="1" t="s">
        <v>57</v>
      </c>
      <c r="M295" s="1" t="s">
        <v>71</v>
      </c>
      <c r="N295" s="1" t="s">
        <v>194</v>
      </c>
      <c r="O295" s="1" t="s">
        <v>19</v>
      </c>
      <c r="P295" s="9">
        <v>44687</v>
      </c>
      <c r="Q295" s="1" t="s">
        <v>476</v>
      </c>
      <c r="R295" s="1" t="s">
        <v>63</v>
      </c>
      <c r="S295" s="1">
        <v>1</v>
      </c>
      <c r="T295" s="12">
        <v>0.60416666666666663</v>
      </c>
      <c r="U295" s="12">
        <v>0.64583333333333337</v>
      </c>
      <c r="V295" s="1">
        <v>1</v>
      </c>
      <c r="W295" s="1">
        <v>1</v>
      </c>
      <c r="X295" s="5">
        <f t="shared" si="12"/>
        <v>1</v>
      </c>
      <c r="Y295" s="5" t="str">
        <f t="shared" si="13"/>
        <v>C</v>
      </c>
    </row>
    <row r="296" spans="2:25" x14ac:dyDescent="0.25">
      <c r="B296" s="11">
        <v>44684</v>
      </c>
      <c r="C296" s="7">
        <v>600004006939</v>
      </c>
      <c r="D296" s="5">
        <v>1</v>
      </c>
      <c r="E296" t="s">
        <v>866</v>
      </c>
      <c r="F296" t="s">
        <v>573</v>
      </c>
      <c r="G296" t="s">
        <v>678</v>
      </c>
      <c r="H296" t="s">
        <v>745</v>
      </c>
      <c r="I296" t="s">
        <v>799</v>
      </c>
      <c r="J296" s="27" t="s">
        <v>524</v>
      </c>
      <c r="K296" s="5" t="s">
        <v>15</v>
      </c>
      <c r="L296" s="1" t="s">
        <v>57</v>
      </c>
      <c r="M296" s="1" t="s">
        <v>71</v>
      </c>
      <c r="N296" s="1" t="s">
        <v>194</v>
      </c>
      <c r="O296" s="1" t="s">
        <v>19</v>
      </c>
      <c r="P296" s="9">
        <v>44690</v>
      </c>
      <c r="Q296" s="12" t="s">
        <v>476</v>
      </c>
      <c r="R296" s="1" t="s">
        <v>63</v>
      </c>
      <c r="S296" s="1">
        <v>1</v>
      </c>
      <c r="T296" s="12">
        <v>0.60416666666666663</v>
      </c>
      <c r="U296" s="12">
        <v>0.64583333333333337</v>
      </c>
      <c r="V296" s="1">
        <v>1</v>
      </c>
      <c r="W296" s="1">
        <v>1</v>
      </c>
      <c r="X296" s="5">
        <f t="shared" si="12"/>
        <v>1</v>
      </c>
      <c r="Y296" s="1" t="str">
        <f t="shared" si="13"/>
        <v>C</v>
      </c>
    </row>
    <row r="297" spans="2:25" x14ac:dyDescent="0.25">
      <c r="B297" s="11">
        <v>44684</v>
      </c>
      <c r="C297" s="7">
        <v>600004006943</v>
      </c>
      <c r="D297" s="5">
        <v>1</v>
      </c>
      <c r="E297" t="s">
        <v>894</v>
      </c>
      <c r="F297" t="s">
        <v>599</v>
      </c>
      <c r="G297" t="s">
        <v>706</v>
      </c>
      <c r="H297" t="s">
        <v>741</v>
      </c>
      <c r="I297" t="s">
        <v>827</v>
      </c>
      <c r="J297" s="27" t="s">
        <v>524</v>
      </c>
      <c r="K297" s="5" t="s">
        <v>90</v>
      </c>
      <c r="L297" s="1" t="s">
        <v>57</v>
      </c>
      <c r="M297" s="1" t="s">
        <v>259</v>
      </c>
      <c r="N297" s="1" t="s">
        <v>67</v>
      </c>
      <c r="O297" s="1" t="s">
        <v>176</v>
      </c>
      <c r="P297" s="9">
        <v>44685</v>
      </c>
      <c r="Q297" s="1" t="s">
        <v>474</v>
      </c>
      <c r="R297" s="1" t="s">
        <v>63</v>
      </c>
      <c r="S297" s="1">
        <v>2</v>
      </c>
      <c r="T297" s="12">
        <v>0.54166666666666663</v>
      </c>
      <c r="U297" s="12">
        <v>0.66666666666666663</v>
      </c>
      <c r="V297" s="1">
        <v>3</v>
      </c>
      <c r="W297" s="1">
        <v>3</v>
      </c>
      <c r="X297" s="5">
        <f t="shared" si="12"/>
        <v>6</v>
      </c>
      <c r="Y297" s="5" t="str">
        <f t="shared" si="13"/>
        <v>B</v>
      </c>
    </row>
    <row r="298" spans="2:25" x14ac:dyDescent="0.25">
      <c r="B298" s="11">
        <v>44685</v>
      </c>
      <c r="C298" s="7">
        <v>600004007132</v>
      </c>
      <c r="D298" s="5">
        <v>1</v>
      </c>
      <c r="E298" t="s">
        <v>895</v>
      </c>
      <c r="F298" t="s">
        <v>600</v>
      </c>
      <c r="G298" t="s">
        <v>707</v>
      </c>
      <c r="H298" t="s">
        <v>750</v>
      </c>
      <c r="I298" t="s">
        <v>828</v>
      </c>
      <c r="J298" s="27" t="s">
        <v>525</v>
      </c>
      <c r="K298" s="5" t="s">
        <v>15</v>
      </c>
      <c r="L298" s="1" t="s">
        <v>16</v>
      </c>
      <c r="M298" s="1" t="s">
        <v>65</v>
      </c>
      <c r="N298" s="1" t="s">
        <v>67</v>
      </c>
      <c r="O298" s="1" t="s">
        <v>176</v>
      </c>
      <c r="P298" s="9">
        <v>44685</v>
      </c>
      <c r="Q298" s="1" t="s">
        <v>479</v>
      </c>
      <c r="R298" s="1" t="s">
        <v>63</v>
      </c>
      <c r="S298" s="1">
        <v>2</v>
      </c>
      <c r="T298" s="12">
        <v>0.4375</v>
      </c>
      <c r="U298" s="12">
        <v>0.47916666666666669</v>
      </c>
      <c r="V298" s="1">
        <v>1</v>
      </c>
      <c r="W298" s="1">
        <v>1</v>
      </c>
      <c r="X298" s="5">
        <f t="shared" si="12"/>
        <v>2</v>
      </c>
      <c r="Y298" s="5" t="str">
        <f t="shared" si="13"/>
        <v>C</v>
      </c>
    </row>
    <row r="299" spans="2:25" x14ac:dyDescent="0.25">
      <c r="B299" s="11">
        <v>44685</v>
      </c>
      <c r="C299" s="7">
        <v>600004007128</v>
      </c>
      <c r="D299" s="5">
        <v>1</v>
      </c>
      <c r="E299" t="s">
        <v>489</v>
      </c>
      <c r="F299" t="s">
        <v>533</v>
      </c>
      <c r="G299" t="s">
        <v>638</v>
      </c>
      <c r="H299" t="s">
        <v>745</v>
      </c>
      <c r="I299" t="s">
        <v>759</v>
      </c>
      <c r="J299" s="26" t="s">
        <v>525</v>
      </c>
      <c r="K299" s="5" t="s">
        <v>15</v>
      </c>
      <c r="L299" s="1" t="s">
        <v>16</v>
      </c>
      <c r="M299" s="1" t="s">
        <v>247</v>
      </c>
      <c r="N299" s="1" t="s">
        <v>67</v>
      </c>
      <c r="O299" s="1" t="s">
        <v>176</v>
      </c>
      <c r="P299" s="9">
        <v>44685</v>
      </c>
      <c r="Q299" s="1" t="s">
        <v>479</v>
      </c>
      <c r="R299" s="1" t="s">
        <v>63</v>
      </c>
      <c r="S299" s="1">
        <v>2</v>
      </c>
      <c r="T299" s="12">
        <v>0.36458333333333331</v>
      </c>
      <c r="U299" s="12">
        <v>0.40625</v>
      </c>
      <c r="V299" s="1">
        <v>1</v>
      </c>
      <c r="W299" s="1">
        <v>1</v>
      </c>
      <c r="X299" s="1">
        <f t="shared" si="12"/>
        <v>2</v>
      </c>
      <c r="Y299" s="5" t="str">
        <f t="shared" si="13"/>
        <v>C</v>
      </c>
    </row>
    <row r="300" spans="2:25" x14ac:dyDescent="0.25">
      <c r="B300" s="11">
        <v>44685</v>
      </c>
      <c r="C300" s="7">
        <v>600004007130</v>
      </c>
      <c r="D300" s="5">
        <v>1</v>
      </c>
      <c r="E300" t="s">
        <v>512</v>
      </c>
      <c r="F300" t="s">
        <v>556</v>
      </c>
      <c r="G300" t="s">
        <v>661</v>
      </c>
      <c r="H300" t="s">
        <v>745</v>
      </c>
      <c r="I300" t="s">
        <v>782</v>
      </c>
      <c r="J300" s="26" t="s">
        <v>525</v>
      </c>
      <c r="K300" s="5" t="s">
        <v>88</v>
      </c>
      <c r="L300" s="1" t="s">
        <v>205</v>
      </c>
      <c r="M300" s="1" t="s">
        <v>252</v>
      </c>
      <c r="N300" s="1" t="s">
        <v>253</v>
      </c>
      <c r="O300" s="1" t="s">
        <v>176</v>
      </c>
      <c r="P300" s="9">
        <v>44685</v>
      </c>
      <c r="Q300" s="1" t="s">
        <v>475</v>
      </c>
      <c r="R300" s="1" t="s">
        <v>50</v>
      </c>
      <c r="S300" s="1">
        <v>2</v>
      </c>
      <c r="T300" s="12">
        <v>0.39583333333333331</v>
      </c>
      <c r="U300" s="12">
        <v>0.47916666666666669</v>
      </c>
      <c r="V300" s="1">
        <v>2</v>
      </c>
      <c r="W300" s="1">
        <v>2</v>
      </c>
      <c r="X300" s="5">
        <f t="shared" si="12"/>
        <v>4</v>
      </c>
      <c r="Y300" s="1" t="str">
        <f t="shared" si="13"/>
        <v>C</v>
      </c>
    </row>
    <row r="301" spans="2:25" x14ac:dyDescent="0.25">
      <c r="B301" s="11">
        <v>44686</v>
      </c>
      <c r="C301" s="7">
        <v>600004007400</v>
      </c>
      <c r="D301" s="5">
        <v>1</v>
      </c>
      <c r="E301" t="s">
        <v>896</v>
      </c>
      <c r="F301" t="s">
        <v>601</v>
      </c>
      <c r="G301" t="s">
        <v>708</v>
      </c>
      <c r="H301" t="s">
        <v>743</v>
      </c>
      <c r="I301" t="s">
        <v>829</v>
      </c>
      <c r="J301" s="27" t="s">
        <v>525</v>
      </c>
      <c r="K301" s="5" t="s">
        <v>122</v>
      </c>
      <c r="L301" s="1" t="s">
        <v>79</v>
      </c>
      <c r="M301" s="1" t="s">
        <v>80</v>
      </c>
      <c r="N301" s="1" t="s">
        <v>245</v>
      </c>
      <c r="O301" s="1" t="s">
        <v>176</v>
      </c>
      <c r="P301" s="9">
        <v>44686</v>
      </c>
      <c r="Q301" s="1" t="s">
        <v>475</v>
      </c>
      <c r="R301" s="1" t="s">
        <v>50</v>
      </c>
      <c r="S301" s="1">
        <v>1</v>
      </c>
      <c r="T301" s="12">
        <v>0.29166666666666669</v>
      </c>
      <c r="U301" s="12">
        <v>0.35416666666666669</v>
      </c>
      <c r="V301" s="1">
        <v>1.5</v>
      </c>
      <c r="W301" s="1">
        <v>1.5</v>
      </c>
      <c r="X301" s="5">
        <f t="shared" si="12"/>
        <v>1.5</v>
      </c>
      <c r="Y301" s="5" t="str">
        <f t="shared" si="13"/>
        <v>C</v>
      </c>
    </row>
    <row r="302" spans="2:25" x14ac:dyDescent="0.25">
      <c r="B302" s="11">
        <v>44686</v>
      </c>
      <c r="C302" s="7">
        <v>600004007426</v>
      </c>
      <c r="D302" s="5">
        <v>1</v>
      </c>
      <c r="E302" t="s">
        <v>864</v>
      </c>
      <c r="F302" t="s">
        <v>571</v>
      </c>
      <c r="G302" t="s">
        <v>676</v>
      </c>
      <c r="H302" t="s">
        <v>745</v>
      </c>
      <c r="I302" t="s">
        <v>797</v>
      </c>
      <c r="J302" s="27" t="s">
        <v>525</v>
      </c>
      <c r="K302" s="5" t="s">
        <v>15</v>
      </c>
      <c r="L302" s="1" t="s">
        <v>16</v>
      </c>
      <c r="M302" s="1" t="s">
        <v>112</v>
      </c>
      <c r="N302" s="1" t="s">
        <v>120</v>
      </c>
      <c r="O302" s="1" t="s">
        <v>249</v>
      </c>
      <c r="P302" s="9">
        <v>44687</v>
      </c>
      <c r="Q302" s="1" t="s">
        <v>477</v>
      </c>
      <c r="R302" s="1" t="s">
        <v>63</v>
      </c>
      <c r="S302" s="1">
        <v>3</v>
      </c>
      <c r="T302" s="12">
        <v>0.41666666666666669</v>
      </c>
      <c r="U302" s="12">
        <v>0.45833333333333331</v>
      </c>
      <c r="V302" s="1">
        <v>1</v>
      </c>
      <c r="W302" s="1">
        <v>1</v>
      </c>
      <c r="X302" s="5">
        <f t="shared" si="12"/>
        <v>3</v>
      </c>
      <c r="Y302" s="5" t="str">
        <f t="shared" si="13"/>
        <v>C</v>
      </c>
    </row>
    <row r="303" spans="2:25" x14ac:dyDescent="0.25">
      <c r="B303" s="11">
        <v>44686</v>
      </c>
      <c r="C303" s="7">
        <v>600004007429</v>
      </c>
      <c r="D303" s="5">
        <v>1</v>
      </c>
      <c r="E303" t="s">
        <v>897</v>
      </c>
      <c r="F303" t="s">
        <v>602</v>
      </c>
      <c r="G303" t="s">
        <v>709</v>
      </c>
      <c r="H303" t="s">
        <v>745</v>
      </c>
      <c r="I303" t="s">
        <v>830</v>
      </c>
      <c r="J303" s="26" t="s">
        <v>525</v>
      </c>
      <c r="K303" s="5" t="s">
        <v>15</v>
      </c>
      <c r="L303" s="1" t="s">
        <v>16</v>
      </c>
      <c r="M303" s="1" t="s">
        <v>250</v>
      </c>
      <c r="N303" s="1" t="s">
        <v>45</v>
      </c>
      <c r="O303" s="1" t="s">
        <v>249</v>
      </c>
      <c r="P303" s="9">
        <v>44687</v>
      </c>
      <c r="Q303" s="1" t="s">
        <v>477</v>
      </c>
      <c r="R303" s="1" t="s">
        <v>63</v>
      </c>
      <c r="S303" s="1">
        <v>2</v>
      </c>
      <c r="T303" s="12">
        <v>0.33333333333333331</v>
      </c>
      <c r="U303" s="12">
        <v>0.35416666666666669</v>
      </c>
      <c r="V303" s="1">
        <v>0.5</v>
      </c>
      <c r="W303" s="1">
        <v>0.5</v>
      </c>
      <c r="X303" s="5">
        <f t="shared" si="12"/>
        <v>1</v>
      </c>
      <c r="Y303" s="5" t="str">
        <f t="shared" si="13"/>
        <v>C</v>
      </c>
    </row>
    <row r="304" spans="2:25" x14ac:dyDescent="0.25">
      <c r="B304" s="11">
        <v>44686</v>
      </c>
      <c r="C304" s="7">
        <v>600004007422</v>
      </c>
      <c r="D304" s="5">
        <v>1</v>
      </c>
      <c r="E304" t="s">
        <v>875</v>
      </c>
      <c r="F304" t="s">
        <v>581</v>
      </c>
      <c r="G304" t="s">
        <v>687</v>
      </c>
      <c r="H304" t="s">
        <v>745</v>
      </c>
      <c r="I304" t="s">
        <v>808</v>
      </c>
      <c r="J304" s="27" t="s">
        <v>525</v>
      </c>
      <c r="K304" s="5" t="s">
        <v>15</v>
      </c>
      <c r="L304" s="1" t="s">
        <v>57</v>
      </c>
      <c r="M304" s="1" t="s">
        <v>36</v>
      </c>
      <c r="N304" s="1" t="s">
        <v>251</v>
      </c>
      <c r="O304" s="1" t="s">
        <v>19</v>
      </c>
      <c r="P304" s="9">
        <v>44686</v>
      </c>
      <c r="Q304" s="1" t="s">
        <v>477</v>
      </c>
      <c r="R304" s="1" t="s">
        <v>63</v>
      </c>
      <c r="S304" s="1">
        <v>3</v>
      </c>
      <c r="T304" s="12">
        <v>0.5</v>
      </c>
      <c r="U304" s="12">
        <v>0.58333333333333337</v>
      </c>
      <c r="V304" s="1">
        <v>2</v>
      </c>
      <c r="W304" s="1">
        <v>2</v>
      </c>
      <c r="X304" s="5">
        <f t="shared" si="12"/>
        <v>6</v>
      </c>
      <c r="Y304" s="5" t="str">
        <f t="shared" si="13"/>
        <v>C</v>
      </c>
    </row>
    <row r="305" spans="2:25" x14ac:dyDescent="0.25">
      <c r="B305" s="11">
        <v>44686</v>
      </c>
      <c r="C305" s="7">
        <v>600004007421</v>
      </c>
      <c r="D305" s="5">
        <v>1</v>
      </c>
      <c r="E305" t="s">
        <v>504</v>
      </c>
      <c r="F305" t="s">
        <v>548</v>
      </c>
      <c r="G305" t="s">
        <v>653</v>
      </c>
      <c r="H305" t="s">
        <v>745</v>
      </c>
      <c r="I305" t="s">
        <v>774</v>
      </c>
      <c r="J305" s="27" t="s">
        <v>525</v>
      </c>
      <c r="K305" s="5" t="s">
        <v>15</v>
      </c>
      <c r="L305" s="1" t="s">
        <v>16</v>
      </c>
      <c r="M305" s="1" t="s">
        <v>112</v>
      </c>
      <c r="N305" s="1" t="s">
        <v>120</v>
      </c>
      <c r="O305" s="1" t="s">
        <v>19</v>
      </c>
      <c r="P305" s="9">
        <v>44688</v>
      </c>
      <c r="Q305" s="1" t="s">
        <v>479</v>
      </c>
      <c r="R305" s="1" t="s">
        <v>63</v>
      </c>
      <c r="S305" s="1">
        <v>1</v>
      </c>
      <c r="T305" s="12">
        <v>0.35416666666666669</v>
      </c>
      <c r="U305" s="12">
        <v>0.39583333333333331</v>
      </c>
      <c r="V305" s="1">
        <v>1</v>
      </c>
      <c r="W305" s="1">
        <v>1</v>
      </c>
      <c r="X305" s="5">
        <f t="shared" si="12"/>
        <v>1</v>
      </c>
      <c r="Y305" s="5" t="str">
        <f t="shared" si="13"/>
        <v>C</v>
      </c>
    </row>
    <row r="306" spans="2:25" x14ac:dyDescent="0.25">
      <c r="B306" s="11">
        <v>44686</v>
      </c>
      <c r="C306" s="7">
        <v>600004007420</v>
      </c>
      <c r="D306" s="5">
        <v>1</v>
      </c>
      <c r="E306" t="s">
        <v>505</v>
      </c>
      <c r="F306" t="s">
        <v>549</v>
      </c>
      <c r="G306" t="s">
        <v>654</v>
      </c>
      <c r="H306" t="s">
        <v>745</v>
      </c>
      <c r="I306" t="s">
        <v>775</v>
      </c>
      <c r="J306" s="27" t="s">
        <v>525</v>
      </c>
      <c r="K306" s="5" t="s">
        <v>15</v>
      </c>
      <c r="L306" s="1" t="s">
        <v>16</v>
      </c>
      <c r="M306" s="1" t="s">
        <v>67</v>
      </c>
      <c r="N306" s="1" t="s">
        <v>120</v>
      </c>
      <c r="O306" s="1" t="s">
        <v>19</v>
      </c>
      <c r="P306" s="9">
        <v>44686</v>
      </c>
      <c r="Q306" s="1" t="s">
        <v>476</v>
      </c>
      <c r="R306" s="1" t="s">
        <v>63</v>
      </c>
      <c r="S306" s="1">
        <v>1</v>
      </c>
      <c r="T306" s="12">
        <v>0.54166666666666663</v>
      </c>
      <c r="U306" s="12">
        <v>0.58333333333333337</v>
      </c>
      <c r="V306" s="1">
        <v>1</v>
      </c>
      <c r="W306" s="1">
        <v>1</v>
      </c>
      <c r="X306" s="1">
        <f t="shared" si="12"/>
        <v>1</v>
      </c>
      <c r="Y306" s="1" t="str">
        <f t="shared" si="13"/>
        <v>C</v>
      </c>
    </row>
    <row r="307" spans="2:25" x14ac:dyDescent="0.25">
      <c r="B307" s="11">
        <v>44686</v>
      </c>
      <c r="C307" s="7">
        <v>600004007401</v>
      </c>
      <c r="D307" s="5">
        <v>1</v>
      </c>
      <c r="E307" t="s">
        <v>515</v>
      </c>
      <c r="F307" t="s">
        <v>559</v>
      </c>
      <c r="G307" t="s">
        <v>664</v>
      </c>
      <c r="H307" t="s">
        <v>745</v>
      </c>
      <c r="I307" t="s">
        <v>785</v>
      </c>
      <c r="J307" s="27" t="s">
        <v>525</v>
      </c>
      <c r="K307" s="5" t="s">
        <v>122</v>
      </c>
      <c r="L307" s="1" t="s">
        <v>184</v>
      </c>
      <c r="M307" s="1" t="s">
        <v>203</v>
      </c>
      <c r="N307" s="1" t="s">
        <v>254</v>
      </c>
      <c r="O307" s="1" t="s">
        <v>176</v>
      </c>
      <c r="P307" s="9">
        <v>44686</v>
      </c>
      <c r="Q307" s="1" t="s">
        <v>479</v>
      </c>
      <c r="R307" s="1" t="s">
        <v>63</v>
      </c>
      <c r="S307" s="1">
        <v>3</v>
      </c>
      <c r="T307" s="12">
        <v>0.375</v>
      </c>
      <c r="U307" s="12">
        <v>0.41666666666666669</v>
      </c>
      <c r="V307" s="1">
        <v>1</v>
      </c>
      <c r="W307" s="1">
        <v>1</v>
      </c>
      <c r="X307" s="5">
        <f t="shared" si="12"/>
        <v>3</v>
      </c>
      <c r="Y307" s="5" t="str">
        <f t="shared" si="13"/>
        <v>C</v>
      </c>
    </row>
    <row r="308" spans="2:25" x14ac:dyDescent="0.25">
      <c r="B308" s="11">
        <v>44686</v>
      </c>
      <c r="C308" s="7">
        <v>600004007425</v>
      </c>
      <c r="D308" s="5">
        <v>1</v>
      </c>
      <c r="E308" t="s">
        <v>865</v>
      </c>
      <c r="F308" t="s">
        <v>572</v>
      </c>
      <c r="G308" t="s">
        <v>677</v>
      </c>
      <c r="H308" t="s">
        <v>745</v>
      </c>
      <c r="I308" t="s">
        <v>798</v>
      </c>
      <c r="J308" s="27" t="s">
        <v>525</v>
      </c>
      <c r="K308" s="5" t="s">
        <v>168</v>
      </c>
      <c r="L308" s="1" t="s">
        <v>57</v>
      </c>
      <c r="M308" s="1" t="s">
        <v>55</v>
      </c>
      <c r="N308" s="1" t="s">
        <v>45</v>
      </c>
      <c r="O308" s="1" t="s">
        <v>19</v>
      </c>
      <c r="P308" s="9">
        <v>44688</v>
      </c>
      <c r="Q308" s="1" t="s">
        <v>479</v>
      </c>
      <c r="R308" s="1" t="s">
        <v>63</v>
      </c>
      <c r="S308" s="1">
        <v>1</v>
      </c>
      <c r="T308" s="12">
        <v>0.41666666666666669</v>
      </c>
      <c r="U308" s="12">
        <v>0.45833333333333331</v>
      </c>
      <c r="V308" s="1">
        <v>1</v>
      </c>
      <c r="W308" s="1">
        <v>1</v>
      </c>
      <c r="X308" s="5">
        <f t="shared" si="12"/>
        <v>1</v>
      </c>
      <c r="Y308" s="5" t="str">
        <f t="shared" si="13"/>
        <v>C</v>
      </c>
    </row>
    <row r="309" spans="2:25" x14ac:dyDescent="0.25">
      <c r="B309" s="11">
        <v>44686</v>
      </c>
      <c r="C309" s="7">
        <v>600004007407</v>
      </c>
      <c r="D309" s="5">
        <v>1</v>
      </c>
      <c r="E309" t="s">
        <v>522</v>
      </c>
      <c r="F309" t="s">
        <v>566</v>
      </c>
      <c r="G309" t="s">
        <v>671</v>
      </c>
      <c r="H309" t="s">
        <v>746</v>
      </c>
      <c r="I309" t="s">
        <v>792</v>
      </c>
      <c r="J309" s="27" t="s">
        <v>525</v>
      </c>
      <c r="K309" s="5" t="s">
        <v>185</v>
      </c>
      <c r="L309" s="1" t="s">
        <v>36</v>
      </c>
      <c r="M309" s="1" t="s">
        <v>260</v>
      </c>
      <c r="N309" s="1" t="s">
        <v>251</v>
      </c>
      <c r="O309" s="1" t="s">
        <v>19</v>
      </c>
      <c r="P309" s="9">
        <v>44692</v>
      </c>
      <c r="Q309" s="1" t="s">
        <v>476</v>
      </c>
      <c r="R309" s="1" t="s">
        <v>63</v>
      </c>
      <c r="S309" s="1">
        <v>1</v>
      </c>
      <c r="T309" s="12">
        <v>0.625</v>
      </c>
      <c r="U309" s="12">
        <v>0.66666666666666663</v>
      </c>
      <c r="V309" s="1">
        <v>1</v>
      </c>
      <c r="W309" s="1">
        <v>1</v>
      </c>
      <c r="X309" s="5">
        <f t="shared" si="12"/>
        <v>1</v>
      </c>
      <c r="Y309" s="5" t="str">
        <f t="shared" si="13"/>
        <v>C</v>
      </c>
    </row>
    <row r="310" spans="2:25" x14ac:dyDescent="0.25">
      <c r="B310" s="11">
        <v>44687</v>
      </c>
      <c r="C310" s="7">
        <v>600004007806</v>
      </c>
      <c r="D310" s="5">
        <v>1</v>
      </c>
      <c r="E310" t="s">
        <v>495</v>
      </c>
      <c r="F310" t="s">
        <v>539</v>
      </c>
      <c r="G310" t="s">
        <v>644</v>
      </c>
      <c r="H310" t="s">
        <v>740</v>
      </c>
      <c r="I310" t="s">
        <v>765</v>
      </c>
      <c r="J310" s="27" t="s">
        <v>524</v>
      </c>
      <c r="K310" s="5" t="s">
        <v>70</v>
      </c>
      <c r="L310" s="1" t="s">
        <v>57</v>
      </c>
      <c r="M310" s="1" t="s">
        <v>45</v>
      </c>
      <c r="N310" s="1" t="s">
        <v>222</v>
      </c>
      <c r="O310" s="1" t="s">
        <v>176</v>
      </c>
      <c r="P310" s="9">
        <v>44688</v>
      </c>
      <c r="Q310" s="1" t="s">
        <v>474</v>
      </c>
      <c r="R310" s="1" t="s">
        <v>63</v>
      </c>
      <c r="S310" s="1">
        <v>2</v>
      </c>
      <c r="T310" s="12">
        <v>0.25</v>
      </c>
      <c r="U310" s="12">
        <v>0.41666666666666669</v>
      </c>
      <c r="V310" s="1">
        <v>4</v>
      </c>
      <c r="W310" s="1">
        <v>4</v>
      </c>
      <c r="X310" s="5">
        <f t="shared" si="12"/>
        <v>8</v>
      </c>
      <c r="Y310" s="1" t="str">
        <f t="shared" si="13"/>
        <v>B</v>
      </c>
    </row>
    <row r="311" spans="2:25" x14ac:dyDescent="0.25">
      <c r="B311" s="11">
        <v>44690</v>
      </c>
      <c r="C311" s="7">
        <v>600004008247</v>
      </c>
      <c r="D311" s="5">
        <v>1</v>
      </c>
      <c r="E311" t="s">
        <v>512</v>
      </c>
      <c r="F311" t="s">
        <v>556</v>
      </c>
      <c r="G311" t="s">
        <v>661</v>
      </c>
      <c r="H311" t="s">
        <v>745</v>
      </c>
      <c r="I311" t="s">
        <v>782</v>
      </c>
      <c r="J311" s="27" t="s">
        <v>525</v>
      </c>
      <c r="K311" s="5" t="s">
        <v>88</v>
      </c>
      <c r="L311" s="1" t="s">
        <v>248</v>
      </c>
      <c r="M311" s="1" t="s">
        <v>129</v>
      </c>
      <c r="N311" s="1" t="s">
        <v>130</v>
      </c>
      <c r="O311" s="1" t="s">
        <v>176</v>
      </c>
      <c r="P311" s="9">
        <v>44690</v>
      </c>
      <c r="Q311" s="1" t="s">
        <v>479</v>
      </c>
      <c r="R311" s="1" t="s">
        <v>63</v>
      </c>
      <c r="S311" s="1">
        <v>3</v>
      </c>
      <c r="T311" s="12">
        <v>0.30208333333333331</v>
      </c>
      <c r="U311" s="12">
        <v>0.34375</v>
      </c>
      <c r="V311" s="1">
        <v>1</v>
      </c>
      <c r="W311" s="1">
        <v>1</v>
      </c>
      <c r="X311" s="5">
        <f t="shared" si="12"/>
        <v>3</v>
      </c>
      <c r="Y311" s="5" t="str">
        <f t="shared" si="13"/>
        <v>C</v>
      </c>
    </row>
    <row r="312" spans="2:25" x14ac:dyDescent="0.25">
      <c r="B312" s="11">
        <v>44691</v>
      </c>
      <c r="C312" s="7">
        <v>600004008510</v>
      </c>
      <c r="D312" s="4">
        <v>1</v>
      </c>
      <c r="E312" t="s">
        <v>496</v>
      </c>
      <c r="F312" t="s">
        <v>540</v>
      </c>
      <c r="G312" t="s">
        <v>645</v>
      </c>
      <c r="H312" t="s">
        <v>745</v>
      </c>
      <c r="I312" t="s">
        <v>766</v>
      </c>
      <c r="J312" s="29" t="s">
        <v>525</v>
      </c>
      <c r="K312" s="4" t="s">
        <v>15</v>
      </c>
      <c r="L312" s="1" t="s">
        <v>16</v>
      </c>
      <c r="M312" s="1" t="s">
        <v>119</v>
      </c>
      <c r="N312" s="1" t="s">
        <v>120</v>
      </c>
      <c r="O312" s="1" t="s">
        <v>176</v>
      </c>
      <c r="P312" s="9">
        <v>44691</v>
      </c>
      <c r="Q312" s="1" t="s">
        <v>479</v>
      </c>
      <c r="R312" s="1" t="s">
        <v>63</v>
      </c>
      <c r="S312" s="1">
        <v>2</v>
      </c>
      <c r="T312" s="12">
        <v>0.52083333333333337</v>
      </c>
      <c r="U312" s="12">
        <v>0.5625</v>
      </c>
      <c r="V312" s="1">
        <v>1</v>
      </c>
      <c r="W312" s="1">
        <v>1</v>
      </c>
      <c r="X312" s="5">
        <f t="shared" si="12"/>
        <v>2</v>
      </c>
      <c r="Y312" s="5" t="str">
        <f t="shared" si="13"/>
        <v>C</v>
      </c>
    </row>
    <row r="313" spans="2:25" x14ac:dyDescent="0.25">
      <c r="B313" s="11">
        <v>44691</v>
      </c>
      <c r="C313" s="7">
        <v>600004008511</v>
      </c>
      <c r="D313" s="5">
        <v>1</v>
      </c>
      <c r="E313" t="s">
        <v>875</v>
      </c>
      <c r="F313" t="s">
        <v>581</v>
      </c>
      <c r="G313" t="s">
        <v>687</v>
      </c>
      <c r="H313" t="s">
        <v>745</v>
      </c>
      <c r="I313" t="s">
        <v>808</v>
      </c>
      <c r="J313" s="27" t="s">
        <v>525</v>
      </c>
      <c r="K313" s="5" t="s">
        <v>15</v>
      </c>
      <c r="L313" s="1" t="s">
        <v>16</v>
      </c>
      <c r="M313" s="1" t="s">
        <v>119</v>
      </c>
      <c r="N313" s="1" t="s">
        <v>67</v>
      </c>
      <c r="O313" s="1" t="s">
        <v>176</v>
      </c>
      <c r="P313" s="9">
        <v>44691</v>
      </c>
      <c r="Q313" s="1" t="s">
        <v>476</v>
      </c>
      <c r="R313" s="1" t="s">
        <v>63</v>
      </c>
      <c r="S313" s="1">
        <v>1</v>
      </c>
      <c r="T313" s="12">
        <v>0.54166666666666663</v>
      </c>
      <c r="U313" s="12">
        <v>0.58333333333333337</v>
      </c>
      <c r="V313" s="1">
        <v>1</v>
      </c>
      <c r="W313" s="1">
        <v>1</v>
      </c>
      <c r="X313" s="1">
        <f t="shared" si="12"/>
        <v>1</v>
      </c>
      <c r="Y313" s="5" t="str">
        <f t="shared" si="13"/>
        <v>C</v>
      </c>
    </row>
    <row r="314" spans="2:25" x14ac:dyDescent="0.25">
      <c r="B314" s="11">
        <v>44692</v>
      </c>
      <c r="C314" s="7">
        <v>600004008772</v>
      </c>
      <c r="D314" s="5">
        <v>1</v>
      </c>
      <c r="E314" t="s">
        <v>512</v>
      </c>
      <c r="F314" t="s">
        <v>556</v>
      </c>
      <c r="G314" t="s">
        <v>661</v>
      </c>
      <c r="H314" t="s">
        <v>745</v>
      </c>
      <c r="I314" t="s">
        <v>782</v>
      </c>
      <c r="J314" s="27" t="s">
        <v>525</v>
      </c>
      <c r="K314" s="5" t="s">
        <v>88</v>
      </c>
      <c r="L314" s="1" t="s">
        <v>89</v>
      </c>
      <c r="M314" s="1" t="s">
        <v>36</v>
      </c>
      <c r="N314" s="1" t="s">
        <v>255</v>
      </c>
      <c r="O314" s="1" t="s">
        <v>176</v>
      </c>
      <c r="P314" s="9">
        <v>44692</v>
      </c>
      <c r="Q314" s="1" t="s">
        <v>479</v>
      </c>
      <c r="R314" s="1" t="s">
        <v>63</v>
      </c>
      <c r="S314" s="1">
        <v>2</v>
      </c>
      <c r="T314" s="12">
        <v>0.375</v>
      </c>
      <c r="U314" s="12">
        <v>0.41666666666666669</v>
      </c>
      <c r="V314" s="1">
        <v>1</v>
      </c>
      <c r="W314" s="1">
        <v>1</v>
      </c>
      <c r="X314" s="5">
        <f t="shared" si="12"/>
        <v>2</v>
      </c>
      <c r="Y314" s="5" t="str">
        <f t="shared" si="13"/>
        <v>C</v>
      </c>
    </row>
    <row r="315" spans="2:25" x14ac:dyDescent="0.25">
      <c r="B315" s="11">
        <v>44693</v>
      </c>
      <c r="C315" s="7">
        <v>600004008923</v>
      </c>
      <c r="D315" s="5">
        <v>1</v>
      </c>
      <c r="E315" t="s">
        <v>869</v>
      </c>
      <c r="F315" t="s">
        <v>576</v>
      </c>
      <c r="G315" t="s">
        <v>681</v>
      </c>
      <c r="H315" t="s">
        <v>745</v>
      </c>
      <c r="I315" t="s">
        <v>802</v>
      </c>
      <c r="J315" s="27" t="s">
        <v>525</v>
      </c>
      <c r="K315" s="5" t="s">
        <v>15</v>
      </c>
      <c r="L315" s="1" t="s">
        <v>65</v>
      </c>
      <c r="M315" s="1" t="s">
        <v>135</v>
      </c>
      <c r="N315" s="1" t="s">
        <v>138</v>
      </c>
      <c r="O315" s="1" t="s">
        <v>176</v>
      </c>
      <c r="P315" s="9">
        <v>44693</v>
      </c>
      <c r="Q315" s="1" t="s">
        <v>479</v>
      </c>
      <c r="R315" s="1" t="s">
        <v>63</v>
      </c>
      <c r="S315" s="1">
        <v>3</v>
      </c>
      <c r="T315" s="12">
        <v>0.34375</v>
      </c>
      <c r="U315" s="12">
        <v>0.38541666666666669</v>
      </c>
      <c r="V315" s="1">
        <v>1</v>
      </c>
      <c r="W315" s="1">
        <v>1</v>
      </c>
      <c r="X315" s="5">
        <f t="shared" si="12"/>
        <v>3</v>
      </c>
      <c r="Y315" s="5" t="str">
        <f t="shared" si="13"/>
        <v>C</v>
      </c>
    </row>
    <row r="316" spans="2:25" x14ac:dyDescent="0.25">
      <c r="B316" s="11">
        <v>44694</v>
      </c>
      <c r="C316" s="7">
        <v>600004009130</v>
      </c>
      <c r="D316" s="1">
        <v>1</v>
      </c>
      <c r="E316" t="s">
        <v>866</v>
      </c>
      <c r="F316" t="s">
        <v>573</v>
      </c>
      <c r="G316" t="s">
        <v>678</v>
      </c>
      <c r="H316" t="s">
        <v>745</v>
      </c>
      <c r="I316" t="s">
        <v>799</v>
      </c>
      <c r="J316" s="26" t="s">
        <v>524</v>
      </c>
      <c r="K316" s="1" t="s">
        <v>15</v>
      </c>
      <c r="L316" s="1" t="s">
        <v>79</v>
      </c>
      <c r="M316" s="1" t="s">
        <v>80</v>
      </c>
      <c r="N316" s="1" t="s">
        <v>256</v>
      </c>
      <c r="O316" s="1" t="s">
        <v>176</v>
      </c>
      <c r="P316" s="9">
        <v>44694</v>
      </c>
      <c r="Q316" s="1" t="s">
        <v>475</v>
      </c>
      <c r="R316" s="1" t="s">
        <v>50</v>
      </c>
      <c r="S316" s="1">
        <v>1</v>
      </c>
      <c r="T316" s="12">
        <v>0.29166666666666669</v>
      </c>
      <c r="U316" s="12">
        <v>0.41666666666666669</v>
      </c>
      <c r="V316" s="1">
        <v>3</v>
      </c>
      <c r="W316" s="1">
        <v>3</v>
      </c>
      <c r="X316" s="5">
        <f t="shared" si="12"/>
        <v>3</v>
      </c>
      <c r="Y316" s="1" t="str">
        <f t="shared" si="13"/>
        <v>B</v>
      </c>
    </row>
    <row r="317" spans="2:25" x14ac:dyDescent="0.25">
      <c r="B317" s="11">
        <v>44694</v>
      </c>
      <c r="C317" s="7">
        <v>6000040091152</v>
      </c>
      <c r="D317" s="5">
        <v>1</v>
      </c>
      <c r="E317" t="s">
        <v>482</v>
      </c>
      <c r="F317" t="s">
        <v>526</v>
      </c>
      <c r="G317" t="s">
        <v>631</v>
      </c>
      <c r="H317" t="s">
        <v>740</v>
      </c>
      <c r="I317" t="s">
        <v>752</v>
      </c>
      <c r="J317" s="26" t="s">
        <v>524</v>
      </c>
      <c r="K317" s="5" t="s">
        <v>70</v>
      </c>
      <c r="L317" s="1" t="s">
        <v>36</v>
      </c>
      <c r="M317" s="1" t="s">
        <v>112</v>
      </c>
      <c r="N317" s="1" t="s">
        <v>112</v>
      </c>
      <c r="O317" s="1" t="s">
        <v>176</v>
      </c>
      <c r="P317" s="9">
        <v>44694</v>
      </c>
      <c r="Q317" s="1" t="s">
        <v>474</v>
      </c>
      <c r="R317" s="1" t="s">
        <v>63</v>
      </c>
      <c r="S317" s="1">
        <v>2</v>
      </c>
      <c r="T317" s="12">
        <v>0.41666666666666669</v>
      </c>
      <c r="U317" s="12">
        <v>0.625</v>
      </c>
      <c r="V317" s="1">
        <v>5</v>
      </c>
      <c r="W317" s="1">
        <v>5</v>
      </c>
      <c r="X317" s="5">
        <f t="shared" si="12"/>
        <v>10</v>
      </c>
      <c r="Y317" s="5" t="str">
        <f t="shared" si="13"/>
        <v>B</v>
      </c>
    </row>
    <row r="318" spans="2:25" x14ac:dyDescent="0.25">
      <c r="B318" s="11">
        <v>44697</v>
      </c>
      <c r="C318" s="7">
        <v>600004009810</v>
      </c>
      <c r="D318" s="5">
        <v>1</v>
      </c>
      <c r="E318" t="s">
        <v>514</v>
      </c>
      <c r="F318" t="s">
        <v>558</v>
      </c>
      <c r="G318" t="s">
        <v>663</v>
      </c>
      <c r="H318" t="s">
        <v>741</v>
      </c>
      <c r="I318" t="s">
        <v>784</v>
      </c>
      <c r="J318" s="26" t="s">
        <v>524</v>
      </c>
      <c r="K318" s="5" t="s">
        <v>191</v>
      </c>
      <c r="L318" s="1" t="s">
        <v>79</v>
      </c>
      <c r="M318" s="1" t="s">
        <v>261</v>
      </c>
      <c r="N318" s="1" t="s">
        <v>262</v>
      </c>
      <c r="O318" s="1" t="s">
        <v>176</v>
      </c>
      <c r="P318" s="9">
        <v>44697</v>
      </c>
      <c r="Q318" s="1" t="s">
        <v>473</v>
      </c>
      <c r="R318" s="1" t="s">
        <v>50</v>
      </c>
      <c r="S318" s="1">
        <v>2</v>
      </c>
      <c r="T318" s="12">
        <v>0.41666666666666669</v>
      </c>
      <c r="U318" s="12">
        <v>0.45833333333333331</v>
      </c>
      <c r="V318" s="1">
        <v>1</v>
      </c>
      <c r="W318" s="1">
        <v>1</v>
      </c>
      <c r="X318" s="5">
        <f t="shared" si="12"/>
        <v>2</v>
      </c>
      <c r="Y318" s="5" t="str">
        <f t="shared" si="13"/>
        <v>C</v>
      </c>
    </row>
    <row r="319" spans="2:25" x14ac:dyDescent="0.25">
      <c r="B319" s="11">
        <v>44697</v>
      </c>
      <c r="C319" s="7">
        <v>600004009842</v>
      </c>
      <c r="D319" s="5">
        <v>1</v>
      </c>
      <c r="E319" t="s">
        <v>494</v>
      </c>
      <c r="F319" t="s">
        <v>538</v>
      </c>
      <c r="G319" t="s">
        <v>643</v>
      </c>
      <c r="H319" t="s">
        <v>745</v>
      </c>
      <c r="I319" t="s">
        <v>764</v>
      </c>
      <c r="J319" s="29" t="s">
        <v>525</v>
      </c>
      <c r="K319" s="4" t="s">
        <v>15</v>
      </c>
      <c r="L319" s="1" t="s">
        <v>79</v>
      </c>
      <c r="M319" s="1" t="s">
        <v>62</v>
      </c>
      <c r="N319" s="1" t="s">
        <v>110</v>
      </c>
      <c r="O319" s="1" t="s">
        <v>176</v>
      </c>
      <c r="P319" s="9">
        <v>44697</v>
      </c>
      <c r="Q319" s="1" t="s">
        <v>475</v>
      </c>
      <c r="R319" s="1" t="s">
        <v>50</v>
      </c>
      <c r="S319" s="1">
        <v>1</v>
      </c>
      <c r="T319" s="12">
        <v>0.41666666666666669</v>
      </c>
      <c r="U319" s="12">
        <v>0.47916666666666669</v>
      </c>
      <c r="V319" s="1">
        <v>1.5</v>
      </c>
      <c r="W319" s="1">
        <v>1.5</v>
      </c>
      <c r="X319" s="5">
        <f t="shared" si="12"/>
        <v>1.5</v>
      </c>
      <c r="Y319" s="5" t="str">
        <f t="shared" si="13"/>
        <v>C</v>
      </c>
    </row>
    <row r="320" spans="2:25" x14ac:dyDescent="0.25">
      <c r="B320" s="11">
        <v>44697</v>
      </c>
      <c r="C320" s="7">
        <v>600004009886</v>
      </c>
      <c r="D320" s="1">
        <v>1</v>
      </c>
      <c r="E320" t="s">
        <v>506</v>
      </c>
      <c r="F320" t="s">
        <v>550</v>
      </c>
      <c r="G320" t="s">
        <v>655</v>
      </c>
      <c r="H320" t="s">
        <v>745</v>
      </c>
      <c r="I320" t="s">
        <v>776</v>
      </c>
      <c r="J320" s="26" t="s">
        <v>525</v>
      </c>
      <c r="K320" s="1" t="s">
        <v>15</v>
      </c>
      <c r="L320" s="1" t="s">
        <v>57</v>
      </c>
      <c r="M320" s="1" t="s">
        <v>71</v>
      </c>
      <c r="N320" s="1" t="s">
        <v>270</v>
      </c>
      <c r="O320" s="1" t="s">
        <v>176</v>
      </c>
      <c r="P320" s="9">
        <v>44697</v>
      </c>
      <c r="Q320" s="1" t="s">
        <v>477</v>
      </c>
      <c r="R320" s="1" t="s">
        <v>63</v>
      </c>
      <c r="S320" s="1">
        <v>2</v>
      </c>
      <c r="T320" s="12">
        <v>0.39583333333333331</v>
      </c>
      <c r="U320" s="12">
        <v>0.47916666666666669</v>
      </c>
      <c r="V320" s="1">
        <v>2</v>
      </c>
      <c r="W320" s="1">
        <v>2</v>
      </c>
      <c r="X320" s="1">
        <f t="shared" si="12"/>
        <v>4</v>
      </c>
      <c r="Y320" s="1" t="str">
        <f t="shared" si="13"/>
        <v>C</v>
      </c>
    </row>
    <row r="321" spans="2:25" x14ac:dyDescent="0.25">
      <c r="B321" s="11">
        <v>44697</v>
      </c>
      <c r="C321" s="7">
        <v>600004009921</v>
      </c>
      <c r="D321" s="5">
        <v>1</v>
      </c>
      <c r="E321" t="s">
        <v>505</v>
      </c>
      <c r="F321" t="s">
        <v>549</v>
      </c>
      <c r="G321" t="s">
        <v>654</v>
      </c>
      <c r="H321" t="s">
        <v>745</v>
      </c>
      <c r="I321" t="s">
        <v>775</v>
      </c>
      <c r="J321" s="27" t="s">
        <v>525</v>
      </c>
      <c r="K321" s="5" t="s">
        <v>15</v>
      </c>
      <c r="L321" s="1" t="s">
        <v>57</v>
      </c>
      <c r="M321" s="1" t="s">
        <v>71</v>
      </c>
      <c r="N321" s="1" t="s">
        <v>271</v>
      </c>
      <c r="O321" s="1" t="s">
        <v>19</v>
      </c>
      <c r="P321" s="9">
        <v>44698</v>
      </c>
      <c r="Q321" s="1" t="s">
        <v>476</v>
      </c>
      <c r="R321" s="1" t="s">
        <v>63</v>
      </c>
      <c r="S321" s="1">
        <v>1</v>
      </c>
      <c r="T321" s="12">
        <v>0.60416666666666663</v>
      </c>
      <c r="U321" s="12">
        <v>0.64583333333333337</v>
      </c>
      <c r="V321" s="1">
        <v>1</v>
      </c>
      <c r="W321" s="1">
        <v>1</v>
      </c>
      <c r="X321" s="5">
        <f t="shared" si="12"/>
        <v>1</v>
      </c>
      <c r="Y321" s="5" t="str">
        <f t="shared" si="13"/>
        <v>C</v>
      </c>
    </row>
    <row r="322" spans="2:25" x14ac:dyDescent="0.25">
      <c r="B322" s="11">
        <v>44697</v>
      </c>
      <c r="C322" s="7">
        <v>600004009809</v>
      </c>
      <c r="D322" s="5">
        <v>1</v>
      </c>
      <c r="E322" t="s">
        <v>866</v>
      </c>
      <c r="F322" t="s">
        <v>573</v>
      </c>
      <c r="G322" t="s">
        <v>678</v>
      </c>
      <c r="H322" t="s">
        <v>745</v>
      </c>
      <c r="I322" t="s">
        <v>799</v>
      </c>
      <c r="J322" s="27" t="s">
        <v>524</v>
      </c>
      <c r="K322" s="5" t="s">
        <v>15</v>
      </c>
      <c r="L322" s="1" t="s">
        <v>79</v>
      </c>
      <c r="M322" s="1" t="s">
        <v>273</v>
      </c>
      <c r="N322" s="1" t="s">
        <v>110</v>
      </c>
      <c r="O322" s="1" t="s">
        <v>176</v>
      </c>
      <c r="P322" s="9">
        <v>44697</v>
      </c>
      <c r="Q322" s="1" t="s">
        <v>478</v>
      </c>
      <c r="R322" s="1" t="s">
        <v>50</v>
      </c>
      <c r="S322" s="1">
        <v>1</v>
      </c>
      <c r="T322" s="12">
        <v>0.41666666666666669</v>
      </c>
      <c r="U322" s="12">
        <v>0.45833333333333331</v>
      </c>
      <c r="V322" s="1">
        <v>1</v>
      </c>
      <c r="W322" s="1">
        <v>1</v>
      </c>
      <c r="X322" s="5">
        <f t="shared" si="12"/>
        <v>1</v>
      </c>
      <c r="Y322" s="5" t="str">
        <f t="shared" si="13"/>
        <v>C</v>
      </c>
    </row>
    <row r="323" spans="2:25" x14ac:dyDescent="0.25">
      <c r="B323" s="11">
        <v>44698</v>
      </c>
      <c r="C323" s="7">
        <v>600004010392</v>
      </c>
      <c r="D323" s="5">
        <v>1</v>
      </c>
      <c r="E323" t="s">
        <v>898</v>
      </c>
      <c r="F323" t="s">
        <v>603</v>
      </c>
      <c r="G323" t="s">
        <v>710</v>
      </c>
      <c r="H323" t="s">
        <v>743</v>
      </c>
      <c r="I323" t="s">
        <v>831</v>
      </c>
      <c r="J323" s="27" t="s">
        <v>525</v>
      </c>
      <c r="K323" s="5" t="s">
        <v>44</v>
      </c>
      <c r="L323" s="1" t="s">
        <v>79</v>
      </c>
      <c r="M323" s="1" t="s">
        <v>264</v>
      </c>
      <c r="N323" s="1" t="s">
        <v>263</v>
      </c>
      <c r="O323" s="1" t="s">
        <v>19</v>
      </c>
      <c r="P323" s="9">
        <v>44698</v>
      </c>
      <c r="Q323" s="1" t="s">
        <v>475</v>
      </c>
      <c r="R323" s="1" t="s">
        <v>50</v>
      </c>
      <c r="S323" s="1">
        <v>2</v>
      </c>
      <c r="T323" s="12">
        <v>0.41666666666666669</v>
      </c>
      <c r="U323" s="12">
        <v>0.54166666666666663</v>
      </c>
      <c r="V323" s="1">
        <v>3</v>
      </c>
      <c r="W323" s="1">
        <v>3</v>
      </c>
      <c r="X323" s="5">
        <f t="shared" si="12"/>
        <v>6</v>
      </c>
      <c r="Y323" s="5" t="str">
        <f t="shared" si="13"/>
        <v>B</v>
      </c>
    </row>
    <row r="324" spans="2:25" x14ac:dyDescent="0.25">
      <c r="B324" s="11">
        <v>44700</v>
      </c>
      <c r="C324" s="7">
        <v>600004018682</v>
      </c>
      <c r="D324" s="5">
        <v>1</v>
      </c>
      <c r="E324" t="s">
        <v>494</v>
      </c>
      <c r="F324" t="s">
        <v>538</v>
      </c>
      <c r="G324" t="s">
        <v>643</v>
      </c>
      <c r="H324" t="s">
        <v>745</v>
      </c>
      <c r="I324" t="s">
        <v>764</v>
      </c>
      <c r="J324" s="29" t="s">
        <v>525</v>
      </c>
      <c r="K324" s="4" t="s">
        <v>15</v>
      </c>
      <c r="L324" s="1" t="s">
        <v>265</v>
      </c>
      <c r="M324" s="1" t="s">
        <v>266</v>
      </c>
      <c r="N324" s="1" t="s">
        <v>267</v>
      </c>
      <c r="O324" s="1" t="s">
        <v>176</v>
      </c>
      <c r="P324" s="9">
        <v>44700</v>
      </c>
      <c r="Q324" s="1" t="s">
        <v>475</v>
      </c>
      <c r="R324" s="1" t="s">
        <v>50</v>
      </c>
      <c r="S324" s="1">
        <v>1</v>
      </c>
      <c r="T324" s="12">
        <v>0.29166666666666669</v>
      </c>
      <c r="U324" s="12">
        <v>0.39583333333333331</v>
      </c>
      <c r="V324" s="1">
        <v>2.5</v>
      </c>
      <c r="W324" s="1">
        <v>2.5</v>
      </c>
      <c r="X324" s="5">
        <f t="shared" si="12"/>
        <v>2.5</v>
      </c>
      <c r="Y324" s="5" t="str">
        <f t="shared" si="13"/>
        <v>B</v>
      </c>
    </row>
    <row r="325" spans="2:25" x14ac:dyDescent="0.25">
      <c r="B325" s="11">
        <v>44700</v>
      </c>
      <c r="C325" s="7">
        <v>600004018621</v>
      </c>
      <c r="D325" s="5">
        <v>1</v>
      </c>
      <c r="E325" t="s">
        <v>499</v>
      </c>
      <c r="F325" t="s">
        <v>543</v>
      </c>
      <c r="G325" t="s">
        <v>648</v>
      </c>
      <c r="H325" t="s">
        <v>745</v>
      </c>
      <c r="I325" t="s">
        <v>769</v>
      </c>
      <c r="J325" s="26" t="s">
        <v>525</v>
      </c>
      <c r="K325" s="5" t="s">
        <v>15</v>
      </c>
      <c r="L325" s="1" t="s">
        <v>16</v>
      </c>
      <c r="M325" s="1" t="s">
        <v>268</v>
      </c>
      <c r="N325" s="1" t="s">
        <v>45</v>
      </c>
      <c r="O325" s="1" t="s">
        <v>176</v>
      </c>
      <c r="P325" s="9">
        <v>44700</v>
      </c>
      <c r="Q325" s="1" t="s">
        <v>477</v>
      </c>
      <c r="R325" s="1" t="s">
        <v>63</v>
      </c>
      <c r="S325" s="1">
        <v>2</v>
      </c>
      <c r="T325" s="12">
        <v>0.3125</v>
      </c>
      <c r="U325" s="12">
        <v>0.35416666666666669</v>
      </c>
      <c r="V325" s="1">
        <v>1</v>
      </c>
      <c r="W325" s="1">
        <v>1</v>
      </c>
      <c r="X325" s="5">
        <f t="shared" si="12"/>
        <v>2</v>
      </c>
      <c r="Y325" s="5" t="str">
        <f t="shared" si="13"/>
        <v>C</v>
      </c>
    </row>
    <row r="326" spans="2:25" x14ac:dyDescent="0.25">
      <c r="B326" s="11">
        <v>44701</v>
      </c>
      <c r="C326" s="7">
        <v>600004033574</v>
      </c>
      <c r="D326" s="5">
        <v>1</v>
      </c>
      <c r="E326" t="s">
        <v>489</v>
      </c>
      <c r="F326" t="s">
        <v>533</v>
      </c>
      <c r="G326" t="s">
        <v>638</v>
      </c>
      <c r="H326" t="s">
        <v>745</v>
      </c>
      <c r="I326" t="s">
        <v>759</v>
      </c>
      <c r="J326" s="26" t="s">
        <v>525</v>
      </c>
      <c r="K326" s="5" t="s">
        <v>15</v>
      </c>
      <c r="L326" s="1" t="s">
        <v>16</v>
      </c>
      <c r="M326" s="1" t="s">
        <v>137</v>
      </c>
      <c r="N326" s="1" t="s">
        <v>52</v>
      </c>
      <c r="O326" s="1" t="s">
        <v>176</v>
      </c>
      <c r="P326" s="9">
        <v>44701</v>
      </c>
      <c r="Q326" s="1" t="s">
        <v>479</v>
      </c>
      <c r="R326" s="1" t="s">
        <v>63</v>
      </c>
      <c r="S326" s="1">
        <v>3</v>
      </c>
      <c r="T326" s="12">
        <v>0.51388888888888895</v>
      </c>
      <c r="U326" s="12">
        <v>0.55555555555555558</v>
      </c>
      <c r="V326" s="1">
        <v>1</v>
      </c>
      <c r="W326" s="1">
        <v>1</v>
      </c>
      <c r="X326" s="5">
        <f t="shared" si="12"/>
        <v>3</v>
      </c>
      <c r="Y326" s="1" t="str">
        <f t="shared" si="13"/>
        <v>C</v>
      </c>
    </row>
    <row r="327" spans="2:25" x14ac:dyDescent="0.25">
      <c r="B327" s="11">
        <v>44701</v>
      </c>
      <c r="C327" s="7">
        <v>600004033615</v>
      </c>
      <c r="D327" s="5">
        <v>1</v>
      </c>
      <c r="E327" t="s">
        <v>499</v>
      </c>
      <c r="F327" t="s">
        <v>543</v>
      </c>
      <c r="G327" t="s">
        <v>648</v>
      </c>
      <c r="H327" t="s">
        <v>745</v>
      </c>
      <c r="I327" t="s">
        <v>769</v>
      </c>
      <c r="J327" s="27" t="s">
        <v>525</v>
      </c>
      <c r="K327" s="5" t="s">
        <v>15</v>
      </c>
      <c r="L327" s="1" t="s">
        <v>57</v>
      </c>
      <c r="M327" s="1" t="s">
        <v>71</v>
      </c>
      <c r="N327" s="1" t="s">
        <v>194</v>
      </c>
      <c r="O327" s="1" t="s">
        <v>176</v>
      </c>
      <c r="P327" s="9">
        <v>44701</v>
      </c>
      <c r="Q327" s="1" t="s">
        <v>477</v>
      </c>
      <c r="R327" s="1" t="s">
        <v>63</v>
      </c>
      <c r="S327" s="1">
        <v>2</v>
      </c>
      <c r="T327" s="12">
        <v>0.41666666666666669</v>
      </c>
      <c r="U327" s="12">
        <v>0.47916666666666669</v>
      </c>
      <c r="V327" s="1">
        <v>1.5</v>
      </c>
      <c r="W327" s="1">
        <v>1.5</v>
      </c>
      <c r="X327" s="1">
        <f t="shared" si="12"/>
        <v>3</v>
      </c>
      <c r="Y327" s="5" t="str">
        <f t="shared" si="13"/>
        <v>C</v>
      </c>
    </row>
    <row r="328" spans="2:25" x14ac:dyDescent="0.25">
      <c r="B328" s="11">
        <v>44704</v>
      </c>
      <c r="C328" s="7">
        <v>600004034235</v>
      </c>
      <c r="D328" s="5">
        <v>1</v>
      </c>
      <c r="E328" t="s">
        <v>507</v>
      </c>
      <c r="F328" t="s">
        <v>551</v>
      </c>
      <c r="G328" t="s">
        <v>656</v>
      </c>
      <c r="H328" t="s">
        <v>745</v>
      </c>
      <c r="I328" t="s">
        <v>777</v>
      </c>
      <c r="J328" s="27" t="s">
        <v>525</v>
      </c>
      <c r="K328" s="5" t="s">
        <v>15</v>
      </c>
      <c r="L328" s="1" t="s">
        <v>16</v>
      </c>
      <c r="M328" s="1" t="s">
        <v>65</v>
      </c>
      <c r="N328" s="1" t="s">
        <v>53</v>
      </c>
      <c r="O328" s="1" t="s">
        <v>176</v>
      </c>
      <c r="P328" s="9">
        <v>44704</v>
      </c>
      <c r="Q328" s="1" t="s">
        <v>479</v>
      </c>
      <c r="R328" s="1" t="s">
        <v>63</v>
      </c>
      <c r="S328" s="1">
        <v>2</v>
      </c>
      <c r="T328" s="12">
        <v>0.375</v>
      </c>
      <c r="U328" s="12">
        <v>0.41666666666666669</v>
      </c>
      <c r="V328" s="1">
        <v>1</v>
      </c>
      <c r="W328" s="1">
        <v>1</v>
      </c>
      <c r="X328" s="5">
        <f t="shared" si="12"/>
        <v>2</v>
      </c>
      <c r="Y328" s="5" t="str">
        <f t="shared" si="13"/>
        <v>C</v>
      </c>
    </row>
    <row r="329" spans="2:25" x14ac:dyDescent="0.25">
      <c r="B329" s="11">
        <v>44704</v>
      </c>
      <c r="C329" s="7">
        <v>600004034279</v>
      </c>
      <c r="D329" s="5">
        <v>1</v>
      </c>
      <c r="E329" t="s">
        <v>494</v>
      </c>
      <c r="F329" t="s">
        <v>538</v>
      </c>
      <c r="G329" t="s">
        <v>643</v>
      </c>
      <c r="H329" t="s">
        <v>745</v>
      </c>
      <c r="I329" t="s">
        <v>764</v>
      </c>
      <c r="J329" s="29" t="s">
        <v>525</v>
      </c>
      <c r="K329" s="4" t="s">
        <v>15</v>
      </c>
      <c r="L329" s="1" t="s">
        <v>79</v>
      </c>
      <c r="M329" s="1" t="s">
        <v>269</v>
      </c>
      <c r="N329" s="1" t="s">
        <v>110</v>
      </c>
      <c r="O329" s="1" t="s">
        <v>176</v>
      </c>
      <c r="P329" s="9">
        <v>44704</v>
      </c>
      <c r="Q329" s="1" t="s">
        <v>475</v>
      </c>
      <c r="R329" s="1" t="s">
        <v>50</v>
      </c>
      <c r="S329" s="1">
        <v>1</v>
      </c>
      <c r="T329" s="12">
        <v>0.4375</v>
      </c>
      <c r="U329" s="12">
        <v>0.47916666666666669</v>
      </c>
      <c r="V329" s="1">
        <v>1</v>
      </c>
      <c r="W329" s="1">
        <v>1</v>
      </c>
      <c r="X329" s="5">
        <f t="shared" si="12"/>
        <v>1</v>
      </c>
      <c r="Y329" s="5" t="str">
        <f t="shared" si="13"/>
        <v>C</v>
      </c>
    </row>
    <row r="330" spans="2:25" x14ac:dyDescent="0.25">
      <c r="B330" s="11">
        <v>44704</v>
      </c>
      <c r="C330" s="7">
        <v>600004034276</v>
      </c>
      <c r="D330" s="5">
        <v>1</v>
      </c>
      <c r="E330" t="s">
        <v>501</v>
      </c>
      <c r="F330" t="s">
        <v>545</v>
      </c>
      <c r="G330" t="s">
        <v>650</v>
      </c>
      <c r="H330" t="s">
        <v>740</v>
      </c>
      <c r="I330" t="s">
        <v>771</v>
      </c>
      <c r="J330" s="27" t="s">
        <v>524</v>
      </c>
      <c r="K330" s="5" t="s">
        <v>70</v>
      </c>
      <c r="L330" s="1" t="s">
        <v>57</v>
      </c>
      <c r="M330" s="1" t="s">
        <v>70</v>
      </c>
      <c r="N330" s="1" t="s">
        <v>83</v>
      </c>
      <c r="O330" s="1" t="s">
        <v>176</v>
      </c>
      <c r="P330" s="9">
        <v>44704</v>
      </c>
      <c r="Q330" s="1" t="s">
        <v>474</v>
      </c>
      <c r="R330" s="1" t="s">
        <v>63</v>
      </c>
      <c r="S330" s="1">
        <v>4</v>
      </c>
      <c r="T330" s="12">
        <v>0.41666666666666669</v>
      </c>
      <c r="U330" s="12">
        <v>0.66666666666666663</v>
      </c>
      <c r="V330" s="1">
        <v>4</v>
      </c>
      <c r="W330" s="1">
        <v>4</v>
      </c>
      <c r="X330" s="5">
        <f t="shared" si="12"/>
        <v>16</v>
      </c>
      <c r="Y330" s="1" t="str">
        <f t="shared" si="13"/>
        <v>B</v>
      </c>
    </row>
    <row r="331" spans="2:25" x14ac:dyDescent="0.25">
      <c r="B331" s="11">
        <v>44705</v>
      </c>
      <c r="C331" s="7">
        <v>600004034550</v>
      </c>
      <c r="D331" s="5">
        <v>1</v>
      </c>
      <c r="E331" t="s">
        <v>882</v>
      </c>
      <c r="F331" t="s">
        <v>588</v>
      </c>
      <c r="G331" t="s">
        <v>694</v>
      </c>
      <c r="H331" t="s">
        <v>745</v>
      </c>
      <c r="I331" t="s">
        <v>815</v>
      </c>
      <c r="J331" s="27" t="s">
        <v>525</v>
      </c>
      <c r="K331" s="5" t="s">
        <v>15</v>
      </c>
      <c r="L331" s="1" t="s">
        <v>16</v>
      </c>
      <c r="M331" s="1" t="s">
        <v>137</v>
      </c>
      <c r="N331" s="1" t="s">
        <v>52</v>
      </c>
      <c r="O331" s="1" t="s">
        <v>176</v>
      </c>
      <c r="P331" s="9">
        <v>44705</v>
      </c>
      <c r="Q331" s="1" t="s">
        <v>477</v>
      </c>
      <c r="R331" s="1" t="s">
        <v>63</v>
      </c>
      <c r="S331" s="1">
        <v>3</v>
      </c>
      <c r="T331" s="12">
        <v>0.3125</v>
      </c>
      <c r="U331" s="12">
        <v>0.35416666666666669</v>
      </c>
      <c r="V331" s="1">
        <v>1</v>
      </c>
      <c r="W331" s="1">
        <v>1</v>
      </c>
      <c r="X331" s="5">
        <f t="shared" si="12"/>
        <v>3</v>
      </c>
      <c r="Y331" s="5" t="str">
        <f t="shared" si="13"/>
        <v>C</v>
      </c>
    </row>
    <row r="332" spans="2:25" x14ac:dyDescent="0.25">
      <c r="B332" s="11">
        <v>44707</v>
      </c>
      <c r="C332" s="7">
        <v>600004035013</v>
      </c>
      <c r="D332" s="5">
        <v>1</v>
      </c>
      <c r="E332" t="s">
        <v>875</v>
      </c>
      <c r="F332" t="s">
        <v>581</v>
      </c>
      <c r="G332" t="s">
        <v>687</v>
      </c>
      <c r="H332" t="s">
        <v>745</v>
      </c>
      <c r="I332" t="s">
        <v>808</v>
      </c>
      <c r="J332" s="27" t="s">
        <v>525</v>
      </c>
      <c r="K332" s="5" t="s">
        <v>15</v>
      </c>
      <c r="L332" s="1" t="s">
        <v>89</v>
      </c>
      <c r="M332" s="1" t="s">
        <v>126</v>
      </c>
      <c r="N332" s="1" t="s">
        <v>45</v>
      </c>
      <c r="O332" s="1" t="s">
        <v>176</v>
      </c>
      <c r="P332" s="9">
        <v>44707</v>
      </c>
      <c r="Q332" s="1" t="s">
        <v>477</v>
      </c>
      <c r="R332" s="1" t="s">
        <v>63</v>
      </c>
      <c r="S332" s="1">
        <v>2</v>
      </c>
      <c r="T332" s="12">
        <v>0.30555555555555552</v>
      </c>
      <c r="U332" s="12">
        <v>0.34722222222222227</v>
      </c>
      <c r="V332" s="1">
        <v>1</v>
      </c>
      <c r="W332" s="1">
        <v>1</v>
      </c>
      <c r="X332" s="5">
        <f t="shared" si="12"/>
        <v>2</v>
      </c>
      <c r="Y332" s="5" t="str">
        <f t="shared" si="13"/>
        <v>C</v>
      </c>
    </row>
    <row r="333" spans="2:25" x14ac:dyDescent="0.25">
      <c r="B333" s="11">
        <v>44708</v>
      </c>
      <c r="C333" s="7">
        <v>600004035241</v>
      </c>
      <c r="D333" s="5">
        <v>1</v>
      </c>
      <c r="E333" t="s">
        <v>494</v>
      </c>
      <c r="F333" t="s">
        <v>538</v>
      </c>
      <c r="G333" t="s">
        <v>643</v>
      </c>
      <c r="H333" t="s">
        <v>745</v>
      </c>
      <c r="I333" t="s">
        <v>764</v>
      </c>
      <c r="J333" s="29" t="s">
        <v>525</v>
      </c>
      <c r="K333" s="4" t="s">
        <v>15</v>
      </c>
      <c r="L333" s="1" t="s">
        <v>57</v>
      </c>
      <c r="M333" s="1" t="s">
        <v>148</v>
      </c>
      <c r="N333" s="1" t="s">
        <v>114</v>
      </c>
      <c r="O333" s="1" t="s">
        <v>176</v>
      </c>
      <c r="P333" s="9">
        <v>44708</v>
      </c>
      <c r="Q333" s="1" t="s">
        <v>478</v>
      </c>
      <c r="R333" s="1" t="s">
        <v>50</v>
      </c>
      <c r="S333" s="1">
        <v>1</v>
      </c>
      <c r="T333" s="12">
        <v>0.41666666666666669</v>
      </c>
      <c r="U333" s="12">
        <v>0.47916666666666669</v>
      </c>
      <c r="V333" s="1">
        <v>1.5</v>
      </c>
      <c r="W333" s="1">
        <v>1.5</v>
      </c>
      <c r="X333" s="5">
        <f t="shared" si="12"/>
        <v>1.5</v>
      </c>
      <c r="Y333" s="5" t="str">
        <f t="shared" si="13"/>
        <v>C</v>
      </c>
    </row>
    <row r="334" spans="2:25" x14ac:dyDescent="0.25">
      <c r="B334" s="11">
        <v>44708</v>
      </c>
      <c r="C334" s="7">
        <v>600004035258</v>
      </c>
      <c r="D334" s="5">
        <v>1</v>
      </c>
      <c r="E334" t="s">
        <v>494</v>
      </c>
      <c r="F334" t="s">
        <v>538</v>
      </c>
      <c r="G334" t="s">
        <v>643</v>
      </c>
      <c r="H334" t="s">
        <v>745</v>
      </c>
      <c r="I334" t="s">
        <v>764</v>
      </c>
      <c r="J334" s="29" t="s">
        <v>525</v>
      </c>
      <c r="K334" s="4" t="s">
        <v>15</v>
      </c>
      <c r="L334" s="1" t="s">
        <v>79</v>
      </c>
      <c r="M334" s="1" t="s">
        <v>62</v>
      </c>
      <c r="N334" s="1" t="s">
        <v>272</v>
      </c>
      <c r="O334" s="1" t="s">
        <v>176</v>
      </c>
      <c r="P334" s="9">
        <v>44708</v>
      </c>
      <c r="Q334" s="1" t="s">
        <v>478</v>
      </c>
      <c r="R334" s="1" t="s">
        <v>50</v>
      </c>
      <c r="S334" s="1">
        <v>1</v>
      </c>
      <c r="T334" s="12">
        <v>0.3125</v>
      </c>
      <c r="U334" s="12">
        <v>0.375</v>
      </c>
      <c r="V334" s="1">
        <v>1.5</v>
      </c>
      <c r="W334" s="1">
        <v>1.5</v>
      </c>
      <c r="X334" s="1">
        <f t="shared" si="12"/>
        <v>1.5</v>
      </c>
      <c r="Y334" s="5" t="str">
        <f t="shared" si="13"/>
        <v>C</v>
      </c>
    </row>
    <row r="335" spans="2:25" x14ac:dyDescent="0.25">
      <c r="B335" s="11">
        <v>44711</v>
      </c>
      <c r="C335" s="7">
        <v>600004035916</v>
      </c>
      <c r="D335" s="5">
        <v>1</v>
      </c>
      <c r="E335" t="s">
        <v>492</v>
      </c>
      <c r="F335" t="s">
        <v>536</v>
      </c>
      <c r="G335" t="s">
        <v>641</v>
      </c>
      <c r="H335" t="s">
        <v>740</v>
      </c>
      <c r="I335" t="s">
        <v>762</v>
      </c>
      <c r="J335" s="26" t="s">
        <v>524</v>
      </c>
      <c r="K335" s="5" t="s">
        <v>73</v>
      </c>
      <c r="L335" s="1" t="s">
        <v>79</v>
      </c>
      <c r="M335" s="1" t="s">
        <v>80</v>
      </c>
      <c r="N335" s="1" t="s">
        <v>157</v>
      </c>
      <c r="O335" s="1" t="s">
        <v>19</v>
      </c>
      <c r="P335" s="9">
        <v>44723</v>
      </c>
      <c r="Q335" s="1" t="s">
        <v>474</v>
      </c>
      <c r="R335" s="1" t="s">
        <v>50</v>
      </c>
      <c r="S335" s="1">
        <v>2</v>
      </c>
      <c r="T335" s="12">
        <v>0.25</v>
      </c>
      <c r="U335" s="12">
        <v>0.54166666666666663</v>
      </c>
      <c r="V335" s="1">
        <v>7</v>
      </c>
      <c r="W335" s="1">
        <v>7</v>
      </c>
      <c r="X335" s="5">
        <f t="shared" si="12"/>
        <v>14</v>
      </c>
      <c r="Y335" s="5" t="str">
        <f t="shared" si="13"/>
        <v>B</v>
      </c>
    </row>
    <row r="336" spans="2:25" x14ac:dyDescent="0.25">
      <c r="B336" s="11">
        <v>44712</v>
      </c>
      <c r="C336" s="7">
        <v>600004036133</v>
      </c>
      <c r="D336" s="5">
        <v>1</v>
      </c>
      <c r="E336" t="s">
        <v>493</v>
      </c>
      <c r="F336" t="s">
        <v>537</v>
      </c>
      <c r="G336" t="s">
        <v>642</v>
      </c>
      <c r="H336" t="s">
        <v>745</v>
      </c>
      <c r="I336" t="s">
        <v>763</v>
      </c>
      <c r="J336" s="27" t="s">
        <v>525</v>
      </c>
      <c r="K336" s="5" t="s">
        <v>15</v>
      </c>
      <c r="L336" s="1" t="s">
        <v>16</v>
      </c>
      <c r="M336" s="1" t="s">
        <v>137</v>
      </c>
      <c r="N336" s="1" t="s">
        <v>52</v>
      </c>
      <c r="O336" s="1" t="s">
        <v>176</v>
      </c>
      <c r="P336" s="9">
        <v>44712</v>
      </c>
      <c r="Q336" s="1" t="s">
        <v>477</v>
      </c>
      <c r="R336" s="1" t="s">
        <v>63</v>
      </c>
      <c r="S336" s="1">
        <v>2</v>
      </c>
      <c r="T336" s="12">
        <v>0.52083333333333337</v>
      </c>
      <c r="U336" s="12">
        <v>0.5625</v>
      </c>
      <c r="V336" s="1">
        <v>1</v>
      </c>
      <c r="W336" s="1">
        <v>1</v>
      </c>
      <c r="X336" s="5">
        <f t="shared" si="12"/>
        <v>2</v>
      </c>
      <c r="Y336" s="1" t="str">
        <f t="shared" si="13"/>
        <v>C</v>
      </c>
    </row>
    <row r="337" spans="2:25" x14ac:dyDescent="0.25">
      <c r="B337" s="11">
        <v>44712</v>
      </c>
      <c r="C337" s="7">
        <v>600004036098</v>
      </c>
      <c r="D337" s="5">
        <v>1</v>
      </c>
      <c r="E337" t="s">
        <v>518</v>
      </c>
      <c r="F337" t="s">
        <v>562</v>
      </c>
      <c r="G337" t="s">
        <v>667</v>
      </c>
      <c r="H337" t="s">
        <v>745</v>
      </c>
      <c r="I337" t="s">
        <v>788</v>
      </c>
      <c r="J337" s="27" t="s">
        <v>525</v>
      </c>
      <c r="K337" s="5" t="s">
        <v>44</v>
      </c>
      <c r="L337" s="1" t="s">
        <v>57</v>
      </c>
      <c r="M337" s="1" t="s">
        <v>44</v>
      </c>
      <c r="N337" s="1" t="s">
        <v>278</v>
      </c>
      <c r="O337" s="1" t="s">
        <v>176</v>
      </c>
      <c r="P337" s="9">
        <v>44713</v>
      </c>
      <c r="Q337" s="1" t="s">
        <v>476</v>
      </c>
      <c r="R337" s="1" t="s">
        <v>63</v>
      </c>
      <c r="S337" s="1">
        <v>2</v>
      </c>
      <c r="T337" s="12">
        <v>0.375</v>
      </c>
      <c r="U337" s="12">
        <v>0.45833333333333331</v>
      </c>
      <c r="V337" s="1">
        <v>2</v>
      </c>
      <c r="W337" s="1">
        <v>2</v>
      </c>
      <c r="X337" s="5">
        <f t="shared" si="12"/>
        <v>4</v>
      </c>
      <c r="Y337" s="5" t="str">
        <f t="shared" si="13"/>
        <v>C</v>
      </c>
    </row>
    <row r="338" spans="2:25" x14ac:dyDescent="0.25">
      <c r="B338" s="11">
        <v>44713</v>
      </c>
      <c r="C338" s="7">
        <v>600004036526</v>
      </c>
      <c r="D338" s="1">
        <v>1</v>
      </c>
      <c r="E338" t="s">
        <v>899</v>
      </c>
      <c r="F338" t="s">
        <v>604</v>
      </c>
      <c r="G338" t="s">
        <v>711</v>
      </c>
      <c r="H338" t="s">
        <v>744</v>
      </c>
      <c r="I338" t="s">
        <v>832</v>
      </c>
      <c r="J338" s="26" t="s">
        <v>524</v>
      </c>
      <c r="K338" s="1" t="s">
        <v>123</v>
      </c>
      <c r="L338" s="1" t="s">
        <v>79</v>
      </c>
      <c r="M338" s="1" t="s">
        <v>123</v>
      </c>
      <c r="N338" s="1" t="s">
        <v>288</v>
      </c>
      <c r="O338" s="1" t="s">
        <v>176</v>
      </c>
      <c r="P338" s="9">
        <v>44713</v>
      </c>
      <c r="Q338" s="1" t="s">
        <v>474</v>
      </c>
      <c r="R338" s="1" t="s">
        <v>63</v>
      </c>
      <c r="S338" s="1">
        <v>1</v>
      </c>
      <c r="T338" s="12">
        <v>0.54166666666666663</v>
      </c>
      <c r="U338" s="12">
        <v>0.625</v>
      </c>
      <c r="V338" s="1">
        <v>2</v>
      </c>
      <c r="W338" s="1">
        <v>2</v>
      </c>
      <c r="X338" s="5">
        <f t="shared" si="12"/>
        <v>2</v>
      </c>
      <c r="Y338" s="5" t="str">
        <f t="shared" si="13"/>
        <v>C</v>
      </c>
    </row>
    <row r="339" spans="2:25" x14ac:dyDescent="0.25">
      <c r="B339" s="11">
        <v>44714</v>
      </c>
      <c r="C339" s="7">
        <v>600004036833</v>
      </c>
      <c r="D339" s="5">
        <v>1</v>
      </c>
      <c r="E339" t="s">
        <v>500</v>
      </c>
      <c r="F339" t="s">
        <v>544</v>
      </c>
      <c r="G339" t="s">
        <v>649</v>
      </c>
      <c r="H339" t="s">
        <v>745</v>
      </c>
      <c r="I339" t="s">
        <v>770</v>
      </c>
      <c r="J339" s="27" t="s">
        <v>525</v>
      </c>
      <c r="K339" s="5" t="s">
        <v>15</v>
      </c>
      <c r="L339" s="1" t="s">
        <v>79</v>
      </c>
      <c r="M339" s="1" t="s">
        <v>62</v>
      </c>
      <c r="N339" s="1" t="s">
        <v>110</v>
      </c>
      <c r="O339" s="1" t="s">
        <v>176</v>
      </c>
      <c r="P339" s="9">
        <v>44714</v>
      </c>
      <c r="Q339" s="1" t="s">
        <v>478</v>
      </c>
      <c r="R339" s="1" t="s">
        <v>50</v>
      </c>
      <c r="S339" s="1">
        <v>1</v>
      </c>
      <c r="T339" s="12">
        <v>0.41666666666666669</v>
      </c>
      <c r="U339" s="12">
        <v>0.45833333333333331</v>
      </c>
      <c r="V339" s="1">
        <v>1</v>
      </c>
      <c r="W339" s="1">
        <v>1</v>
      </c>
      <c r="X339" s="5">
        <f t="shared" si="12"/>
        <v>1</v>
      </c>
      <c r="Y339" s="5" t="str">
        <f t="shared" si="13"/>
        <v>C</v>
      </c>
    </row>
    <row r="340" spans="2:25" x14ac:dyDescent="0.25">
      <c r="B340" s="11">
        <v>44715</v>
      </c>
      <c r="C340" s="7">
        <v>600004037002</v>
      </c>
      <c r="D340" s="5">
        <v>1</v>
      </c>
      <c r="E340" t="s">
        <v>896</v>
      </c>
      <c r="F340" t="s">
        <v>601</v>
      </c>
      <c r="G340" t="s">
        <v>708</v>
      </c>
      <c r="H340" t="s">
        <v>743</v>
      </c>
      <c r="I340" t="s">
        <v>829</v>
      </c>
      <c r="J340" s="27" t="s">
        <v>525</v>
      </c>
      <c r="K340" s="5" t="s">
        <v>122</v>
      </c>
      <c r="L340" s="1" t="s">
        <v>57</v>
      </c>
      <c r="M340" s="1" t="s">
        <v>36</v>
      </c>
      <c r="N340" s="1" t="s">
        <v>173</v>
      </c>
      <c r="O340" s="1" t="s">
        <v>176</v>
      </c>
      <c r="P340" s="9">
        <v>44715</v>
      </c>
      <c r="Q340" s="1" t="s">
        <v>477</v>
      </c>
      <c r="R340" s="1" t="s">
        <v>63</v>
      </c>
      <c r="S340" s="1">
        <v>1</v>
      </c>
      <c r="T340" s="12">
        <v>0.33333333333333331</v>
      </c>
      <c r="U340" s="12">
        <v>0.35416666666666669</v>
      </c>
      <c r="V340" s="1">
        <v>0.5</v>
      </c>
      <c r="W340" s="1">
        <v>0.5</v>
      </c>
      <c r="X340" s="5">
        <f t="shared" ref="X340:X403" si="14">PRODUCT(S340,V340)</f>
        <v>0.5</v>
      </c>
      <c r="Y340" s="1" t="str">
        <f t="shared" ref="Y340:Y403" si="15">IF(W340=0,"D",IF(W340&lt;=2,"C",IF(W340&lt;=8,"B",IF(W340&gt;8,"A"))))</f>
        <v>C</v>
      </c>
    </row>
    <row r="341" spans="2:25" x14ac:dyDescent="0.25">
      <c r="B341" s="11">
        <v>44715</v>
      </c>
      <c r="C341" s="7">
        <v>600004036982</v>
      </c>
      <c r="D341" s="5">
        <v>1</v>
      </c>
      <c r="E341" t="s">
        <v>511</v>
      </c>
      <c r="F341" t="s">
        <v>555</v>
      </c>
      <c r="G341" t="s">
        <v>660</v>
      </c>
      <c r="H341" t="s">
        <v>745</v>
      </c>
      <c r="I341" t="s">
        <v>781</v>
      </c>
      <c r="J341" s="27" t="s">
        <v>525</v>
      </c>
      <c r="K341" s="5" t="s">
        <v>15</v>
      </c>
      <c r="L341" s="1" t="s">
        <v>79</v>
      </c>
      <c r="M341" s="1" t="s">
        <v>126</v>
      </c>
      <c r="N341" s="1" t="s">
        <v>110</v>
      </c>
      <c r="O341" s="1" t="s">
        <v>176</v>
      </c>
      <c r="P341" s="9">
        <v>44715</v>
      </c>
      <c r="Q341" s="1" t="s">
        <v>478</v>
      </c>
      <c r="R341" s="1" t="s">
        <v>50</v>
      </c>
      <c r="S341" s="1">
        <v>2</v>
      </c>
      <c r="T341" s="12">
        <v>0.29166666666666669</v>
      </c>
      <c r="U341" s="12">
        <v>0.375</v>
      </c>
      <c r="V341" s="1">
        <v>2</v>
      </c>
      <c r="W341" s="1">
        <v>2</v>
      </c>
      <c r="X341" s="1">
        <f t="shared" si="14"/>
        <v>4</v>
      </c>
      <c r="Y341" s="5" t="str">
        <f t="shared" si="15"/>
        <v>C</v>
      </c>
    </row>
    <row r="342" spans="2:25" x14ac:dyDescent="0.25">
      <c r="B342" s="11">
        <v>44718</v>
      </c>
      <c r="C342" s="7">
        <v>600004037388</v>
      </c>
      <c r="D342" s="5">
        <v>1</v>
      </c>
      <c r="E342" t="s">
        <v>515</v>
      </c>
      <c r="F342" t="s">
        <v>559</v>
      </c>
      <c r="G342" t="s">
        <v>664</v>
      </c>
      <c r="H342" t="s">
        <v>745</v>
      </c>
      <c r="I342" t="s">
        <v>785</v>
      </c>
      <c r="J342" s="27" t="s">
        <v>525</v>
      </c>
      <c r="K342" s="5" t="s">
        <v>122</v>
      </c>
      <c r="L342" s="1" t="s">
        <v>79</v>
      </c>
      <c r="M342" s="1" t="s">
        <v>184</v>
      </c>
      <c r="N342" s="1" t="s">
        <v>245</v>
      </c>
      <c r="O342" s="1" t="s">
        <v>176</v>
      </c>
      <c r="P342" s="9">
        <v>44718</v>
      </c>
      <c r="Q342" s="1" t="s">
        <v>478</v>
      </c>
      <c r="R342" s="1" t="s">
        <v>50</v>
      </c>
      <c r="S342" s="1">
        <v>1</v>
      </c>
      <c r="T342" s="12">
        <v>0.625</v>
      </c>
      <c r="U342" s="12">
        <v>0.66666666666666663</v>
      </c>
      <c r="V342" s="1">
        <v>1</v>
      </c>
      <c r="W342" s="1">
        <v>1</v>
      </c>
      <c r="X342" s="1">
        <f t="shared" si="14"/>
        <v>1</v>
      </c>
      <c r="Y342" s="5" t="str">
        <f t="shared" si="15"/>
        <v>C</v>
      </c>
    </row>
    <row r="343" spans="2:25" x14ac:dyDescent="0.25">
      <c r="B343" s="11">
        <v>44719</v>
      </c>
      <c r="C343" s="7">
        <v>600004037750</v>
      </c>
      <c r="D343" s="5">
        <v>1</v>
      </c>
      <c r="E343" t="s">
        <v>515</v>
      </c>
      <c r="F343" t="s">
        <v>559</v>
      </c>
      <c r="G343" t="s">
        <v>664</v>
      </c>
      <c r="H343" t="s">
        <v>745</v>
      </c>
      <c r="I343" t="s">
        <v>785</v>
      </c>
      <c r="J343" s="27" t="s">
        <v>525</v>
      </c>
      <c r="K343" s="5" t="s">
        <v>122</v>
      </c>
      <c r="L343" s="1" t="s">
        <v>36</v>
      </c>
      <c r="M343" s="1" t="s">
        <v>123</v>
      </c>
      <c r="N343" s="1" t="s">
        <v>276</v>
      </c>
      <c r="O343" s="1" t="s">
        <v>176</v>
      </c>
      <c r="P343" s="9">
        <v>44719</v>
      </c>
      <c r="Q343" s="1" t="s">
        <v>479</v>
      </c>
      <c r="R343" s="1" t="s">
        <v>63</v>
      </c>
      <c r="S343" s="1">
        <v>3</v>
      </c>
      <c r="T343" s="12">
        <v>0.36805555555555558</v>
      </c>
      <c r="U343" s="12">
        <v>0.40972222222222227</v>
      </c>
      <c r="V343" s="1">
        <v>1</v>
      </c>
      <c r="W343" s="1">
        <v>1</v>
      </c>
      <c r="X343" s="1">
        <f t="shared" si="14"/>
        <v>3</v>
      </c>
      <c r="Y343" s="5" t="str">
        <f t="shared" si="15"/>
        <v>C</v>
      </c>
    </row>
    <row r="344" spans="2:25" x14ac:dyDescent="0.25">
      <c r="B344" s="11">
        <v>44719</v>
      </c>
      <c r="C344" s="7">
        <v>600004037690</v>
      </c>
      <c r="D344" s="5">
        <v>1</v>
      </c>
      <c r="E344" t="s">
        <v>499</v>
      </c>
      <c r="F344" t="s">
        <v>543</v>
      </c>
      <c r="G344" t="s">
        <v>648</v>
      </c>
      <c r="H344" t="s">
        <v>745</v>
      </c>
      <c r="I344" t="s">
        <v>769</v>
      </c>
      <c r="J344" s="27" t="s">
        <v>525</v>
      </c>
      <c r="K344" s="5" t="s">
        <v>15</v>
      </c>
      <c r="L344" s="1" t="s">
        <v>16</v>
      </c>
      <c r="M344" s="1" t="s">
        <v>205</v>
      </c>
      <c r="N344" s="1" t="s">
        <v>281</v>
      </c>
      <c r="O344" s="1" t="s">
        <v>176</v>
      </c>
      <c r="P344" s="9">
        <v>44719</v>
      </c>
      <c r="Q344" s="1" t="s">
        <v>477</v>
      </c>
      <c r="R344" s="1" t="s">
        <v>63</v>
      </c>
      <c r="S344" s="1">
        <v>2</v>
      </c>
      <c r="T344" s="12">
        <v>0.33333333333333331</v>
      </c>
      <c r="U344" s="12">
        <v>0.35416666666666669</v>
      </c>
      <c r="V344" s="1">
        <v>1.5</v>
      </c>
      <c r="W344" s="1">
        <v>1.5</v>
      </c>
      <c r="X344" s="1">
        <f t="shared" si="14"/>
        <v>3</v>
      </c>
      <c r="Y344" s="5" t="str">
        <f t="shared" si="15"/>
        <v>C</v>
      </c>
    </row>
    <row r="345" spans="2:25" x14ac:dyDescent="0.25">
      <c r="B345" s="11">
        <v>44720</v>
      </c>
      <c r="C345" s="7">
        <v>600004038048</v>
      </c>
      <c r="D345" s="4">
        <v>1</v>
      </c>
      <c r="E345" t="s">
        <v>496</v>
      </c>
      <c r="F345" t="s">
        <v>540</v>
      </c>
      <c r="G345" t="s">
        <v>645</v>
      </c>
      <c r="H345" t="s">
        <v>745</v>
      </c>
      <c r="I345" t="s">
        <v>766</v>
      </c>
      <c r="J345" s="2" t="s">
        <v>525</v>
      </c>
      <c r="K345" s="4" t="s">
        <v>15</v>
      </c>
      <c r="L345" s="1" t="s">
        <v>89</v>
      </c>
      <c r="M345" s="1" t="s">
        <v>274</v>
      </c>
      <c r="N345" s="1" t="s">
        <v>275</v>
      </c>
      <c r="O345" s="1" t="s">
        <v>19</v>
      </c>
      <c r="P345" s="9">
        <v>44720</v>
      </c>
      <c r="Q345" s="12" t="s">
        <v>478</v>
      </c>
      <c r="R345" s="1" t="s">
        <v>50</v>
      </c>
      <c r="S345" s="1">
        <v>1</v>
      </c>
      <c r="T345" s="12">
        <v>0.60416666666666663</v>
      </c>
      <c r="U345" s="12">
        <v>0.66666666666666663</v>
      </c>
      <c r="V345" s="1">
        <v>1.5</v>
      </c>
      <c r="W345" s="1">
        <v>1.5</v>
      </c>
      <c r="X345" s="1">
        <f t="shared" si="14"/>
        <v>1.5</v>
      </c>
      <c r="Y345" s="5" t="str">
        <f t="shared" si="15"/>
        <v>C</v>
      </c>
    </row>
    <row r="346" spans="2:25" x14ac:dyDescent="0.25">
      <c r="B346" s="11">
        <v>44720</v>
      </c>
      <c r="C346" s="7">
        <v>600004038038</v>
      </c>
      <c r="D346" s="5">
        <v>1</v>
      </c>
      <c r="E346" t="s">
        <v>507</v>
      </c>
      <c r="F346" t="s">
        <v>551</v>
      </c>
      <c r="G346" t="s">
        <v>656</v>
      </c>
      <c r="H346" t="s">
        <v>745</v>
      </c>
      <c r="I346" t="s">
        <v>777</v>
      </c>
      <c r="J346" s="26" t="s">
        <v>525</v>
      </c>
      <c r="K346" s="5" t="s">
        <v>15</v>
      </c>
      <c r="L346" s="1" t="s">
        <v>16</v>
      </c>
      <c r="M346" s="1" t="s">
        <v>67</v>
      </c>
      <c r="N346" s="1" t="s">
        <v>120</v>
      </c>
      <c r="O346" s="1" t="s">
        <v>176</v>
      </c>
      <c r="P346" s="9">
        <v>44720</v>
      </c>
      <c r="Q346" s="1" t="s">
        <v>479</v>
      </c>
      <c r="R346" s="1" t="s">
        <v>63</v>
      </c>
      <c r="S346" s="1">
        <v>2</v>
      </c>
      <c r="T346" s="12">
        <v>0.52083333333333337</v>
      </c>
      <c r="U346" s="12">
        <v>0.5625</v>
      </c>
      <c r="V346" s="1">
        <v>1</v>
      </c>
      <c r="W346" s="1">
        <v>1</v>
      </c>
      <c r="X346" s="1">
        <f t="shared" si="14"/>
        <v>2</v>
      </c>
      <c r="Y346" s="1" t="str">
        <f t="shared" si="15"/>
        <v>C</v>
      </c>
    </row>
    <row r="347" spans="2:25" x14ac:dyDescent="0.25">
      <c r="B347" s="11">
        <v>44720</v>
      </c>
      <c r="C347" s="7">
        <v>600004037957</v>
      </c>
      <c r="D347" s="5">
        <v>1</v>
      </c>
      <c r="E347" t="s">
        <v>862</v>
      </c>
      <c r="F347" t="s">
        <v>569</v>
      </c>
      <c r="G347" t="s">
        <v>674</v>
      </c>
      <c r="H347" t="s">
        <v>745</v>
      </c>
      <c r="I347" t="s">
        <v>795</v>
      </c>
      <c r="J347" s="27" t="s">
        <v>525</v>
      </c>
      <c r="K347" s="5" t="s">
        <v>140</v>
      </c>
      <c r="L347" s="1" t="s">
        <v>57</v>
      </c>
      <c r="M347" s="1" t="s">
        <v>141</v>
      </c>
      <c r="N347" s="1" t="s">
        <v>115</v>
      </c>
      <c r="O347" s="1" t="s">
        <v>176</v>
      </c>
      <c r="P347" s="9">
        <v>44720</v>
      </c>
      <c r="Q347" s="1" t="s">
        <v>476</v>
      </c>
      <c r="R347" s="1" t="s">
        <v>63</v>
      </c>
      <c r="S347" s="1">
        <v>1</v>
      </c>
      <c r="T347" s="12">
        <v>0.5625</v>
      </c>
      <c r="U347" s="12">
        <v>0.60416666666666663</v>
      </c>
      <c r="V347" s="1">
        <v>1</v>
      </c>
      <c r="W347" s="1">
        <v>1</v>
      </c>
      <c r="X347" s="1">
        <f t="shared" si="14"/>
        <v>1</v>
      </c>
      <c r="Y347" s="5" t="str">
        <f t="shared" si="15"/>
        <v>C</v>
      </c>
    </row>
    <row r="348" spans="2:25" x14ac:dyDescent="0.25">
      <c r="B348" s="11">
        <v>44720</v>
      </c>
      <c r="C348" s="7">
        <v>600004038065</v>
      </c>
      <c r="D348" s="5">
        <v>1</v>
      </c>
      <c r="E348" t="s">
        <v>520</v>
      </c>
      <c r="F348" t="s">
        <v>564</v>
      </c>
      <c r="G348" t="s">
        <v>669</v>
      </c>
      <c r="H348" t="s">
        <v>744</v>
      </c>
      <c r="I348" t="s">
        <v>790</v>
      </c>
      <c r="J348" s="26" t="s">
        <v>524</v>
      </c>
      <c r="K348" s="5" t="s">
        <v>64</v>
      </c>
      <c r="L348" s="1" t="s">
        <v>57</v>
      </c>
      <c r="M348" s="1" t="s">
        <v>148</v>
      </c>
      <c r="N348" s="1" t="s">
        <v>279</v>
      </c>
      <c r="O348" s="1" t="s">
        <v>19</v>
      </c>
      <c r="P348" s="9">
        <v>44721</v>
      </c>
      <c r="Q348" s="1" t="s">
        <v>473</v>
      </c>
      <c r="R348" s="1" t="s">
        <v>63</v>
      </c>
      <c r="S348" s="1">
        <v>1</v>
      </c>
      <c r="T348" s="12">
        <v>0.29166666666666669</v>
      </c>
      <c r="U348" s="12">
        <v>0.45833333333333331</v>
      </c>
      <c r="V348" s="1">
        <v>4</v>
      </c>
      <c r="W348" s="1">
        <v>4</v>
      </c>
      <c r="X348" s="1">
        <f t="shared" si="14"/>
        <v>4</v>
      </c>
      <c r="Y348" s="5" t="str">
        <f t="shared" si="15"/>
        <v>B</v>
      </c>
    </row>
    <row r="349" spans="2:25" x14ac:dyDescent="0.25">
      <c r="B349" s="11">
        <v>44720</v>
      </c>
      <c r="C349" s="7">
        <v>600004038076</v>
      </c>
      <c r="D349" s="5">
        <v>1</v>
      </c>
      <c r="E349" t="s">
        <v>499</v>
      </c>
      <c r="F349" t="s">
        <v>543</v>
      </c>
      <c r="G349" t="s">
        <v>648</v>
      </c>
      <c r="H349" t="s">
        <v>745</v>
      </c>
      <c r="I349" t="s">
        <v>769</v>
      </c>
      <c r="J349" s="27" t="s">
        <v>525</v>
      </c>
      <c r="K349" s="5" t="s">
        <v>15</v>
      </c>
      <c r="L349" s="1" t="s">
        <v>89</v>
      </c>
      <c r="M349" s="1" t="s">
        <v>174</v>
      </c>
      <c r="N349" s="1" t="s">
        <v>45</v>
      </c>
      <c r="O349" s="1" t="s">
        <v>19</v>
      </c>
      <c r="P349" s="9">
        <v>44721</v>
      </c>
      <c r="Q349" s="1" t="s">
        <v>477</v>
      </c>
      <c r="R349" s="1" t="s">
        <v>63</v>
      </c>
      <c r="S349" s="1">
        <v>2</v>
      </c>
      <c r="T349" s="12">
        <v>0.39583333333333331</v>
      </c>
      <c r="U349" s="12">
        <v>0.4375</v>
      </c>
      <c r="V349" s="1">
        <v>1</v>
      </c>
      <c r="W349" s="1">
        <v>1</v>
      </c>
      <c r="X349" s="1">
        <f t="shared" si="14"/>
        <v>2</v>
      </c>
      <c r="Y349" s="5" t="str">
        <f t="shared" si="15"/>
        <v>C</v>
      </c>
    </row>
    <row r="350" spans="2:25" x14ac:dyDescent="0.25">
      <c r="B350" s="11">
        <v>44721</v>
      </c>
      <c r="C350" s="7">
        <v>600004038222</v>
      </c>
      <c r="D350" s="5">
        <v>1</v>
      </c>
      <c r="E350" t="s">
        <v>505</v>
      </c>
      <c r="F350" t="s">
        <v>549</v>
      </c>
      <c r="G350" t="s">
        <v>654</v>
      </c>
      <c r="H350" t="s">
        <v>745</v>
      </c>
      <c r="I350" t="s">
        <v>775</v>
      </c>
      <c r="J350" s="27" t="s">
        <v>525</v>
      </c>
      <c r="K350" s="5" t="s">
        <v>15</v>
      </c>
      <c r="L350" s="1" t="s">
        <v>79</v>
      </c>
      <c r="M350" s="1" t="s">
        <v>256</v>
      </c>
      <c r="N350" s="1" t="s">
        <v>277</v>
      </c>
      <c r="O350" s="1" t="s">
        <v>176</v>
      </c>
      <c r="P350" s="9">
        <v>44721</v>
      </c>
      <c r="Q350" s="1" t="s">
        <v>475</v>
      </c>
      <c r="R350" s="1" t="s">
        <v>50</v>
      </c>
      <c r="S350" s="1">
        <v>1</v>
      </c>
      <c r="T350" s="12">
        <v>0.29166666666666669</v>
      </c>
      <c r="U350" s="12">
        <v>0.4375</v>
      </c>
      <c r="V350" s="1">
        <v>3.5</v>
      </c>
      <c r="W350" s="1">
        <v>3.5</v>
      </c>
      <c r="X350" s="1">
        <f t="shared" si="14"/>
        <v>3.5</v>
      </c>
      <c r="Y350" s="5" t="str">
        <f t="shared" si="15"/>
        <v>B</v>
      </c>
    </row>
    <row r="351" spans="2:25" x14ac:dyDescent="0.25">
      <c r="B351" s="11">
        <v>44722</v>
      </c>
      <c r="C351" s="7">
        <v>600004038451</v>
      </c>
      <c r="D351" s="5">
        <v>1</v>
      </c>
      <c r="E351" t="s">
        <v>511</v>
      </c>
      <c r="F351" t="s">
        <v>555</v>
      </c>
      <c r="G351" t="s">
        <v>660</v>
      </c>
      <c r="H351" t="s">
        <v>745</v>
      </c>
      <c r="I351" t="s">
        <v>781</v>
      </c>
      <c r="J351" s="26" t="s">
        <v>525</v>
      </c>
      <c r="K351" s="5" t="s">
        <v>15</v>
      </c>
      <c r="L351" s="1" t="s">
        <v>16</v>
      </c>
      <c r="M351" s="1" t="s">
        <v>280</v>
      </c>
      <c r="N351" s="1" t="s">
        <v>67</v>
      </c>
      <c r="O351" s="1" t="s">
        <v>176</v>
      </c>
      <c r="P351" s="9">
        <v>44722</v>
      </c>
      <c r="Q351" s="1" t="s">
        <v>477</v>
      </c>
      <c r="R351" s="1" t="s">
        <v>63</v>
      </c>
      <c r="S351" s="1">
        <v>2</v>
      </c>
      <c r="T351" s="12">
        <v>0.33333333333333331</v>
      </c>
      <c r="U351" s="12">
        <v>0.45833333333333331</v>
      </c>
      <c r="V351" s="1">
        <v>3</v>
      </c>
      <c r="W351" s="1">
        <v>3</v>
      </c>
      <c r="X351" s="1">
        <f t="shared" si="14"/>
        <v>6</v>
      </c>
      <c r="Y351" s="5" t="str">
        <f t="shared" si="15"/>
        <v>B</v>
      </c>
    </row>
    <row r="352" spans="2:25" x14ac:dyDescent="0.25">
      <c r="B352" s="11">
        <v>44722</v>
      </c>
      <c r="C352" s="7">
        <v>600004038505</v>
      </c>
      <c r="D352" s="5">
        <v>1</v>
      </c>
      <c r="E352" t="s">
        <v>493</v>
      </c>
      <c r="F352" t="s">
        <v>537</v>
      </c>
      <c r="G352" t="s">
        <v>642</v>
      </c>
      <c r="H352" t="s">
        <v>745</v>
      </c>
      <c r="I352" t="s">
        <v>763</v>
      </c>
      <c r="J352" s="27" t="s">
        <v>525</v>
      </c>
      <c r="K352" s="5" t="s">
        <v>15</v>
      </c>
      <c r="L352" s="1" t="s">
        <v>79</v>
      </c>
      <c r="M352" s="1" t="s">
        <v>62</v>
      </c>
      <c r="N352" s="1" t="s">
        <v>238</v>
      </c>
      <c r="O352" s="1" t="s">
        <v>176</v>
      </c>
      <c r="P352" s="9">
        <v>44722</v>
      </c>
      <c r="Q352" s="1" t="s">
        <v>478</v>
      </c>
      <c r="R352" s="1" t="s">
        <v>50</v>
      </c>
      <c r="S352" s="1">
        <v>1</v>
      </c>
      <c r="T352" s="12">
        <v>0.33333333333333331</v>
      </c>
      <c r="U352" s="12">
        <v>0.375</v>
      </c>
      <c r="V352" s="1">
        <v>1</v>
      </c>
      <c r="W352" s="1">
        <v>1</v>
      </c>
      <c r="X352" s="1">
        <f t="shared" si="14"/>
        <v>1</v>
      </c>
      <c r="Y352" s="5" t="str">
        <f t="shared" si="15"/>
        <v>C</v>
      </c>
    </row>
    <row r="353" spans="2:25" x14ac:dyDescent="0.25">
      <c r="B353" s="11">
        <v>44725</v>
      </c>
      <c r="C353" s="7">
        <v>600004038878</v>
      </c>
      <c r="D353" s="5">
        <v>1</v>
      </c>
      <c r="E353" t="s">
        <v>865</v>
      </c>
      <c r="F353" t="s">
        <v>572</v>
      </c>
      <c r="G353" t="s">
        <v>677</v>
      </c>
      <c r="H353" t="s">
        <v>745</v>
      </c>
      <c r="I353" t="s">
        <v>798</v>
      </c>
      <c r="J353" s="27" t="s">
        <v>525</v>
      </c>
      <c r="K353" s="5" t="s">
        <v>168</v>
      </c>
      <c r="L353" s="1" t="s">
        <v>31</v>
      </c>
      <c r="M353" s="1" t="s">
        <v>110</v>
      </c>
      <c r="N353" s="1" t="s">
        <v>283</v>
      </c>
      <c r="O353" s="1" t="s">
        <v>176</v>
      </c>
      <c r="P353" s="9">
        <v>44725</v>
      </c>
      <c r="Q353" s="1" t="s">
        <v>477</v>
      </c>
      <c r="R353" s="1" t="s">
        <v>63</v>
      </c>
      <c r="S353" s="1">
        <v>2</v>
      </c>
      <c r="T353" s="12">
        <v>0.39583333333333331</v>
      </c>
      <c r="U353" s="12">
        <v>0.41666666666666669</v>
      </c>
      <c r="V353" s="1">
        <v>0.5</v>
      </c>
      <c r="W353" s="1">
        <v>0.5</v>
      </c>
      <c r="X353" s="1">
        <f t="shared" si="14"/>
        <v>1</v>
      </c>
      <c r="Y353" s="5" t="str">
        <f t="shared" si="15"/>
        <v>C</v>
      </c>
    </row>
    <row r="354" spans="2:25" x14ac:dyDescent="0.25">
      <c r="B354" s="11">
        <v>44726</v>
      </c>
      <c r="C354" s="7">
        <v>600004039081</v>
      </c>
      <c r="D354" s="5">
        <v>1</v>
      </c>
      <c r="E354" t="s">
        <v>493</v>
      </c>
      <c r="F354" t="s">
        <v>537</v>
      </c>
      <c r="G354" t="s">
        <v>642</v>
      </c>
      <c r="H354" t="s">
        <v>745</v>
      </c>
      <c r="I354" t="s">
        <v>763</v>
      </c>
      <c r="J354" s="26" t="s">
        <v>525</v>
      </c>
      <c r="K354" s="5" t="s">
        <v>15</v>
      </c>
      <c r="L354" s="1" t="s">
        <v>16</v>
      </c>
      <c r="M354" s="1" t="s">
        <v>67</v>
      </c>
      <c r="N354" s="1" t="s">
        <v>67</v>
      </c>
      <c r="O354" s="1" t="s">
        <v>176</v>
      </c>
      <c r="P354" s="9">
        <v>44726</v>
      </c>
      <c r="Q354" s="1" t="s">
        <v>477</v>
      </c>
      <c r="R354" s="1" t="s">
        <v>63</v>
      </c>
      <c r="S354" s="1">
        <v>2</v>
      </c>
      <c r="T354" s="12">
        <v>0.52083333333333337</v>
      </c>
      <c r="U354" s="12">
        <v>0.5625</v>
      </c>
      <c r="V354" s="1">
        <v>1</v>
      </c>
      <c r="W354" s="1">
        <v>1</v>
      </c>
      <c r="X354" s="1">
        <f t="shared" si="14"/>
        <v>2</v>
      </c>
      <c r="Y354" s="5" t="str">
        <f t="shared" si="15"/>
        <v>C</v>
      </c>
    </row>
    <row r="355" spans="2:25" x14ac:dyDescent="0.25">
      <c r="B355" s="11">
        <v>44727</v>
      </c>
      <c r="C355" s="7">
        <v>600004039231</v>
      </c>
      <c r="D355" s="5">
        <v>1</v>
      </c>
      <c r="E355" t="s">
        <v>499</v>
      </c>
      <c r="F355" t="s">
        <v>543</v>
      </c>
      <c r="G355" t="s">
        <v>648</v>
      </c>
      <c r="H355" t="s">
        <v>745</v>
      </c>
      <c r="I355" t="s">
        <v>769</v>
      </c>
      <c r="J355" s="27" t="s">
        <v>525</v>
      </c>
      <c r="K355" s="5" t="s">
        <v>15</v>
      </c>
      <c r="L355" s="1" t="s">
        <v>79</v>
      </c>
      <c r="M355" s="1" t="s">
        <v>282</v>
      </c>
      <c r="N355" s="1" t="s">
        <v>110</v>
      </c>
      <c r="O355" s="1" t="s">
        <v>176</v>
      </c>
      <c r="P355" s="9">
        <v>44727</v>
      </c>
      <c r="Q355" s="1" t="s">
        <v>479</v>
      </c>
      <c r="R355" s="1" t="s">
        <v>63</v>
      </c>
      <c r="S355" s="1">
        <v>2</v>
      </c>
      <c r="T355" s="12">
        <v>0.54166666666666663</v>
      </c>
      <c r="U355" s="12">
        <v>0.5625</v>
      </c>
      <c r="V355" s="1">
        <v>0.5</v>
      </c>
      <c r="W355" s="1">
        <v>0.5</v>
      </c>
      <c r="X355" s="1">
        <f t="shared" si="14"/>
        <v>1</v>
      </c>
      <c r="Y355" s="5" t="str">
        <f t="shared" si="15"/>
        <v>C</v>
      </c>
    </row>
    <row r="356" spans="2:25" x14ac:dyDescent="0.25">
      <c r="B356" s="11">
        <v>44727</v>
      </c>
      <c r="C356" s="7">
        <v>600004039229</v>
      </c>
      <c r="D356" s="5">
        <v>1</v>
      </c>
      <c r="E356" t="s">
        <v>882</v>
      </c>
      <c r="F356" t="s">
        <v>588</v>
      </c>
      <c r="G356" t="s">
        <v>694</v>
      </c>
      <c r="H356" t="s">
        <v>745</v>
      </c>
      <c r="I356" t="s">
        <v>815</v>
      </c>
      <c r="J356" s="27" t="s">
        <v>525</v>
      </c>
      <c r="K356" s="5" t="s">
        <v>15</v>
      </c>
      <c r="L356" s="5" t="s">
        <v>57</v>
      </c>
      <c r="M356" s="1" t="s">
        <v>114</v>
      </c>
      <c r="N356" s="1" t="s">
        <v>115</v>
      </c>
      <c r="O356" s="1" t="s">
        <v>19</v>
      </c>
      <c r="P356" s="9">
        <v>44727</v>
      </c>
      <c r="Q356" s="1" t="s">
        <v>476</v>
      </c>
      <c r="R356" s="1" t="s">
        <v>63</v>
      </c>
      <c r="S356" s="1">
        <v>1</v>
      </c>
      <c r="T356" s="12">
        <v>0.54166666666666663</v>
      </c>
      <c r="U356" s="12">
        <v>0.58333333333333337</v>
      </c>
      <c r="V356" s="1">
        <v>1</v>
      </c>
      <c r="W356" s="1">
        <v>1</v>
      </c>
      <c r="X356" s="1">
        <f t="shared" si="14"/>
        <v>1</v>
      </c>
      <c r="Y356" s="5" t="str">
        <f t="shared" si="15"/>
        <v>C</v>
      </c>
    </row>
    <row r="357" spans="2:25" x14ac:dyDescent="0.25">
      <c r="B357" s="11">
        <v>44728</v>
      </c>
      <c r="C357" s="7">
        <v>600004039433</v>
      </c>
      <c r="D357" s="5">
        <v>1</v>
      </c>
      <c r="E357" t="s">
        <v>889</v>
      </c>
      <c r="F357" t="s">
        <v>594</v>
      </c>
      <c r="G357" t="s">
        <v>701</v>
      </c>
      <c r="H357" t="s">
        <v>747</v>
      </c>
      <c r="I357" t="s">
        <v>822</v>
      </c>
      <c r="J357" s="26" t="s">
        <v>524</v>
      </c>
      <c r="K357" s="5" t="s">
        <v>191</v>
      </c>
      <c r="L357" s="1" t="s">
        <v>57</v>
      </c>
      <c r="M357" s="1" t="s">
        <v>285</v>
      </c>
      <c r="N357" s="1" t="s">
        <v>286</v>
      </c>
      <c r="O357" s="1" t="s">
        <v>176</v>
      </c>
      <c r="P357" s="9">
        <v>44728</v>
      </c>
      <c r="Q357" s="1" t="s">
        <v>474</v>
      </c>
      <c r="R357" s="1" t="s">
        <v>63</v>
      </c>
      <c r="S357" s="1">
        <v>2</v>
      </c>
      <c r="T357" s="12">
        <v>0.41666666666666669</v>
      </c>
      <c r="U357" s="12">
        <v>0.47916666666666669</v>
      </c>
      <c r="V357" s="1">
        <v>1.5</v>
      </c>
      <c r="W357" s="1">
        <v>1.5</v>
      </c>
      <c r="X357" s="1">
        <f t="shared" si="14"/>
        <v>3</v>
      </c>
      <c r="Y357" s="5" t="str">
        <f t="shared" si="15"/>
        <v>C</v>
      </c>
    </row>
    <row r="358" spans="2:25" x14ac:dyDescent="0.25">
      <c r="B358" s="11">
        <v>44728</v>
      </c>
      <c r="C358" s="7">
        <v>600004039431</v>
      </c>
      <c r="D358" s="5">
        <v>1</v>
      </c>
      <c r="E358" t="s">
        <v>501</v>
      </c>
      <c r="F358" t="s">
        <v>545</v>
      </c>
      <c r="G358" t="s">
        <v>650</v>
      </c>
      <c r="H358" t="s">
        <v>740</v>
      </c>
      <c r="I358" t="s">
        <v>771</v>
      </c>
      <c r="J358" s="27" t="s">
        <v>524</v>
      </c>
      <c r="K358" s="5" t="s">
        <v>70</v>
      </c>
      <c r="L358" s="1" t="s">
        <v>31</v>
      </c>
      <c r="M358" s="1" t="s">
        <v>55</v>
      </c>
      <c r="N358" s="1" t="s">
        <v>295</v>
      </c>
      <c r="O358" s="1" t="s">
        <v>176</v>
      </c>
      <c r="P358" s="9">
        <v>44735</v>
      </c>
      <c r="Q358" s="1" t="s">
        <v>473</v>
      </c>
      <c r="R358" s="1" t="s">
        <v>63</v>
      </c>
      <c r="S358" s="1">
        <v>2</v>
      </c>
      <c r="T358" s="12">
        <v>0.25</v>
      </c>
      <c r="U358" s="12">
        <v>0.66666666666666663</v>
      </c>
      <c r="V358" s="1">
        <v>10</v>
      </c>
      <c r="W358" s="1">
        <v>10</v>
      </c>
      <c r="X358" s="1">
        <f t="shared" si="14"/>
        <v>20</v>
      </c>
      <c r="Y358" s="5" t="str">
        <f t="shared" si="15"/>
        <v>A</v>
      </c>
    </row>
    <row r="359" spans="2:25" x14ac:dyDescent="0.25">
      <c r="B359" s="11">
        <v>44733</v>
      </c>
      <c r="C359" s="7">
        <v>600004040699</v>
      </c>
      <c r="D359" s="5">
        <v>1</v>
      </c>
      <c r="E359" t="s">
        <v>507</v>
      </c>
      <c r="F359" t="s">
        <v>551</v>
      </c>
      <c r="G359" t="s">
        <v>656</v>
      </c>
      <c r="H359" t="s">
        <v>745</v>
      </c>
      <c r="I359" t="s">
        <v>777</v>
      </c>
      <c r="J359" s="27" t="s">
        <v>525</v>
      </c>
      <c r="K359" s="5" t="s">
        <v>15</v>
      </c>
      <c r="L359" s="1" t="s">
        <v>71</v>
      </c>
      <c r="M359" s="1" t="s">
        <v>126</v>
      </c>
      <c r="N359" s="1" t="s">
        <v>194</v>
      </c>
      <c r="O359" s="1" t="s">
        <v>19</v>
      </c>
      <c r="P359" s="9">
        <v>44742</v>
      </c>
      <c r="Q359" s="1" t="s">
        <v>477</v>
      </c>
      <c r="R359" s="1" t="s">
        <v>63</v>
      </c>
      <c r="S359" s="1">
        <v>2</v>
      </c>
      <c r="T359" s="12">
        <v>0.44444444444444442</v>
      </c>
      <c r="U359" s="12">
        <v>0.4861111111111111</v>
      </c>
      <c r="V359" s="1">
        <v>1</v>
      </c>
      <c r="W359" s="1">
        <v>1</v>
      </c>
      <c r="X359" s="1">
        <f t="shared" si="14"/>
        <v>2</v>
      </c>
      <c r="Y359" s="5" t="str">
        <f t="shared" si="15"/>
        <v>C</v>
      </c>
    </row>
    <row r="360" spans="2:25" x14ac:dyDescent="0.25">
      <c r="B360" s="11">
        <v>44733</v>
      </c>
      <c r="C360" s="7">
        <v>600004040698</v>
      </c>
      <c r="D360" s="5">
        <v>1</v>
      </c>
      <c r="E360" t="s">
        <v>517</v>
      </c>
      <c r="F360" t="s">
        <v>561</v>
      </c>
      <c r="G360" t="s">
        <v>666</v>
      </c>
      <c r="H360" t="s">
        <v>745</v>
      </c>
      <c r="I360" t="s">
        <v>787</v>
      </c>
      <c r="J360" s="26" t="s">
        <v>525</v>
      </c>
      <c r="K360" s="5" t="s">
        <v>15</v>
      </c>
      <c r="L360" s="1" t="s">
        <v>71</v>
      </c>
      <c r="M360" s="1" t="s">
        <v>126</v>
      </c>
      <c r="N360" s="1" t="s">
        <v>84</v>
      </c>
      <c r="O360" s="1" t="s">
        <v>19</v>
      </c>
      <c r="P360" s="9">
        <v>44742</v>
      </c>
      <c r="Q360" s="1" t="s">
        <v>477</v>
      </c>
      <c r="R360" s="1" t="s">
        <v>63</v>
      </c>
      <c r="S360" s="1">
        <v>2</v>
      </c>
      <c r="T360" s="12">
        <v>0.39583333333333331</v>
      </c>
      <c r="U360" s="12">
        <v>0.4375</v>
      </c>
      <c r="V360" s="1">
        <v>1</v>
      </c>
      <c r="W360" s="1">
        <v>1</v>
      </c>
      <c r="X360" s="1">
        <f t="shared" si="14"/>
        <v>2</v>
      </c>
      <c r="Y360" s="5" t="str">
        <f t="shared" si="15"/>
        <v>C</v>
      </c>
    </row>
    <row r="361" spans="2:25" x14ac:dyDescent="0.25">
      <c r="B361" s="11">
        <v>44733</v>
      </c>
      <c r="C361" s="7">
        <v>600004040702</v>
      </c>
      <c r="D361" s="5">
        <v>1</v>
      </c>
      <c r="E361" t="s">
        <v>500</v>
      </c>
      <c r="F361" t="s">
        <v>544</v>
      </c>
      <c r="G361" t="s">
        <v>649</v>
      </c>
      <c r="H361" t="s">
        <v>745</v>
      </c>
      <c r="I361" t="s">
        <v>770</v>
      </c>
      <c r="J361" s="27" t="s">
        <v>525</v>
      </c>
      <c r="K361" s="5" t="s">
        <v>15</v>
      </c>
      <c r="L361" s="1" t="s">
        <v>71</v>
      </c>
      <c r="M361" s="1" t="s">
        <v>57</v>
      </c>
      <c r="N361" s="1" t="s">
        <v>116</v>
      </c>
      <c r="O361" s="1" t="s">
        <v>19</v>
      </c>
      <c r="P361" s="9">
        <v>44742</v>
      </c>
      <c r="Q361" s="1" t="s">
        <v>477</v>
      </c>
      <c r="R361" s="1" t="s">
        <v>63</v>
      </c>
      <c r="S361" s="1">
        <v>2</v>
      </c>
      <c r="T361" s="12">
        <v>0.34722222222222227</v>
      </c>
      <c r="U361" s="12">
        <v>0.3888888888888889</v>
      </c>
      <c r="V361" s="1">
        <v>1</v>
      </c>
      <c r="W361" s="1">
        <v>1</v>
      </c>
      <c r="X361" s="1">
        <f t="shared" si="14"/>
        <v>2</v>
      </c>
      <c r="Y361" s="5" t="str">
        <f t="shared" si="15"/>
        <v>C</v>
      </c>
    </row>
    <row r="362" spans="2:25" x14ac:dyDescent="0.25">
      <c r="B362" s="11">
        <v>44733</v>
      </c>
      <c r="C362" s="7">
        <v>600004040701</v>
      </c>
      <c r="D362" s="5">
        <v>1</v>
      </c>
      <c r="E362" t="s">
        <v>875</v>
      </c>
      <c r="F362" t="s">
        <v>581</v>
      </c>
      <c r="G362" t="s">
        <v>687</v>
      </c>
      <c r="H362" t="s">
        <v>745</v>
      </c>
      <c r="I362" t="s">
        <v>808</v>
      </c>
      <c r="J362" s="27" t="s">
        <v>525</v>
      </c>
      <c r="K362" s="5" t="s">
        <v>15</v>
      </c>
      <c r="L362" s="1" t="s">
        <v>71</v>
      </c>
      <c r="M362" s="1" t="s">
        <v>60</v>
      </c>
      <c r="N362" s="1" t="s">
        <v>84</v>
      </c>
      <c r="O362" s="1" t="s">
        <v>19</v>
      </c>
      <c r="P362" s="9">
        <v>44736</v>
      </c>
      <c r="Q362" s="1" t="s">
        <v>477</v>
      </c>
      <c r="R362" s="1" t="s">
        <v>63</v>
      </c>
      <c r="S362" s="1">
        <v>2</v>
      </c>
      <c r="T362" s="12">
        <v>0.3125</v>
      </c>
      <c r="U362" s="12">
        <v>0.35416666666666669</v>
      </c>
      <c r="V362" s="1">
        <v>1</v>
      </c>
      <c r="W362" s="1">
        <v>1</v>
      </c>
      <c r="X362" s="1">
        <f t="shared" si="14"/>
        <v>2</v>
      </c>
      <c r="Y362" s="5" t="str">
        <f t="shared" si="15"/>
        <v>C</v>
      </c>
    </row>
    <row r="363" spans="2:25" x14ac:dyDescent="0.25">
      <c r="B363" s="11">
        <v>44733</v>
      </c>
      <c r="C363" s="7">
        <v>600004040700</v>
      </c>
      <c r="D363" s="4">
        <v>1</v>
      </c>
      <c r="E363" t="s">
        <v>496</v>
      </c>
      <c r="F363" t="s">
        <v>540</v>
      </c>
      <c r="G363" t="s">
        <v>645</v>
      </c>
      <c r="H363" t="s">
        <v>745</v>
      </c>
      <c r="I363" t="s">
        <v>766</v>
      </c>
      <c r="J363" s="29" t="s">
        <v>525</v>
      </c>
      <c r="K363" s="4" t="s">
        <v>15</v>
      </c>
      <c r="L363" s="1" t="s">
        <v>71</v>
      </c>
      <c r="M363" s="1" t="s">
        <v>60</v>
      </c>
      <c r="N363" s="1" t="s">
        <v>84</v>
      </c>
      <c r="O363" s="1" t="s">
        <v>19</v>
      </c>
      <c r="P363" s="9">
        <v>44736</v>
      </c>
      <c r="Q363" s="1" t="s">
        <v>477</v>
      </c>
      <c r="R363" s="1" t="s">
        <v>63</v>
      </c>
      <c r="S363" s="1">
        <v>2</v>
      </c>
      <c r="T363" s="12">
        <v>0.52083333333333337</v>
      </c>
      <c r="U363" s="12">
        <v>0.54166666666666663</v>
      </c>
      <c r="V363" s="1">
        <v>0.5</v>
      </c>
      <c r="W363" s="1">
        <v>0.5</v>
      </c>
      <c r="X363" s="1">
        <f t="shared" si="14"/>
        <v>1</v>
      </c>
      <c r="Y363" s="5" t="str">
        <f t="shared" si="15"/>
        <v>C</v>
      </c>
    </row>
    <row r="364" spans="2:25" x14ac:dyDescent="0.25">
      <c r="B364" s="11">
        <v>44733</v>
      </c>
      <c r="C364" s="7">
        <v>600004040697</v>
      </c>
      <c r="D364" s="5">
        <v>1</v>
      </c>
      <c r="E364" t="s">
        <v>499</v>
      </c>
      <c r="F364" t="s">
        <v>543</v>
      </c>
      <c r="G364" t="s">
        <v>648</v>
      </c>
      <c r="H364" t="s">
        <v>745</v>
      </c>
      <c r="I364" t="s">
        <v>769</v>
      </c>
      <c r="J364" s="27" t="s">
        <v>525</v>
      </c>
      <c r="K364" s="5" t="s">
        <v>15</v>
      </c>
      <c r="L364" s="1" t="s">
        <v>71</v>
      </c>
      <c r="M364" s="1" t="s">
        <v>60</v>
      </c>
      <c r="N364" s="1" t="s">
        <v>84</v>
      </c>
      <c r="O364" s="1" t="s">
        <v>19</v>
      </c>
      <c r="P364" s="9">
        <v>44736</v>
      </c>
      <c r="Q364" s="1" t="s">
        <v>477</v>
      </c>
      <c r="R364" s="1" t="s">
        <v>63</v>
      </c>
      <c r="S364" s="1">
        <v>2</v>
      </c>
      <c r="T364" s="12">
        <v>0.39583333333333331</v>
      </c>
      <c r="U364" s="12">
        <v>0.47916666666666669</v>
      </c>
      <c r="V364" s="1">
        <v>2</v>
      </c>
      <c r="W364" s="1">
        <v>2</v>
      </c>
      <c r="X364" s="1">
        <f t="shared" si="14"/>
        <v>4</v>
      </c>
      <c r="Y364" s="5" t="str">
        <f t="shared" si="15"/>
        <v>C</v>
      </c>
    </row>
    <row r="365" spans="2:25" x14ac:dyDescent="0.25">
      <c r="B365" s="11">
        <v>44733</v>
      </c>
      <c r="C365" s="7">
        <v>600004040695</v>
      </c>
      <c r="D365" s="5">
        <v>1</v>
      </c>
      <c r="E365" t="s">
        <v>505</v>
      </c>
      <c r="F365" t="s">
        <v>549</v>
      </c>
      <c r="G365" t="s">
        <v>654</v>
      </c>
      <c r="H365" t="s">
        <v>745</v>
      </c>
      <c r="I365" t="s">
        <v>775</v>
      </c>
      <c r="J365" s="26" t="s">
        <v>525</v>
      </c>
      <c r="K365" s="5" t="s">
        <v>15</v>
      </c>
      <c r="L365" s="1" t="s">
        <v>71</v>
      </c>
      <c r="M365" s="1" t="s">
        <v>126</v>
      </c>
      <c r="N365" s="1" t="s">
        <v>194</v>
      </c>
      <c r="O365" s="1" t="s">
        <v>19</v>
      </c>
      <c r="P365" s="9">
        <v>44736</v>
      </c>
      <c r="Q365" s="1" t="s">
        <v>476</v>
      </c>
      <c r="R365" s="1" t="s">
        <v>63</v>
      </c>
      <c r="S365" s="1">
        <v>2</v>
      </c>
      <c r="T365" s="12">
        <v>0.54166666666666663</v>
      </c>
      <c r="U365" s="12">
        <v>0.58333333333333337</v>
      </c>
      <c r="V365" s="1">
        <v>1</v>
      </c>
      <c r="W365" s="1">
        <v>1</v>
      </c>
      <c r="X365" s="1">
        <f t="shared" si="14"/>
        <v>2</v>
      </c>
      <c r="Y365" s="5" t="str">
        <f t="shared" si="15"/>
        <v>C</v>
      </c>
    </row>
    <row r="366" spans="2:25" x14ac:dyDescent="0.25">
      <c r="B366" s="11">
        <v>44733</v>
      </c>
      <c r="C366" s="7">
        <v>600004040696</v>
      </c>
      <c r="D366" s="5">
        <v>1</v>
      </c>
      <c r="E366" t="s">
        <v>511</v>
      </c>
      <c r="F366" t="s">
        <v>555</v>
      </c>
      <c r="G366" t="s">
        <v>660</v>
      </c>
      <c r="H366" t="s">
        <v>745</v>
      </c>
      <c r="I366" t="s">
        <v>781</v>
      </c>
      <c r="J366" s="27" t="s">
        <v>525</v>
      </c>
      <c r="K366" s="5" t="s">
        <v>15</v>
      </c>
      <c r="L366" s="1" t="s">
        <v>71</v>
      </c>
      <c r="M366" s="1" t="s">
        <v>60</v>
      </c>
      <c r="N366" s="1" t="s">
        <v>84</v>
      </c>
      <c r="O366" s="1" t="s">
        <v>19</v>
      </c>
      <c r="P366" s="9">
        <v>44736</v>
      </c>
      <c r="Q366" s="1" t="s">
        <v>476</v>
      </c>
      <c r="R366" s="1" t="s">
        <v>63</v>
      </c>
      <c r="S366" s="1">
        <v>2</v>
      </c>
      <c r="T366" s="12">
        <v>0.58333333333333337</v>
      </c>
      <c r="U366" s="12">
        <v>0.625</v>
      </c>
      <c r="V366" s="1">
        <v>1</v>
      </c>
      <c r="W366" s="1">
        <v>1</v>
      </c>
      <c r="X366" s="1">
        <f t="shared" si="14"/>
        <v>2</v>
      </c>
      <c r="Y366" s="5" t="str">
        <f t="shared" si="15"/>
        <v>C</v>
      </c>
    </row>
    <row r="367" spans="2:25" x14ac:dyDescent="0.25">
      <c r="B367" s="11">
        <v>44735</v>
      </c>
      <c r="C367" s="7">
        <v>600004041201</v>
      </c>
      <c r="D367" s="5">
        <v>1</v>
      </c>
      <c r="E367" t="s">
        <v>486</v>
      </c>
      <c r="F367" t="s">
        <v>530</v>
      </c>
      <c r="G367" t="s">
        <v>635</v>
      </c>
      <c r="H367" t="s">
        <v>740</v>
      </c>
      <c r="I367" t="s">
        <v>756</v>
      </c>
      <c r="J367" s="27" t="s">
        <v>525</v>
      </c>
      <c r="K367" s="5" t="s">
        <v>69</v>
      </c>
      <c r="L367" s="1" t="s">
        <v>57</v>
      </c>
      <c r="M367" s="1" t="s">
        <v>42</v>
      </c>
      <c r="N367" s="1" t="s">
        <v>287</v>
      </c>
      <c r="O367" s="1" t="s">
        <v>176</v>
      </c>
      <c r="P367" s="9">
        <v>44735</v>
      </c>
      <c r="Q367" s="1" t="s">
        <v>474</v>
      </c>
      <c r="R367" s="1" t="s">
        <v>63</v>
      </c>
      <c r="S367" s="1">
        <v>2</v>
      </c>
      <c r="T367" s="12">
        <v>0.60416666666666663</v>
      </c>
      <c r="U367" s="12">
        <v>0.64583333333333337</v>
      </c>
      <c r="V367" s="1">
        <v>1</v>
      </c>
      <c r="W367" s="1">
        <v>1</v>
      </c>
      <c r="X367" s="1">
        <f t="shared" si="14"/>
        <v>2</v>
      </c>
      <c r="Y367" s="5" t="str">
        <f t="shared" si="15"/>
        <v>C</v>
      </c>
    </row>
    <row r="368" spans="2:25" x14ac:dyDescent="0.25">
      <c r="B368" s="11">
        <v>44735</v>
      </c>
      <c r="C368" s="7">
        <v>600004041195</v>
      </c>
      <c r="D368" s="5">
        <v>1</v>
      </c>
      <c r="E368" t="s">
        <v>518</v>
      </c>
      <c r="F368" t="s">
        <v>562</v>
      </c>
      <c r="G368" t="s">
        <v>667</v>
      </c>
      <c r="H368" t="s">
        <v>745</v>
      </c>
      <c r="I368" t="s">
        <v>788</v>
      </c>
      <c r="J368" s="27" t="s">
        <v>525</v>
      </c>
      <c r="K368" s="5" t="s">
        <v>44</v>
      </c>
      <c r="L368" s="1" t="s">
        <v>71</v>
      </c>
      <c r="M368" s="1" t="s">
        <v>44</v>
      </c>
      <c r="N368" s="1" t="s">
        <v>84</v>
      </c>
      <c r="O368" s="1" t="s">
        <v>176</v>
      </c>
      <c r="P368" s="9">
        <v>44735</v>
      </c>
      <c r="Q368" s="1" t="s">
        <v>477</v>
      </c>
      <c r="R368" s="1" t="s">
        <v>63</v>
      </c>
      <c r="S368" s="1">
        <v>1</v>
      </c>
      <c r="T368" s="12">
        <v>0.58333333333333337</v>
      </c>
      <c r="U368" s="12">
        <v>0.60416666666666663</v>
      </c>
      <c r="V368" s="1">
        <v>0.5</v>
      </c>
      <c r="W368" s="1">
        <v>0.5</v>
      </c>
      <c r="X368" s="1">
        <f t="shared" si="14"/>
        <v>0.5</v>
      </c>
      <c r="Y368" s="5" t="str">
        <f t="shared" si="15"/>
        <v>C</v>
      </c>
    </row>
    <row r="369" spans="2:25" x14ac:dyDescent="0.25">
      <c r="B369" s="11">
        <v>44735</v>
      </c>
      <c r="C369" s="7">
        <v>600004041112</v>
      </c>
      <c r="D369" s="5">
        <v>1</v>
      </c>
      <c r="E369" t="s">
        <v>900</v>
      </c>
      <c r="F369" t="s">
        <v>605</v>
      </c>
      <c r="G369" t="s">
        <v>712</v>
      </c>
      <c r="H369" t="s">
        <v>745</v>
      </c>
      <c r="I369" t="s">
        <v>833</v>
      </c>
      <c r="J369" s="27" t="s">
        <v>525</v>
      </c>
      <c r="K369" s="5" t="s">
        <v>88</v>
      </c>
      <c r="L369" s="1" t="s">
        <v>36</v>
      </c>
      <c r="M369" s="1" t="s">
        <v>129</v>
      </c>
      <c r="N369" s="1" t="s">
        <v>294</v>
      </c>
      <c r="O369" s="1" t="s">
        <v>176</v>
      </c>
      <c r="P369" s="9">
        <v>44735</v>
      </c>
      <c r="Q369" s="1" t="s">
        <v>477</v>
      </c>
      <c r="R369" s="1" t="s">
        <v>63</v>
      </c>
      <c r="S369" s="1">
        <v>3</v>
      </c>
      <c r="T369" s="12">
        <v>0.29166666666666669</v>
      </c>
      <c r="U369" s="12">
        <v>0.33333333333333331</v>
      </c>
      <c r="V369" s="1">
        <v>1</v>
      </c>
      <c r="W369" s="1">
        <v>1</v>
      </c>
      <c r="X369" s="1">
        <f t="shared" si="14"/>
        <v>3</v>
      </c>
      <c r="Y369" s="5" t="str">
        <f t="shared" si="15"/>
        <v>C</v>
      </c>
    </row>
    <row r="370" spans="2:25" x14ac:dyDescent="0.25">
      <c r="B370" s="11">
        <v>44736</v>
      </c>
      <c r="C370" s="7">
        <v>600004041439</v>
      </c>
      <c r="D370" s="5">
        <v>1</v>
      </c>
      <c r="E370" t="s">
        <v>504</v>
      </c>
      <c r="F370" t="s">
        <v>548</v>
      </c>
      <c r="G370" t="s">
        <v>653</v>
      </c>
      <c r="H370" t="s">
        <v>745</v>
      </c>
      <c r="I370" t="s">
        <v>774</v>
      </c>
      <c r="J370" s="27" t="s">
        <v>525</v>
      </c>
      <c r="K370" s="5" t="s">
        <v>15</v>
      </c>
      <c r="L370" s="1" t="s">
        <v>148</v>
      </c>
      <c r="M370" s="1" t="s">
        <v>57</v>
      </c>
      <c r="N370" s="1" t="s">
        <v>293</v>
      </c>
      <c r="O370" s="1" t="s">
        <v>176</v>
      </c>
      <c r="P370" s="9">
        <v>44736</v>
      </c>
      <c r="Q370" s="1" t="s">
        <v>475</v>
      </c>
      <c r="R370" s="1" t="s">
        <v>50</v>
      </c>
      <c r="S370" s="1">
        <v>1</v>
      </c>
      <c r="T370" s="12">
        <v>0.3125</v>
      </c>
      <c r="U370" s="12">
        <v>0.35416666666666669</v>
      </c>
      <c r="V370" s="1">
        <v>1</v>
      </c>
      <c r="W370" s="1">
        <v>1</v>
      </c>
      <c r="X370" s="1">
        <f t="shared" si="14"/>
        <v>1</v>
      </c>
      <c r="Y370" s="5" t="str">
        <f t="shared" si="15"/>
        <v>C</v>
      </c>
    </row>
    <row r="371" spans="2:25" x14ac:dyDescent="0.25">
      <c r="B371" s="11">
        <v>44736</v>
      </c>
      <c r="C371" s="7">
        <v>600004041419</v>
      </c>
      <c r="D371" s="5">
        <v>1</v>
      </c>
      <c r="E371" t="s">
        <v>869</v>
      </c>
      <c r="F371" t="s">
        <v>576</v>
      </c>
      <c r="G371" t="s">
        <v>681</v>
      </c>
      <c r="H371" t="s">
        <v>745</v>
      </c>
      <c r="I371" t="s">
        <v>802</v>
      </c>
      <c r="J371" s="26" t="s">
        <v>525</v>
      </c>
      <c r="K371" s="5" t="s">
        <v>15</v>
      </c>
      <c r="L371" s="1" t="s">
        <v>124</v>
      </c>
      <c r="M371" s="1" t="s">
        <v>57</v>
      </c>
      <c r="N371" s="1" t="s">
        <v>290</v>
      </c>
      <c r="O371" s="1" t="s">
        <v>176</v>
      </c>
      <c r="P371" s="9">
        <v>44736</v>
      </c>
      <c r="Q371" s="1" t="s">
        <v>476</v>
      </c>
      <c r="R371" s="1" t="s">
        <v>63</v>
      </c>
      <c r="S371" s="1">
        <v>1</v>
      </c>
      <c r="T371" s="12">
        <v>0.625</v>
      </c>
      <c r="U371" s="12">
        <v>0.64583333333333337</v>
      </c>
      <c r="V371" s="1">
        <v>0.5</v>
      </c>
      <c r="W371" s="1">
        <v>0.5</v>
      </c>
      <c r="X371" s="1">
        <f t="shared" si="14"/>
        <v>0.5</v>
      </c>
      <c r="Y371" s="5" t="str">
        <f t="shared" si="15"/>
        <v>C</v>
      </c>
    </row>
    <row r="372" spans="2:25" x14ac:dyDescent="0.25">
      <c r="B372" s="11">
        <v>44739</v>
      </c>
      <c r="C372" s="7">
        <v>600004041905</v>
      </c>
      <c r="D372" s="5">
        <v>1</v>
      </c>
      <c r="E372" t="s">
        <v>497</v>
      </c>
      <c r="F372" t="s">
        <v>541</v>
      </c>
      <c r="G372" t="s">
        <v>646</v>
      </c>
      <c r="H372" t="s">
        <v>746</v>
      </c>
      <c r="I372" t="s">
        <v>767</v>
      </c>
      <c r="J372" s="27" t="s">
        <v>525</v>
      </c>
      <c r="K372" s="5" t="s">
        <v>76</v>
      </c>
      <c r="L372" s="1" t="s">
        <v>289</v>
      </c>
      <c r="M372" s="1" t="s">
        <v>290</v>
      </c>
      <c r="N372" s="1" t="s">
        <v>138</v>
      </c>
      <c r="O372" s="1" t="s">
        <v>176</v>
      </c>
      <c r="P372" s="9">
        <v>44739</v>
      </c>
      <c r="Q372" s="1" t="s">
        <v>477</v>
      </c>
      <c r="R372" s="1" t="s">
        <v>63</v>
      </c>
      <c r="S372" s="1">
        <v>2</v>
      </c>
      <c r="T372" s="12">
        <v>0.35416666666666669</v>
      </c>
      <c r="U372" s="12">
        <v>0.4375</v>
      </c>
      <c r="V372" s="1">
        <v>2</v>
      </c>
      <c r="W372" s="1">
        <v>2</v>
      </c>
      <c r="X372" s="1">
        <f t="shared" si="14"/>
        <v>4</v>
      </c>
      <c r="Y372" s="5" t="str">
        <f t="shared" si="15"/>
        <v>C</v>
      </c>
    </row>
    <row r="373" spans="2:25" x14ac:dyDescent="0.25">
      <c r="B373" s="11">
        <v>44739</v>
      </c>
      <c r="C373" s="7">
        <v>600004041912</v>
      </c>
      <c r="D373" s="5">
        <v>1</v>
      </c>
      <c r="E373" t="s">
        <v>866</v>
      </c>
      <c r="F373" t="s">
        <v>573</v>
      </c>
      <c r="G373" t="s">
        <v>678</v>
      </c>
      <c r="H373" t="s">
        <v>745</v>
      </c>
      <c r="I373" t="s">
        <v>799</v>
      </c>
      <c r="J373" s="26" t="s">
        <v>524</v>
      </c>
      <c r="K373" s="5" t="s">
        <v>15</v>
      </c>
      <c r="L373" s="1" t="s">
        <v>89</v>
      </c>
      <c r="M373" s="1" t="s">
        <v>57</v>
      </c>
      <c r="N373" s="1" t="s">
        <v>67</v>
      </c>
      <c r="O373" s="1" t="s">
        <v>176</v>
      </c>
      <c r="P373" s="9">
        <v>44739</v>
      </c>
      <c r="Q373" s="1" t="s">
        <v>476</v>
      </c>
      <c r="R373" s="1" t="s">
        <v>63</v>
      </c>
      <c r="S373" s="1">
        <v>1</v>
      </c>
      <c r="T373" s="12">
        <v>0.3125</v>
      </c>
      <c r="U373" s="12">
        <v>0.375</v>
      </c>
      <c r="V373" s="1">
        <v>1.5</v>
      </c>
      <c r="W373" s="1">
        <v>1.5</v>
      </c>
      <c r="X373" s="1">
        <f t="shared" si="14"/>
        <v>1.5</v>
      </c>
      <c r="Y373" s="5" t="str">
        <f t="shared" si="15"/>
        <v>C</v>
      </c>
    </row>
    <row r="374" spans="2:25" x14ac:dyDescent="0.25">
      <c r="B374" s="11">
        <v>44740</v>
      </c>
      <c r="C374" s="7">
        <v>600004042275</v>
      </c>
      <c r="D374" s="5">
        <v>1</v>
      </c>
      <c r="E374" t="s">
        <v>901</v>
      </c>
      <c r="F374" t="s">
        <v>606</v>
      </c>
      <c r="G374" t="s">
        <v>713</v>
      </c>
      <c r="H374" t="s">
        <v>745</v>
      </c>
      <c r="I374" t="s">
        <v>834</v>
      </c>
      <c r="J374" s="27" t="s">
        <v>525</v>
      </c>
      <c r="K374" s="5" t="s">
        <v>15</v>
      </c>
      <c r="L374" s="1" t="s">
        <v>57</v>
      </c>
      <c r="M374" s="1" t="s">
        <v>135</v>
      </c>
      <c r="N374" s="1" t="s">
        <v>180</v>
      </c>
      <c r="O374" s="1" t="s">
        <v>176</v>
      </c>
      <c r="P374" s="9">
        <v>44740</v>
      </c>
      <c r="Q374" s="1" t="s">
        <v>476</v>
      </c>
      <c r="R374" s="1" t="s">
        <v>63</v>
      </c>
      <c r="S374" s="1">
        <v>1</v>
      </c>
      <c r="T374" s="12">
        <v>0.39583333333333331</v>
      </c>
      <c r="U374" s="12">
        <v>0.4375</v>
      </c>
      <c r="V374" s="1">
        <v>1</v>
      </c>
      <c r="W374" s="1">
        <v>1</v>
      </c>
      <c r="X374" s="1">
        <f t="shared" si="14"/>
        <v>1</v>
      </c>
      <c r="Y374" s="5" t="str">
        <f t="shared" si="15"/>
        <v>C</v>
      </c>
    </row>
    <row r="375" spans="2:25" x14ac:dyDescent="0.25">
      <c r="B375" s="11">
        <v>44740</v>
      </c>
      <c r="C375" s="7">
        <v>600004042274</v>
      </c>
      <c r="D375" s="5">
        <v>1</v>
      </c>
      <c r="E375" t="s">
        <v>493</v>
      </c>
      <c r="F375" t="s">
        <v>537</v>
      </c>
      <c r="G375" t="s">
        <v>642</v>
      </c>
      <c r="H375" t="s">
        <v>745</v>
      </c>
      <c r="I375" t="s">
        <v>763</v>
      </c>
      <c r="J375" s="26" t="s">
        <v>525</v>
      </c>
      <c r="K375" s="5" t="s">
        <v>15</v>
      </c>
      <c r="L375" s="1" t="s">
        <v>16</v>
      </c>
      <c r="M375" s="1" t="s">
        <v>65</v>
      </c>
      <c r="N375" s="1" t="s">
        <v>52</v>
      </c>
      <c r="O375" s="1" t="s">
        <v>176</v>
      </c>
      <c r="P375" s="9">
        <v>44741</v>
      </c>
      <c r="Q375" s="1" t="s">
        <v>477</v>
      </c>
      <c r="R375" s="1" t="s">
        <v>63</v>
      </c>
      <c r="S375" s="1">
        <v>1</v>
      </c>
      <c r="T375" s="12">
        <v>0.52083333333333337</v>
      </c>
      <c r="U375" s="12">
        <v>0.5625</v>
      </c>
      <c r="V375" s="1">
        <v>1</v>
      </c>
      <c r="W375" s="1">
        <v>1</v>
      </c>
      <c r="X375" s="1">
        <f t="shared" si="14"/>
        <v>1</v>
      </c>
      <c r="Y375" s="5" t="str">
        <f t="shared" si="15"/>
        <v>C</v>
      </c>
    </row>
    <row r="376" spans="2:25" x14ac:dyDescent="0.25">
      <c r="B376" s="11">
        <v>44740</v>
      </c>
      <c r="C376" s="7">
        <v>600004042290</v>
      </c>
      <c r="D376" s="5">
        <v>1</v>
      </c>
      <c r="E376" t="s">
        <v>893</v>
      </c>
      <c r="F376" t="s">
        <v>598</v>
      </c>
      <c r="G376" t="s">
        <v>705</v>
      </c>
      <c r="H376" t="s">
        <v>740</v>
      </c>
      <c r="I376" t="s">
        <v>826</v>
      </c>
      <c r="J376" s="27" t="s">
        <v>524</v>
      </c>
      <c r="K376" s="5" t="s">
        <v>127</v>
      </c>
      <c r="L376" s="1" t="s">
        <v>16</v>
      </c>
      <c r="M376" s="1" t="s">
        <v>55</v>
      </c>
      <c r="N376" s="1" t="s">
        <v>83</v>
      </c>
      <c r="O376" s="1" t="s">
        <v>176</v>
      </c>
      <c r="P376" s="9">
        <v>44740</v>
      </c>
      <c r="Q376" s="1" t="s">
        <v>473</v>
      </c>
      <c r="R376" s="1" t="s">
        <v>63</v>
      </c>
      <c r="S376" s="1">
        <v>2</v>
      </c>
      <c r="T376" s="12">
        <v>0.54166666666666663</v>
      </c>
      <c r="U376" s="12">
        <v>0.625</v>
      </c>
      <c r="V376" s="1">
        <v>2</v>
      </c>
      <c r="W376" s="1">
        <v>2</v>
      </c>
      <c r="X376" s="1">
        <f t="shared" si="14"/>
        <v>4</v>
      </c>
      <c r="Y376" s="5" t="str">
        <f t="shared" si="15"/>
        <v>C</v>
      </c>
    </row>
    <row r="377" spans="2:25" x14ac:dyDescent="0.25">
      <c r="B377" s="11">
        <v>44741</v>
      </c>
      <c r="C377" s="7">
        <v>600004042476</v>
      </c>
      <c r="D377" s="5">
        <v>1</v>
      </c>
      <c r="E377" t="s">
        <v>867</v>
      </c>
      <c r="F377" t="s">
        <v>574</v>
      </c>
      <c r="G377" t="s">
        <v>679</v>
      </c>
      <c r="H377" t="s">
        <v>745</v>
      </c>
      <c r="I377" t="s">
        <v>800</v>
      </c>
      <c r="J377" s="27" t="s">
        <v>525</v>
      </c>
      <c r="K377" s="5" t="s">
        <v>171</v>
      </c>
      <c r="L377" s="1" t="s">
        <v>57</v>
      </c>
      <c r="M377" s="1" t="s">
        <v>227</v>
      </c>
      <c r="N377" s="1" t="s">
        <v>67</v>
      </c>
      <c r="O377" s="1" t="s">
        <v>176</v>
      </c>
      <c r="P377" s="9">
        <v>44741</v>
      </c>
      <c r="Q377" s="1" t="s">
        <v>476</v>
      </c>
      <c r="R377" s="1" t="s">
        <v>63</v>
      </c>
      <c r="S377" s="1">
        <v>2</v>
      </c>
      <c r="T377" s="12">
        <v>0.39583333333333331</v>
      </c>
      <c r="U377" s="12">
        <v>0.4375</v>
      </c>
      <c r="V377" s="1">
        <v>1</v>
      </c>
      <c r="W377" s="1">
        <v>1</v>
      </c>
      <c r="X377" s="1">
        <f t="shared" si="14"/>
        <v>2</v>
      </c>
      <c r="Y377" s="5" t="str">
        <f t="shared" si="15"/>
        <v>C</v>
      </c>
    </row>
    <row r="378" spans="2:25" x14ac:dyDescent="0.25">
      <c r="B378" s="11">
        <v>44741</v>
      </c>
      <c r="C378" s="7">
        <v>600004043578</v>
      </c>
      <c r="D378" s="5">
        <v>1</v>
      </c>
      <c r="E378" t="s">
        <v>509</v>
      </c>
      <c r="F378" t="s">
        <v>553</v>
      </c>
      <c r="G378" t="s">
        <v>658</v>
      </c>
      <c r="H378" t="s">
        <v>744</v>
      </c>
      <c r="I378" t="s">
        <v>779</v>
      </c>
      <c r="J378" s="27" t="s">
        <v>525</v>
      </c>
      <c r="K378" s="5" t="s">
        <v>64</v>
      </c>
      <c r="L378" s="1" t="s">
        <v>36</v>
      </c>
      <c r="M378" s="1" t="s">
        <v>37</v>
      </c>
      <c r="N378" s="1" t="s">
        <v>75</v>
      </c>
      <c r="O378" s="1" t="s">
        <v>19</v>
      </c>
      <c r="P378" s="9">
        <v>44741</v>
      </c>
      <c r="Q378" s="1" t="s">
        <v>473</v>
      </c>
      <c r="R378" s="1" t="s">
        <v>63</v>
      </c>
      <c r="S378" s="1">
        <v>2</v>
      </c>
      <c r="T378" s="12">
        <v>0.29166666666666669</v>
      </c>
      <c r="U378" s="12">
        <v>0.66666666666666663</v>
      </c>
      <c r="V378" s="1">
        <v>9</v>
      </c>
      <c r="W378" s="1">
        <v>9</v>
      </c>
      <c r="X378" s="1">
        <f t="shared" si="14"/>
        <v>18</v>
      </c>
      <c r="Y378" s="5" t="str">
        <f t="shared" si="15"/>
        <v>A</v>
      </c>
    </row>
    <row r="379" spans="2:25" x14ac:dyDescent="0.25">
      <c r="B379" s="11">
        <v>44742</v>
      </c>
      <c r="C379" s="7">
        <v>600004043892</v>
      </c>
      <c r="D379" s="5">
        <v>1</v>
      </c>
      <c r="E379" t="s">
        <v>896</v>
      </c>
      <c r="F379" t="s">
        <v>601</v>
      </c>
      <c r="G379" t="s">
        <v>708</v>
      </c>
      <c r="H379" t="s">
        <v>743</v>
      </c>
      <c r="I379" t="s">
        <v>829</v>
      </c>
      <c r="J379" s="27" t="s">
        <v>525</v>
      </c>
      <c r="K379" s="5" t="s">
        <v>122</v>
      </c>
      <c r="L379" s="1" t="s">
        <v>89</v>
      </c>
      <c r="M379" s="1" t="s">
        <v>57</v>
      </c>
      <c r="N379" s="1" t="s">
        <v>67</v>
      </c>
      <c r="O379" s="1" t="s">
        <v>176</v>
      </c>
      <c r="P379" s="9">
        <v>44742</v>
      </c>
      <c r="Q379" s="1" t="s">
        <v>475</v>
      </c>
      <c r="R379" s="1" t="s">
        <v>63</v>
      </c>
      <c r="S379" s="1">
        <v>2</v>
      </c>
      <c r="T379" s="12">
        <v>0.45833333333333331</v>
      </c>
      <c r="U379" s="12">
        <v>0.5</v>
      </c>
      <c r="V379" s="1">
        <v>1</v>
      </c>
      <c r="W379" s="1">
        <v>1</v>
      </c>
      <c r="X379" s="1">
        <f t="shared" si="14"/>
        <v>2</v>
      </c>
      <c r="Y379" s="5" t="str">
        <f t="shared" si="15"/>
        <v>C</v>
      </c>
    </row>
    <row r="380" spans="2:25" x14ac:dyDescent="0.25">
      <c r="B380" s="11">
        <v>44742</v>
      </c>
      <c r="C380" s="7">
        <v>600004043816</v>
      </c>
      <c r="D380" s="5">
        <v>1</v>
      </c>
      <c r="E380" t="s">
        <v>866</v>
      </c>
      <c r="F380" t="s">
        <v>573</v>
      </c>
      <c r="G380" t="s">
        <v>678</v>
      </c>
      <c r="H380" t="s">
        <v>745</v>
      </c>
      <c r="I380" t="s">
        <v>799</v>
      </c>
      <c r="J380" s="27" t="s">
        <v>524</v>
      </c>
      <c r="K380" s="5" t="s">
        <v>15</v>
      </c>
      <c r="L380" s="1" t="s">
        <v>148</v>
      </c>
      <c r="M380" s="1" t="s">
        <v>57</v>
      </c>
      <c r="N380" s="1" t="s">
        <v>291</v>
      </c>
      <c r="O380" s="1" t="s">
        <v>176</v>
      </c>
      <c r="P380" s="9">
        <v>44742</v>
      </c>
      <c r="Q380" s="1" t="s">
        <v>476</v>
      </c>
      <c r="R380" s="1" t="s">
        <v>63</v>
      </c>
      <c r="S380" s="1">
        <v>3</v>
      </c>
      <c r="T380" s="12">
        <v>0.54166666666666663</v>
      </c>
      <c r="U380" s="12">
        <v>0.58333333333333337</v>
      </c>
      <c r="V380" s="1">
        <v>1</v>
      </c>
      <c r="W380" s="1">
        <v>1</v>
      </c>
      <c r="X380" s="1">
        <f t="shared" si="14"/>
        <v>3</v>
      </c>
      <c r="Y380" s="5" t="str">
        <f t="shared" si="15"/>
        <v>C</v>
      </c>
    </row>
    <row r="381" spans="2:25" x14ac:dyDescent="0.25">
      <c r="B381" s="11">
        <v>44742</v>
      </c>
      <c r="C381" s="7">
        <v>600004043857</v>
      </c>
      <c r="D381" s="5">
        <v>1</v>
      </c>
      <c r="E381" t="s">
        <v>482</v>
      </c>
      <c r="F381" t="s">
        <v>526</v>
      </c>
      <c r="G381" t="s">
        <v>631</v>
      </c>
      <c r="H381" t="s">
        <v>740</v>
      </c>
      <c r="I381" t="s">
        <v>752</v>
      </c>
      <c r="J381" s="27" t="s">
        <v>524</v>
      </c>
      <c r="K381" s="5" t="s">
        <v>70</v>
      </c>
      <c r="L381" s="1" t="s">
        <v>296</v>
      </c>
      <c r="M381" s="1" t="s">
        <v>55</v>
      </c>
      <c r="N381" s="1" t="s">
        <v>297</v>
      </c>
      <c r="O381" s="1" t="s">
        <v>176</v>
      </c>
      <c r="P381" s="9">
        <v>44742</v>
      </c>
      <c r="Q381" s="1" t="s">
        <v>474</v>
      </c>
      <c r="R381" s="1" t="s">
        <v>63</v>
      </c>
      <c r="S381" s="1">
        <v>3</v>
      </c>
      <c r="T381" s="12">
        <v>0.29166666666666669</v>
      </c>
      <c r="U381" s="12">
        <v>0.5</v>
      </c>
      <c r="V381" s="1">
        <v>5</v>
      </c>
      <c r="W381" s="1">
        <v>5</v>
      </c>
      <c r="X381" s="1">
        <f t="shared" si="14"/>
        <v>15</v>
      </c>
      <c r="Y381" s="5" t="str">
        <f t="shared" si="15"/>
        <v>B</v>
      </c>
    </row>
    <row r="382" spans="2:25" x14ac:dyDescent="0.25">
      <c r="B382" s="11">
        <v>44743</v>
      </c>
      <c r="C382" s="7">
        <v>600004044306</v>
      </c>
      <c r="D382" s="5">
        <v>1</v>
      </c>
      <c r="E382" t="s">
        <v>515</v>
      </c>
      <c r="F382" t="s">
        <v>559</v>
      </c>
      <c r="G382" t="s">
        <v>664</v>
      </c>
      <c r="H382" t="s">
        <v>745</v>
      </c>
      <c r="I382" t="s">
        <v>785</v>
      </c>
      <c r="J382" s="27" t="s">
        <v>525</v>
      </c>
      <c r="K382" s="5" t="s">
        <v>122</v>
      </c>
      <c r="L382" s="1" t="s">
        <v>173</v>
      </c>
      <c r="M382" s="1" t="s">
        <v>123</v>
      </c>
      <c r="N382" s="1" t="s">
        <v>284</v>
      </c>
      <c r="O382" s="1" t="s">
        <v>176</v>
      </c>
      <c r="P382" s="9">
        <v>44743</v>
      </c>
      <c r="Q382" s="1" t="s">
        <v>475</v>
      </c>
      <c r="R382" s="1" t="s">
        <v>63</v>
      </c>
      <c r="S382" s="1">
        <v>1</v>
      </c>
      <c r="T382" s="12">
        <v>0.41666666666666669</v>
      </c>
      <c r="U382" s="12">
        <v>0.47916666666666669</v>
      </c>
      <c r="V382" s="1">
        <v>1.5</v>
      </c>
      <c r="W382" s="1">
        <v>1.5</v>
      </c>
      <c r="X382" s="1">
        <f t="shared" si="14"/>
        <v>1.5</v>
      </c>
      <c r="Y382" s="5" t="str">
        <f t="shared" si="15"/>
        <v>C</v>
      </c>
    </row>
    <row r="383" spans="2:25" x14ac:dyDescent="0.25">
      <c r="B383" s="11">
        <v>44743</v>
      </c>
      <c r="C383" s="7">
        <v>600004044269</v>
      </c>
      <c r="D383" s="5">
        <v>1</v>
      </c>
      <c r="E383" t="s">
        <v>866</v>
      </c>
      <c r="F383" t="s">
        <v>573</v>
      </c>
      <c r="G383" t="s">
        <v>678</v>
      </c>
      <c r="H383" t="s">
        <v>745</v>
      </c>
      <c r="I383" t="s">
        <v>799</v>
      </c>
      <c r="J383" s="27" t="s">
        <v>524</v>
      </c>
      <c r="K383" s="5" t="s">
        <v>15</v>
      </c>
      <c r="L383" s="1" t="s">
        <v>79</v>
      </c>
      <c r="M383" s="1" t="s">
        <v>62</v>
      </c>
      <c r="N383" s="1" t="s">
        <v>110</v>
      </c>
      <c r="O383" s="1" t="s">
        <v>176</v>
      </c>
      <c r="P383" s="9">
        <v>44743</v>
      </c>
      <c r="Q383" s="1" t="s">
        <v>478</v>
      </c>
      <c r="R383" s="1" t="s">
        <v>50</v>
      </c>
      <c r="S383" s="1">
        <v>1</v>
      </c>
      <c r="T383" s="12">
        <v>0.64583333333333337</v>
      </c>
      <c r="U383" s="12">
        <v>0.6875</v>
      </c>
      <c r="V383" s="1">
        <v>1</v>
      </c>
      <c r="W383" s="1">
        <v>1</v>
      </c>
      <c r="X383" s="1">
        <f t="shared" si="14"/>
        <v>1</v>
      </c>
      <c r="Y383" s="5" t="str">
        <f t="shared" si="15"/>
        <v>C</v>
      </c>
    </row>
    <row r="384" spans="2:25" x14ac:dyDescent="0.25">
      <c r="B384" s="11">
        <v>44743</v>
      </c>
      <c r="C384" s="7">
        <v>600004044268</v>
      </c>
      <c r="D384" s="5">
        <v>1</v>
      </c>
      <c r="E384" t="s">
        <v>499</v>
      </c>
      <c r="F384" t="s">
        <v>543</v>
      </c>
      <c r="G384" t="s">
        <v>648</v>
      </c>
      <c r="H384" t="s">
        <v>745</v>
      </c>
      <c r="I384" t="s">
        <v>769</v>
      </c>
      <c r="J384" s="27" t="s">
        <v>525</v>
      </c>
      <c r="K384" s="5" t="s">
        <v>15</v>
      </c>
      <c r="L384" s="1" t="s">
        <v>16</v>
      </c>
      <c r="M384" s="1" t="s">
        <v>137</v>
      </c>
      <c r="N384" s="1" t="s">
        <v>67</v>
      </c>
      <c r="O384" s="1" t="s">
        <v>176</v>
      </c>
      <c r="P384" s="9">
        <v>44743</v>
      </c>
      <c r="Q384" s="1" t="s">
        <v>477</v>
      </c>
      <c r="R384" s="1" t="s">
        <v>63</v>
      </c>
      <c r="S384" s="1">
        <v>2</v>
      </c>
      <c r="T384" s="12">
        <v>0.3125</v>
      </c>
      <c r="U384" s="12">
        <v>0.39583333333333331</v>
      </c>
      <c r="V384" s="1">
        <v>2</v>
      </c>
      <c r="W384" s="1">
        <v>2</v>
      </c>
      <c r="X384" s="1">
        <f t="shared" si="14"/>
        <v>4</v>
      </c>
      <c r="Y384" s="5" t="str">
        <f t="shared" si="15"/>
        <v>C</v>
      </c>
    </row>
    <row r="385" spans="2:25" x14ac:dyDescent="0.25">
      <c r="B385" s="11">
        <v>44746</v>
      </c>
      <c r="C385" s="7">
        <v>600004044912</v>
      </c>
      <c r="D385" s="5">
        <v>1</v>
      </c>
      <c r="E385" t="s">
        <v>512</v>
      </c>
      <c r="F385" t="s">
        <v>556</v>
      </c>
      <c r="G385" t="s">
        <v>661</v>
      </c>
      <c r="H385" t="s">
        <v>745</v>
      </c>
      <c r="I385" t="s">
        <v>782</v>
      </c>
      <c r="J385" s="26" t="s">
        <v>525</v>
      </c>
      <c r="K385" s="5" t="s">
        <v>88</v>
      </c>
      <c r="L385" s="1" t="s">
        <v>79</v>
      </c>
      <c r="M385" s="1" t="s">
        <v>57</v>
      </c>
      <c r="N385" s="1" t="s">
        <v>292</v>
      </c>
      <c r="O385" s="1" t="s">
        <v>176</v>
      </c>
      <c r="P385" s="9">
        <v>44746</v>
      </c>
      <c r="Q385" s="1" t="s">
        <v>475</v>
      </c>
      <c r="R385" s="1" t="s">
        <v>50</v>
      </c>
      <c r="S385" s="1">
        <v>1</v>
      </c>
      <c r="T385" s="12">
        <v>0.3125</v>
      </c>
      <c r="U385" s="12">
        <v>0.375</v>
      </c>
      <c r="V385" s="1">
        <v>1.5</v>
      </c>
      <c r="W385" s="1">
        <v>1.5</v>
      </c>
      <c r="X385" s="1">
        <f t="shared" si="14"/>
        <v>1.5</v>
      </c>
      <c r="Y385" s="5" t="str">
        <f t="shared" si="15"/>
        <v>C</v>
      </c>
    </row>
    <row r="386" spans="2:25" x14ac:dyDescent="0.25">
      <c r="B386" s="11">
        <v>44746</v>
      </c>
      <c r="C386" s="7">
        <v>600004044998</v>
      </c>
      <c r="D386" s="5">
        <v>1</v>
      </c>
      <c r="E386" t="s">
        <v>866</v>
      </c>
      <c r="F386" t="s">
        <v>573</v>
      </c>
      <c r="G386" t="s">
        <v>678</v>
      </c>
      <c r="H386" t="s">
        <v>745</v>
      </c>
      <c r="I386" t="s">
        <v>799</v>
      </c>
      <c r="J386" s="27" t="s">
        <v>524</v>
      </c>
      <c r="K386" s="5" t="s">
        <v>15</v>
      </c>
      <c r="L386" s="1" t="s">
        <v>298</v>
      </c>
      <c r="M386" s="1" t="s">
        <v>213</v>
      </c>
      <c r="N386" s="1" t="s">
        <v>165</v>
      </c>
      <c r="O386" s="1" t="s">
        <v>176</v>
      </c>
      <c r="P386" s="9">
        <v>44747</v>
      </c>
      <c r="Q386" s="1" t="s">
        <v>477</v>
      </c>
      <c r="R386" s="1" t="s">
        <v>63</v>
      </c>
      <c r="S386" s="1">
        <v>1</v>
      </c>
      <c r="T386" s="12">
        <v>0.41666666666666669</v>
      </c>
      <c r="U386" s="12">
        <v>0.45833333333333331</v>
      </c>
      <c r="V386" s="1">
        <v>1</v>
      </c>
      <c r="W386" s="1">
        <v>1</v>
      </c>
      <c r="X386" s="1">
        <f t="shared" si="14"/>
        <v>1</v>
      </c>
      <c r="Y386" s="5" t="str">
        <f t="shared" si="15"/>
        <v>C</v>
      </c>
    </row>
    <row r="387" spans="2:25" x14ac:dyDescent="0.25">
      <c r="B387" s="11">
        <v>44746</v>
      </c>
      <c r="C387" s="7">
        <v>600004044959</v>
      </c>
      <c r="D387" s="5">
        <v>1</v>
      </c>
      <c r="E387" t="s">
        <v>493</v>
      </c>
      <c r="F387" t="s">
        <v>537</v>
      </c>
      <c r="G387" t="s">
        <v>642</v>
      </c>
      <c r="H387" t="s">
        <v>745</v>
      </c>
      <c r="I387" t="s">
        <v>763</v>
      </c>
      <c r="J387" s="27" t="s">
        <v>525</v>
      </c>
      <c r="K387" s="5" t="s">
        <v>15</v>
      </c>
      <c r="L387" s="1" t="s">
        <v>16</v>
      </c>
      <c r="M387" s="1" t="s">
        <v>299</v>
      </c>
      <c r="N387" s="1" t="s">
        <v>232</v>
      </c>
      <c r="O387" s="1" t="s">
        <v>176</v>
      </c>
      <c r="P387" s="9">
        <v>44754</v>
      </c>
      <c r="Q387" s="1" t="s">
        <v>477</v>
      </c>
      <c r="R387" s="1" t="s">
        <v>63</v>
      </c>
      <c r="S387" s="1">
        <v>3</v>
      </c>
      <c r="T387" s="12">
        <v>0.25</v>
      </c>
      <c r="U387" s="12">
        <v>0.66666666666666663</v>
      </c>
      <c r="V387" s="1">
        <v>10</v>
      </c>
      <c r="W387" s="1">
        <v>10</v>
      </c>
      <c r="X387" s="1">
        <f t="shared" si="14"/>
        <v>30</v>
      </c>
      <c r="Y387" s="5" t="str">
        <f t="shared" si="15"/>
        <v>A</v>
      </c>
    </row>
    <row r="388" spans="2:25" x14ac:dyDescent="0.25">
      <c r="B388" s="11">
        <v>44747</v>
      </c>
      <c r="C388" s="7">
        <v>600004045183</v>
      </c>
      <c r="D388" s="5">
        <v>1</v>
      </c>
      <c r="E388" t="s">
        <v>515</v>
      </c>
      <c r="F388" t="s">
        <v>559</v>
      </c>
      <c r="G388" t="s">
        <v>664</v>
      </c>
      <c r="H388" t="s">
        <v>745</v>
      </c>
      <c r="I388" t="s">
        <v>785</v>
      </c>
      <c r="J388" s="26" t="s">
        <v>525</v>
      </c>
      <c r="K388" s="5" t="s">
        <v>122</v>
      </c>
      <c r="L388" s="1" t="s">
        <v>184</v>
      </c>
      <c r="M388" s="1" t="s">
        <v>123</v>
      </c>
      <c r="N388" s="1" t="s">
        <v>245</v>
      </c>
      <c r="O388" s="1" t="s">
        <v>176</v>
      </c>
      <c r="P388" s="9">
        <v>44747</v>
      </c>
      <c r="Q388" s="1" t="s">
        <v>475</v>
      </c>
      <c r="R388" s="1" t="s">
        <v>50</v>
      </c>
      <c r="S388" s="1">
        <v>1</v>
      </c>
      <c r="T388" s="12">
        <v>0.5</v>
      </c>
      <c r="U388" s="12">
        <v>0.5625</v>
      </c>
      <c r="V388" s="1">
        <v>1.5</v>
      </c>
      <c r="W388" s="1">
        <v>1.5</v>
      </c>
      <c r="X388" s="1">
        <f t="shared" si="14"/>
        <v>1.5</v>
      </c>
      <c r="Y388" s="5" t="str">
        <f t="shared" si="15"/>
        <v>C</v>
      </c>
    </row>
    <row r="389" spans="2:25" x14ac:dyDescent="0.25">
      <c r="B389" s="11">
        <v>44749</v>
      </c>
      <c r="C389" s="7">
        <v>600004045542</v>
      </c>
      <c r="D389" s="5">
        <v>1</v>
      </c>
      <c r="E389" t="s">
        <v>869</v>
      </c>
      <c r="F389" t="s">
        <v>576</v>
      </c>
      <c r="G389" t="s">
        <v>681</v>
      </c>
      <c r="H389" t="s">
        <v>745</v>
      </c>
      <c r="I389" t="s">
        <v>802</v>
      </c>
      <c r="J389" s="27" t="s">
        <v>525</v>
      </c>
      <c r="K389" s="5" t="s">
        <v>15</v>
      </c>
      <c r="L389" s="1" t="s">
        <v>211</v>
      </c>
      <c r="M389" s="1" t="s">
        <v>110</v>
      </c>
      <c r="N389" s="1" t="s">
        <v>204</v>
      </c>
      <c r="O389" s="1" t="s">
        <v>176</v>
      </c>
      <c r="P389" s="9">
        <v>44749</v>
      </c>
      <c r="Q389" s="1" t="s">
        <v>478</v>
      </c>
      <c r="R389" s="1" t="s">
        <v>50</v>
      </c>
      <c r="S389" s="1">
        <v>2</v>
      </c>
      <c r="T389" s="12">
        <v>0.29166666666666669</v>
      </c>
      <c r="U389" s="12">
        <v>0.375</v>
      </c>
      <c r="V389" s="1">
        <v>2</v>
      </c>
      <c r="W389" s="1">
        <v>0</v>
      </c>
      <c r="X389" s="1">
        <f t="shared" si="14"/>
        <v>4</v>
      </c>
      <c r="Y389" s="5" t="str">
        <f t="shared" si="15"/>
        <v>D</v>
      </c>
    </row>
    <row r="390" spans="2:25" x14ac:dyDescent="0.25">
      <c r="B390" s="11">
        <v>44749</v>
      </c>
      <c r="C390" s="7">
        <v>600004045571</v>
      </c>
      <c r="D390" s="5">
        <v>1</v>
      </c>
      <c r="E390" t="s">
        <v>882</v>
      </c>
      <c r="F390" t="s">
        <v>588</v>
      </c>
      <c r="G390" t="s">
        <v>694</v>
      </c>
      <c r="H390" t="s">
        <v>745</v>
      </c>
      <c r="I390" t="s">
        <v>815</v>
      </c>
      <c r="J390" s="27" t="s">
        <v>525</v>
      </c>
      <c r="K390" s="5" t="s">
        <v>15</v>
      </c>
      <c r="L390" s="1" t="s">
        <v>16</v>
      </c>
      <c r="M390" s="1" t="s">
        <v>137</v>
      </c>
      <c r="N390" s="1" t="s">
        <v>67</v>
      </c>
      <c r="O390" s="1" t="s">
        <v>176</v>
      </c>
      <c r="P390" s="9">
        <v>44750</v>
      </c>
      <c r="Q390" s="1" t="s">
        <v>477</v>
      </c>
      <c r="R390" s="1" t="s">
        <v>63</v>
      </c>
      <c r="S390" s="1">
        <v>2</v>
      </c>
      <c r="T390" s="12">
        <v>0.52083333333333337</v>
      </c>
      <c r="U390" s="12">
        <v>0.60416666666666663</v>
      </c>
      <c r="V390" s="1">
        <v>2</v>
      </c>
      <c r="W390" s="1">
        <v>2</v>
      </c>
      <c r="X390" s="1">
        <f t="shared" si="14"/>
        <v>4</v>
      </c>
      <c r="Y390" s="5" t="str">
        <f t="shared" si="15"/>
        <v>C</v>
      </c>
    </row>
    <row r="391" spans="2:25" x14ac:dyDescent="0.25">
      <c r="B391" s="11">
        <v>44749</v>
      </c>
      <c r="C391" s="7">
        <v>600004045540</v>
      </c>
      <c r="D391" s="5">
        <v>1</v>
      </c>
      <c r="E391" t="s">
        <v>499</v>
      </c>
      <c r="F391" t="s">
        <v>543</v>
      </c>
      <c r="G391" t="s">
        <v>648</v>
      </c>
      <c r="H391" t="s">
        <v>745</v>
      </c>
      <c r="I391" t="s">
        <v>769</v>
      </c>
      <c r="J391" s="27" t="s">
        <v>525</v>
      </c>
      <c r="K391" s="5" t="s">
        <v>15</v>
      </c>
      <c r="L391" s="1" t="s">
        <v>16</v>
      </c>
      <c r="M391" s="1" t="s">
        <v>112</v>
      </c>
      <c r="N391" s="1" t="s">
        <v>67</v>
      </c>
      <c r="O391" s="1" t="s">
        <v>176</v>
      </c>
      <c r="P391" s="9">
        <v>44749</v>
      </c>
      <c r="Q391" s="1" t="s">
        <v>477</v>
      </c>
      <c r="R391" s="1" t="s">
        <v>63</v>
      </c>
      <c r="S391" s="1">
        <v>3</v>
      </c>
      <c r="T391" s="12">
        <v>0.3125</v>
      </c>
      <c r="U391" s="12">
        <v>0.4375</v>
      </c>
      <c r="V391" s="1">
        <v>3</v>
      </c>
      <c r="W391" s="1">
        <v>3</v>
      </c>
      <c r="X391" s="1">
        <f t="shared" si="14"/>
        <v>9</v>
      </c>
      <c r="Y391" s="5" t="str">
        <f t="shared" si="15"/>
        <v>B</v>
      </c>
    </row>
    <row r="392" spans="2:25" x14ac:dyDescent="0.25">
      <c r="B392" s="11">
        <v>44749</v>
      </c>
      <c r="C392" s="7">
        <v>600004045570</v>
      </c>
      <c r="D392" s="5">
        <v>1</v>
      </c>
      <c r="E392" t="s">
        <v>500</v>
      </c>
      <c r="F392" t="s">
        <v>544</v>
      </c>
      <c r="G392" t="s">
        <v>649</v>
      </c>
      <c r="H392" t="s">
        <v>745</v>
      </c>
      <c r="I392" t="s">
        <v>770</v>
      </c>
      <c r="J392" s="27" t="s">
        <v>525</v>
      </c>
      <c r="K392" s="5" t="s">
        <v>15</v>
      </c>
      <c r="L392" s="1" t="s">
        <v>16</v>
      </c>
      <c r="M392" s="1" t="s">
        <v>137</v>
      </c>
      <c r="N392" s="1" t="s">
        <v>67</v>
      </c>
      <c r="O392" s="1" t="s">
        <v>176</v>
      </c>
      <c r="P392" s="9">
        <v>44750</v>
      </c>
      <c r="Q392" s="1" t="s">
        <v>476</v>
      </c>
      <c r="R392" s="1" t="s">
        <v>63</v>
      </c>
      <c r="S392" s="1">
        <v>2</v>
      </c>
      <c r="T392" s="12">
        <v>0.4375</v>
      </c>
      <c r="U392" s="12">
        <v>0.47916666666666669</v>
      </c>
      <c r="V392" s="1">
        <v>1</v>
      </c>
      <c r="W392" s="1">
        <v>1</v>
      </c>
      <c r="X392" s="1">
        <f t="shared" si="14"/>
        <v>2</v>
      </c>
      <c r="Y392" s="5" t="str">
        <f t="shared" si="15"/>
        <v>C</v>
      </c>
    </row>
    <row r="393" spans="2:25" x14ac:dyDescent="0.25">
      <c r="B393" s="11">
        <v>44750</v>
      </c>
      <c r="C393" s="7">
        <v>600004045765</v>
      </c>
      <c r="D393" s="5">
        <v>1</v>
      </c>
      <c r="E393" t="s">
        <v>512</v>
      </c>
      <c r="F393" t="s">
        <v>556</v>
      </c>
      <c r="G393" t="s">
        <v>661</v>
      </c>
      <c r="H393" t="s">
        <v>745</v>
      </c>
      <c r="I393" t="s">
        <v>782</v>
      </c>
      <c r="J393" s="27" t="s">
        <v>525</v>
      </c>
      <c r="K393" s="5" t="s">
        <v>88</v>
      </c>
      <c r="L393" s="1" t="s">
        <v>36</v>
      </c>
      <c r="M393" s="1" t="s">
        <v>129</v>
      </c>
      <c r="N393" s="1" t="s">
        <v>294</v>
      </c>
      <c r="O393" s="1" t="s">
        <v>176</v>
      </c>
      <c r="P393" s="9">
        <v>44750</v>
      </c>
      <c r="Q393" s="1" t="s">
        <v>477</v>
      </c>
      <c r="R393" s="1" t="s">
        <v>63</v>
      </c>
      <c r="S393" s="1">
        <v>4</v>
      </c>
      <c r="T393" s="12">
        <v>0.375</v>
      </c>
      <c r="U393" s="12">
        <v>0.41666666666666669</v>
      </c>
      <c r="V393" s="1">
        <v>1</v>
      </c>
      <c r="W393" s="1">
        <v>1</v>
      </c>
      <c r="X393" s="1">
        <f t="shared" si="14"/>
        <v>4</v>
      </c>
      <c r="Y393" s="5" t="str">
        <f t="shared" si="15"/>
        <v>C</v>
      </c>
    </row>
    <row r="394" spans="2:25" x14ac:dyDescent="0.25">
      <c r="B394" s="11">
        <v>44750</v>
      </c>
      <c r="C394" s="7">
        <v>600004045769</v>
      </c>
      <c r="D394" s="5">
        <v>1</v>
      </c>
      <c r="E394" t="s">
        <v>866</v>
      </c>
      <c r="F394" t="s">
        <v>573</v>
      </c>
      <c r="G394" t="s">
        <v>678</v>
      </c>
      <c r="H394" t="s">
        <v>745</v>
      </c>
      <c r="I394" t="s">
        <v>799</v>
      </c>
      <c r="J394" s="27" t="s">
        <v>524</v>
      </c>
      <c r="K394" s="5" t="s">
        <v>15</v>
      </c>
      <c r="L394" s="1" t="s">
        <v>79</v>
      </c>
      <c r="M394" s="1" t="s">
        <v>126</v>
      </c>
      <c r="N394" s="1" t="s">
        <v>110</v>
      </c>
      <c r="O394" s="1" t="s">
        <v>176</v>
      </c>
      <c r="P394" s="9">
        <v>44750</v>
      </c>
      <c r="Q394" s="1" t="s">
        <v>478</v>
      </c>
      <c r="R394" s="1" t="s">
        <v>50</v>
      </c>
      <c r="S394" s="1">
        <v>1</v>
      </c>
      <c r="T394" s="12">
        <v>0.375</v>
      </c>
      <c r="U394" s="12">
        <v>0.41666666666666669</v>
      </c>
      <c r="V394" s="1">
        <v>1</v>
      </c>
      <c r="W394" s="1">
        <v>1</v>
      </c>
      <c r="X394" s="1">
        <f t="shared" si="14"/>
        <v>1</v>
      </c>
      <c r="Y394" s="5" t="str">
        <f t="shared" si="15"/>
        <v>C</v>
      </c>
    </row>
    <row r="395" spans="2:25" x14ac:dyDescent="0.25">
      <c r="B395" s="11">
        <v>44750</v>
      </c>
      <c r="C395" s="7">
        <v>600004045758</v>
      </c>
      <c r="D395" s="5">
        <v>1</v>
      </c>
      <c r="E395" t="s">
        <v>495</v>
      </c>
      <c r="F395" t="s">
        <v>539</v>
      </c>
      <c r="G395" t="s">
        <v>644</v>
      </c>
      <c r="H395" t="s">
        <v>740</v>
      </c>
      <c r="I395" t="s">
        <v>765</v>
      </c>
      <c r="J395" s="27" t="s">
        <v>524</v>
      </c>
      <c r="K395" s="5" t="s">
        <v>70</v>
      </c>
      <c r="L395" s="1" t="s">
        <v>36</v>
      </c>
      <c r="M395" s="1" t="s">
        <v>300</v>
      </c>
      <c r="N395" s="1" t="s">
        <v>112</v>
      </c>
      <c r="O395" s="1" t="s">
        <v>176</v>
      </c>
      <c r="P395" s="9">
        <v>44754</v>
      </c>
      <c r="Q395" s="1" t="s">
        <v>474</v>
      </c>
      <c r="R395" s="1" t="s">
        <v>63</v>
      </c>
      <c r="S395" s="1">
        <v>3</v>
      </c>
      <c r="T395" s="12">
        <v>0.25</v>
      </c>
      <c r="U395" s="12">
        <v>0.375</v>
      </c>
      <c r="V395" s="1">
        <v>3</v>
      </c>
      <c r="W395" s="1">
        <v>3</v>
      </c>
      <c r="X395" s="1">
        <f t="shared" si="14"/>
        <v>9</v>
      </c>
      <c r="Y395" s="5" t="str">
        <f t="shared" si="15"/>
        <v>B</v>
      </c>
    </row>
    <row r="396" spans="2:25" x14ac:dyDescent="0.25">
      <c r="B396" s="11">
        <v>44753</v>
      </c>
      <c r="C396" s="7">
        <v>600004046107</v>
      </c>
      <c r="D396" s="5">
        <v>1</v>
      </c>
      <c r="E396" t="s">
        <v>486</v>
      </c>
      <c r="F396" t="s">
        <v>530</v>
      </c>
      <c r="G396" t="s">
        <v>635</v>
      </c>
      <c r="H396" t="s">
        <v>740</v>
      </c>
      <c r="I396" t="s">
        <v>756</v>
      </c>
      <c r="J396" s="27" t="s">
        <v>525</v>
      </c>
      <c r="K396" s="5" t="s">
        <v>69</v>
      </c>
      <c r="L396" s="1" t="s">
        <v>40</v>
      </c>
      <c r="M396" s="1" t="s">
        <v>297</v>
      </c>
      <c r="N396" s="1" t="s">
        <v>102</v>
      </c>
      <c r="O396" s="1" t="s">
        <v>176</v>
      </c>
      <c r="P396" s="9">
        <v>44753</v>
      </c>
      <c r="Q396" s="1" t="s">
        <v>481</v>
      </c>
      <c r="R396" s="1" t="s">
        <v>63</v>
      </c>
      <c r="S396" s="1">
        <v>2</v>
      </c>
      <c r="T396" s="12">
        <v>0.58333333333333337</v>
      </c>
      <c r="U396" s="12">
        <v>0.64583333333333337</v>
      </c>
      <c r="V396" s="1">
        <v>1.5</v>
      </c>
      <c r="W396" s="1">
        <v>1.5</v>
      </c>
      <c r="X396" s="1">
        <f t="shared" si="14"/>
        <v>3</v>
      </c>
      <c r="Y396" s="5" t="str">
        <f t="shared" si="15"/>
        <v>C</v>
      </c>
    </row>
    <row r="397" spans="2:25" x14ac:dyDescent="0.25">
      <c r="B397" s="11">
        <v>44761</v>
      </c>
      <c r="C397" s="7">
        <v>600004048157</v>
      </c>
      <c r="D397" s="5">
        <v>1</v>
      </c>
      <c r="E397" t="s">
        <v>505</v>
      </c>
      <c r="F397" t="s">
        <v>549</v>
      </c>
      <c r="G397" t="s">
        <v>654</v>
      </c>
      <c r="H397" t="s">
        <v>745</v>
      </c>
      <c r="I397" t="s">
        <v>775</v>
      </c>
      <c r="J397" s="27" t="s">
        <v>525</v>
      </c>
      <c r="K397" s="5" t="s">
        <v>15</v>
      </c>
      <c r="L397" s="1" t="s">
        <v>301</v>
      </c>
      <c r="M397" s="1" t="s">
        <v>126</v>
      </c>
      <c r="N397" s="1" t="s">
        <v>84</v>
      </c>
      <c r="O397" s="1" t="s">
        <v>19</v>
      </c>
      <c r="P397" s="9">
        <v>44761</v>
      </c>
      <c r="Q397" s="1" t="s">
        <v>479</v>
      </c>
      <c r="R397" s="1" t="s">
        <v>63</v>
      </c>
      <c r="S397" s="1">
        <v>1</v>
      </c>
      <c r="T397" s="12">
        <v>0.29166666666666669</v>
      </c>
      <c r="U397" s="12">
        <v>0.33333333333333331</v>
      </c>
      <c r="V397" s="1">
        <v>1</v>
      </c>
      <c r="W397" s="1">
        <v>1</v>
      </c>
      <c r="X397" s="1">
        <f t="shared" si="14"/>
        <v>1</v>
      </c>
      <c r="Y397" s="5" t="str">
        <f t="shared" si="15"/>
        <v>C</v>
      </c>
    </row>
    <row r="398" spans="2:25" x14ac:dyDescent="0.25">
      <c r="B398" s="11">
        <v>44761</v>
      </c>
      <c r="C398" s="7">
        <v>600004048182</v>
      </c>
      <c r="D398" s="5">
        <v>1</v>
      </c>
      <c r="E398" t="s">
        <v>499</v>
      </c>
      <c r="F398" t="s">
        <v>543</v>
      </c>
      <c r="G398" t="s">
        <v>648</v>
      </c>
      <c r="H398" t="s">
        <v>745</v>
      </c>
      <c r="I398" t="s">
        <v>769</v>
      </c>
      <c r="J398" s="26" t="s">
        <v>525</v>
      </c>
      <c r="K398" s="5" t="s">
        <v>15</v>
      </c>
      <c r="L398" s="1" t="s">
        <v>211</v>
      </c>
      <c r="M398" s="1" t="s">
        <v>302</v>
      </c>
      <c r="N398" s="1" t="s">
        <v>204</v>
      </c>
      <c r="O398" s="1" t="s">
        <v>176</v>
      </c>
      <c r="P398" s="9">
        <v>44761</v>
      </c>
      <c r="Q398" s="1" t="s">
        <v>475</v>
      </c>
      <c r="R398" s="1" t="s">
        <v>50</v>
      </c>
      <c r="S398" s="1">
        <v>1</v>
      </c>
      <c r="T398" s="12">
        <v>0.5625</v>
      </c>
      <c r="U398" s="12">
        <v>0.625</v>
      </c>
      <c r="V398" s="1">
        <v>1.5</v>
      </c>
      <c r="W398" s="1">
        <v>1.5</v>
      </c>
      <c r="X398" s="1">
        <f t="shared" si="14"/>
        <v>1.5</v>
      </c>
      <c r="Y398" s="5" t="str">
        <f t="shared" si="15"/>
        <v>C</v>
      </c>
    </row>
    <row r="399" spans="2:25" x14ac:dyDescent="0.25">
      <c r="B399" s="11">
        <v>44761</v>
      </c>
      <c r="C399" s="7">
        <v>600004048181</v>
      </c>
      <c r="D399" s="5">
        <v>1</v>
      </c>
      <c r="E399" t="s">
        <v>504</v>
      </c>
      <c r="F399" t="s">
        <v>548</v>
      </c>
      <c r="G399" t="s">
        <v>653</v>
      </c>
      <c r="H399" t="s">
        <v>745</v>
      </c>
      <c r="I399" t="s">
        <v>774</v>
      </c>
      <c r="J399" s="27" t="s">
        <v>525</v>
      </c>
      <c r="K399" s="5" t="s">
        <v>15</v>
      </c>
      <c r="L399" s="1" t="s">
        <v>79</v>
      </c>
      <c r="M399" s="1" t="s">
        <v>126</v>
      </c>
      <c r="N399" s="1" t="s">
        <v>110</v>
      </c>
      <c r="O399" s="1" t="s">
        <v>176</v>
      </c>
      <c r="P399" s="9">
        <v>44761</v>
      </c>
      <c r="Q399" s="1" t="s">
        <v>475</v>
      </c>
      <c r="R399" s="1" t="s">
        <v>50</v>
      </c>
      <c r="S399" s="1">
        <v>1</v>
      </c>
      <c r="T399" s="12">
        <v>0.5</v>
      </c>
      <c r="U399" s="12">
        <v>0.5625</v>
      </c>
      <c r="V399" s="1">
        <v>1.5</v>
      </c>
      <c r="W399" s="1">
        <v>1.5</v>
      </c>
      <c r="X399" s="1">
        <f t="shared" si="14"/>
        <v>1.5</v>
      </c>
      <c r="Y399" s="5" t="str">
        <f t="shared" si="15"/>
        <v>C</v>
      </c>
    </row>
    <row r="400" spans="2:25" x14ac:dyDescent="0.25">
      <c r="B400" s="11">
        <v>44761</v>
      </c>
      <c r="C400" s="7">
        <v>600004048162</v>
      </c>
      <c r="D400" s="5">
        <v>1</v>
      </c>
      <c r="E400" t="s">
        <v>866</v>
      </c>
      <c r="F400" t="s">
        <v>573</v>
      </c>
      <c r="G400" t="s">
        <v>678</v>
      </c>
      <c r="H400" t="s">
        <v>745</v>
      </c>
      <c r="I400" t="s">
        <v>799</v>
      </c>
      <c r="J400" s="27" t="s">
        <v>524</v>
      </c>
      <c r="K400" s="5" t="s">
        <v>15</v>
      </c>
      <c r="L400" s="1" t="s">
        <v>71</v>
      </c>
      <c r="M400" s="1" t="s">
        <v>126</v>
      </c>
      <c r="N400" s="1" t="s">
        <v>84</v>
      </c>
      <c r="O400" s="1" t="s">
        <v>19</v>
      </c>
      <c r="P400" s="9">
        <v>44761</v>
      </c>
      <c r="Q400" s="1" t="s">
        <v>477</v>
      </c>
      <c r="R400" s="1" t="s">
        <v>63</v>
      </c>
      <c r="S400" s="1">
        <v>1</v>
      </c>
      <c r="T400" s="12">
        <v>0.33333333333333331</v>
      </c>
      <c r="U400" s="12">
        <v>0.375</v>
      </c>
      <c r="V400" s="1">
        <v>1</v>
      </c>
      <c r="W400" s="1">
        <v>1</v>
      </c>
      <c r="X400" s="1">
        <f t="shared" si="14"/>
        <v>1</v>
      </c>
      <c r="Y400" s="5" t="str">
        <f t="shared" si="15"/>
        <v>C</v>
      </c>
    </row>
    <row r="401" spans="2:25" x14ac:dyDescent="0.25">
      <c r="B401" s="11">
        <v>44761</v>
      </c>
      <c r="C401" s="7">
        <v>600004048159</v>
      </c>
      <c r="D401" s="5">
        <v>1</v>
      </c>
      <c r="E401" t="s">
        <v>499</v>
      </c>
      <c r="F401" t="s">
        <v>543</v>
      </c>
      <c r="G401" t="s">
        <v>648</v>
      </c>
      <c r="H401" t="s">
        <v>745</v>
      </c>
      <c r="I401" t="s">
        <v>769</v>
      </c>
      <c r="J401" s="27" t="s">
        <v>525</v>
      </c>
      <c r="K401" s="5" t="s">
        <v>15</v>
      </c>
      <c r="L401" s="1" t="s">
        <v>71</v>
      </c>
      <c r="M401" s="1" t="s">
        <v>303</v>
      </c>
      <c r="N401" s="1" t="s">
        <v>55</v>
      </c>
      <c r="O401" s="1" t="s">
        <v>19</v>
      </c>
      <c r="P401" s="9">
        <v>44761</v>
      </c>
      <c r="Q401" s="1" t="s">
        <v>477</v>
      </c>
      <c r="R401" s="1" t="s">
        <v>63</v>
      </c>
      <c r="S401" s="1">
        <v>2</v>
      </c>
      <c r="T401" s="12">
        <v>0.39583333333333331</v>
      </c>
      <c r="U401" s="12">
        <v>0.47916666666666669</v>
      </c>
      <c r="V401" s="1">
        <v>2</v>
      </c>
      <c r="W401" s="1">
        <v>2</v>
      </c>
      <c r="X401" s="1">
        <f t="shared" si="14"/>
        <v>4</v>
      </c>
      <c r="Y401" s="5" t="str">
        <f t="shared" si="15"/>
        <v>C</v>
      </c>
    </row>
    <row r="402" spans="2:25" x14ac:dyDescent="0.25">
      <c r="B402" s="11">
        <v>44762</v>
      </c>
      <c r="C402" s="7">
        <v>600004048553</v>
      </c>
      <c r="D402" s="5">
        <v>1</v>
      </c>
      <c r="E402" t="s">
        <v>866</v>
      </c>
      <c r="F402" t="s">
        <v>573</v>
      </c>
      <c r="G402" t="s">
        <v>678</v>
      </c>
      <c r="H402" t="s">
        <v>745</v>
      </c>
      <c r="I402" t="s">
        <v>799</v>
      </c>
      <c r="J402" s="27" t="s">
        <v>524</v>
      </c>
      <c r="K402" s="5" t="s">
        <v>15</v>
      </c>
      <c r="L402" s="1" t="s">
        <v>16</v>
      </c>
      <c r="M402" s="1" t="s">
        <v>34</v>
      </c>
      <c r="N402" s="1" t="s">
        <v>159</v>
      </c>
      <c r="O402" s="1" t="s">
        <v>19</v>
      </c>
      <c r="P402" s="9">
        <v>44769</v>
      </c>
      <c r="Q402" s="1" t="s">
        <v>479</v>
      </c>
      <c r="R402" s="1" t="s">
        <v>63</v>
      </c>
      <c r="S402" s="1">
        <v>2</v>
      </c>
      <c r="T402" s="12">
        <v>0.29166666666666669</v>
      </c>
      <c r="U402" s="12">
        <v>0.66666666666666663</v>
      </c>
      <c r="V402" s="1">
        <v>9</v>
      </c>
      <c r="W402" s="1">
        <v>9</v>
      </c>
      <c r="X402" s="1">
        <f t="shared" si="14"/>
        <v>18</v>
      </c>
      <c r="Y402" s="5" t="str">
        <f t="shared" si="15"/>
        <v>A</v>
      </c>
    </row>
    <row r="403" spans="2:25" x14ac:dyDescent="0.25">
      <c r="B403" s="11">
        <v>44775</v>
      </c>
      <c r="C403" s="7">
        <v>600004051424</v>
      </c>
      <c r="D403" s="5">
        <v>1</v>
      </c>
      <c r="E403" t="s">
        <v>512</v>
      </c>
      <c r="F403" t="s">
        <v>556</v>
      </c>
      <c r="G403" t="s">
        <v>661</v>
      </c>
      <c r="H403" t="s">
        <v>745</v>
      </c>
      <c r="I403" t="s">
        <v>782</v>
      </c>
      <c r="J403" s="27" t="s">
        <v>525</v>
      </c>
      <c r="K403" s="5" t="s">
        <v>88</v>
      </c>
      <c r="L403" s="1" t="s">
        <v>304</v>
      </c>
      <c r="M403" s="1" t="s">
        <v>304</v>
      </c>
      <c r="N403" s="1" t="s">
        <v>305</v>
      </c>
      <c r="O403" s="1" t="s">
        <v>176</v>
      </c>
      <c r="P403" s="9">
        <v>44775</v>
      </c>
      <c r="Q403" s="1" t="s">
        <v>477</v>
      </c>
      <c r="R403" s="1" t="s">
        <v>63</v>
      </c>
      <c r="S403" s="1">
        <v>2</v>
      </c>
      <c r="T403" s="12">
        <v>0.39583333333333331</v>
      </c>
      <c r="U403" s="12">
        <v>0.4375</v>
      </c>
      <c r="V403" s="1">
        <v>1</v>
      </c>
      <c r="W403" s="1">
        <v>1</v>
      </c>
      <c r="X403" s="1">
        <f t="shared" si="14"/>
        <v>2</v>
      </c>
      <c r="Y403" s="5" t="str">
        <f t="shared" si="15"/>
        <v>C</v>
      </c>
    </row>
    <row r="404" spans="2:25" x14ac:dyDescent="0.25">
      <c r="B404" s="11">
        <v>44775</v>
      </c>
      <c r="C404" s="7">
        <v>600004051389</v>
      </c>
      <c r="D404" s="5">
        <v>1</v>
      </c>
      <c r="E404" t="s">
        <v>489</v>
      </c>
      <c r="F404" t="s">
        <v>533</v>
      </c>
      <c r="G404" t="s">
        <v>638</v>
      </c>
      <c r="H404" t="s">
        <v>745</v>
      </c>
      <c r="I404" t="s">
        <v>759</v>
      </c>
      <c r="J404" s="27" t="s">
        <v>525</v>
      </c>
      <c r="K404" s="5" t="s">
        <v>15</v>
      </c>
      <c r="L404" s="1" t="s">
        <v>16</v>
      </c>
      <c r="M404" s="1" t="s">
        <v>205</v>
      </c>
      <c r="N404" s="1" t="s">
        <v>52</v>
      </c>
      <c r="O404" s="1" t="s">
        <v>176</v>
      </c>
      <c r="P404" s="9">
        <v>44775</v>
      </c>
      <c r="Q404" s="1" t="s">
        <v>477</v>
      </c>
      <c r="R404" s="1" t="s">
        <v>63</v>
      </c>
      <c r="S404" s="1">
        <v>2</v>
      </c>
      <c r="T404" s="12">
        <v>0.3125</v>
      </c>
      <c r="U404" s="12">
        <v>0.35416666666666669</v>
      </c>
      <c r="V404" s="1">
        <v>1</v>
      </c>
      <c r="W404" s="1">
        <v>1</v>
      </c>
      <c r="X404" s="1">
        <f t="shared" ref="X404:X449" si="16">PRODUCT(S404,V404)</f>
        <v>2</v>
      </c>
      <c r="Y404" s="5" t="str">
        <f t="shared" ref="Y404:Y467" si="17">IF(W404=0,"D",IF(W404&lt;=2,"C",IF(W404&lt;=8,"B",IF(W404&gt;8,"A"))))</f>
        <v>C</v>
      </c>
    </row>
    <row r="405" spans="2:25" x14ac:dyDescent="0.25">
      <c r="B405" s="11">
        <v>44776</v>
      </c>
      <c r="C405" s="7">
        <v>600004051674</v>
      </c>
      <c r="D405" s="5">
        <v>1</v>
      </c>
      <c r="E405" t="s">
        <v>511</v>
      </c>
      <c r="F405" t="s">
        <v>555</v>
      </c>
      <c r="G405" t="s">
        <v>660</v>
      </c>
      <c r="H405" t="s">
        <v>745</v>
      </c>
      <c r="I405" t="s">
        <v>781</v>
      </c>
      <c r="J405" s="27" t="s">
        <v>525</v>
      </c>
      <c r="K405" s="5" t="s">
        <v>15</v>
      </c>
      <c r="L405" s="1" t="s">
        <v>148</v>
      </c>
      <c r="M405" s="1" t="s">
        <v>293</v>
      </c>
      <c r="N405" s="1" t="s">
        <v>138</v>
      </c>
      <c r="O405" s="1" t="s">
        <v>19</v>
      </c>
      <c r="P405" s="9">
        <v>44776</v>
      </c>
      <c r="Q405" s="1" t="s">
        <v>478</v>
      </c>
      <c r="R405" s="1" t="s">
        <v>63</v>
      </c>
      <c r="S405" s="1">
        <v>2</v>
      </c>
      <c r="T405" s="12">
        <v>0.375</v>
      </c>
      <c r="U405" s="12">
        <v>0.45833333333333331</v>
      </c>
      <c r="V405" s="1">
        <v>2</v>
      </c>
      <c r="W405" s="1">
        <v>2</v>
      </c>
      <c r="X405" s="1">
        <f t="shared" si="16"/>
        <v>4</v>
      </c>
      <c r="Y405" s="5" t="str">
        <f t="shared" si="17"/>
        <v>C</v>
      </c>
    </row>
    <row r="406" spans="2:25" x14ac:dyDescent="0.25">
      <c r="B406" s="11">
        <v>44778</v>
      </c>
      <c r="C406" s="7">
        <v>600004052187</v>
      </c>
      <c r="D406" s="5">
        <v>1</v>
      </c>
      <c r="E406" t="s">
        <v>493</v>
      </c>
      <c r="F406" t="s">
        <v>537</v>
      </c>
      <c r="G406" t="s">
        <v>642</v>
      </c>
      <c r="H406" t="s">
        <v>745</v>
      </c>
      <c r="I406" t="s">
        <v>763</v>
      </c>
      <c r="J406" s="27" t="s">
        <v>525</v>
      </c>
      <c r="K406" s="5" t="s">
        <v>15</v>
      </c>
      <c r="L406" s="1" t="s">
        <v>211</v>
      </c>
      <c r="M406" s="1" t="s">
        <v>110</v>
      </c>
      <c r="N406" s="1" t="s">
        <v>204</v>
      </c>
      <c r="O406" s="1" t="s">
        <v>19</v>
      </c>
      <c r="P406" s="9">
        <v>44778</v>
      </c>
      <c r="Q406" s="1" t="s">
        <v>478</v>
      </c>
      <c r="R406" s="1" t="s">
        <v>50</v>
      </c>
      <c r="S406" s="1">
        <v>1</v>
      </c>
      <c r="T406" s="12">
        <v>0.41666666666666669</v>
      </c>
      <c r="U406" s="12">
        <v>0.58333333333333337</v>
      </c>
      <c r="V406" s="1">
        <v>4</v>
      </c>
      <c r="W406" s="1">
        <v>4</v>
      </c>
      <c r="X406" s="1">
        <f t="shared" si="16"/>
        <v>4</v>
      </c>
      <c r="Y406" s="5" t="str">
        <f t="shared" si="17"/>
        <v>B</v>
      </c>
    </row>
    <row r="407" spans="2:25" x14ac:dyDescent="0.25">
      <c r="B407" s="11">
        <v>44781</v>
      </c>
      <c r="C407" s="7">
        <v>600004052693</v>
      </c>
      <c r="D407" s="5">
        <v>1</v>
      </c>
      <c r="E407" t="s">
        <v>506</v>
      </c>
      <c r="F407" t="s">
        <v>550</v>
      </c>
      <c r="G407" t="s">
        <v>655</v>
      </c>
      <c r="H407" t="s">
        <v>745</v>
      </c>
      <c r="I407" t="s">
        <v>776</v>
      </c>
      <c r="J407" s="27" t="s">
        <v>525</v>
      </c>
      <c r="K407" s="5" t="s">
        <v>15</v>
      </c>
      <c r="L407" s="1" t="s">
        <v>16</v>
      </c>
      <c r="M407" s="1" t="s">
        <v>48</v>
      </c>
      <c r="N407" s="1" t="s">
        <v>307</v>
      </c>
      <c r="O407" s="1" t="s">
        <v>19</v>
      </c>
      <c r="P407" s="9">
        <v>44781</v>
      </c>
      <c r="Q407" s="1" t="s">
        <v>475</v>
      </c>
      <c r="R407" s="1" t="s">
        <v>50</v>
      </c>
      <c r="S407" s="1">
        <v>1</v>
      </c>
      <c r="T407" s="12">
        <v>0.3125</v>
      </c>
      <c r="U407" s="12">
        <v>0.35416666666666669</v>
      </c>
      <c r="V407" s="1">
        <v>1</v>
      </c>
      <c r="W407" s="1">
        <v>1</v>
      </c>
      <c r="X407" s="1">
        <f t="shared" si="16"/>
        <v>1</v>
      </c>
      <c r="Y407" s="5" t="str">
        <f t="shared" si="17"/>
        <v>C</v>
      </c>
    </row>
    <row r="408" spans="2:25" x14ac:dyDescent="0.25">
      <c r="B408" s="11">
        <v>44781</v>
      </c>
      <c r="C408" s="7">
        <v>600004052711</v>
      </c>
      <c r="D408" s="5">
        <v>1</v>
      </c>
      <c r="E408" t="s">
        <v>511</v>
      </c>
      <c r="F408" t="s">
        <v>555</v>
      </c>
      <c r="G408" t="s">
        <v>660</v>
      </c>
      <c r="H408" t="s">
        <v>745</v>
      </c>
      <c r="I408" t="s">
        <v>781</v>
      </c>
      <c r="J408" s="27" t="s">
        <v>525</v>
      </c>
      <c r="K408" s="5" t="s">
        <v>15</v>
      </c>
      <c r="L408" s="1" t="s">
        <v>57</v>
      </c>
      <c r="M408" s="1" t="s">
        <v>60</v>
      </c>
      <c r="N408" s="1" t="s">
        <v>312</v>
      </c>
      <c r="O408" s="1" t="s">
        <v>19</v>
      </c>
      <c r="P408" s="9">
        <v>44781</v>
      </c>
      <c r="Q408" s="1" t="s">
        <v>477</v>
      </c>
      <c r="R408" s="1" t="s">
        <v>63</v>
      </c>
      <c r="S408" s="1">
        <v>2</v>
      </c>
      <c r="T408" s="12">
        <v>0.39583333333333331</v>
      </c>
      <c r="U408" s="12">
        <v>0.4375</v>
      </c>
      <c r="V408" s="1">
        <v>1</v>
      </c>
      <c r="W408" s="1">
        <v>1</v>
      </c>
      <c r="X408" s="1">
        <f t="shared" si="16"/>
        <v>2</v>
      </c>
      <c r="Y408" s="5" t="str">
        <f t="shared" si="17"/>
        <v>C</v>
      </c>
    </row>
    <row r="409" spans="2:25" x14ac:dyDescent="0.25">
      <c r="B409" s="11">
        <v>44782</v>
      </c>
      <c r="C409" s="7">
        <v>600004052868</v>
      </c>
      <c r="D409" s="5">
        <v>1</v>
      </c>
      <c r="E409" t="s">
        <v>506</v>
      </c>
      <c r="F409" t="s">
        <v>550</v>
      </c>
      <c r="G409" t="s">
        <v>655</v>
      </c>
      <c r="H409" t="s">
        <v>745</v>
      </c>
      <c r="I409" t="s">
        <v>776</v>
      </c>
      <c r="J409" s="27" t="s">
        <v>525</v>
      </c>
      <c r="K409" s="5" t="s">
        <v>15</v>
      </c>
      <c r="L409" s="1" t="s">
        <v>16</v>
      </c>
      <c r="M409" s="1" t="s">
        <v>45</v>
      </c>
      <c r="N409" s="1" t="s">
        <v>219</v>
      </c>
      <c r="O409" s="1" t="s">
        <v>19</v>
      </c>
      <c r="P409" s="9">
        <v>44782</v>
      </c>
      <c r="Q409" s="1" t="s">
        <v>477</v>
      </c>
      <c r="R409" s="1" t="s">
        <v>63</v>
      </c>
      <c r="S409" s="1">
        <v>2</v>
      </c>
      <c r="T409" s="12">
        <v>0.42708333333333331</v>
      </c>
      <c r="U409" s="12">
        <v>0.46875</v>
      </c>
      <c r="V409" s="1">
        <v>1</v>
      </c>
      <c r="W409" s="1">
        <v>1</v>
      </c>
      <c r="X409" s="1">
        <f t="shared" si="16"/>
        <v>2</v>
      </c>
      <c r="Y409" s="5" t="str">
        <f t="shared" si="17"/>
        <v>C</v>
      </c>
    </row>
    <row r="410" spans="2:25" x14ac:dyDescent="0.25">
      <c r="B410" s="11">
        <v>44783</v>
      </c>
      <c r="C410" s="7">
        <v>600004053071</v>
      </c>
      <c r="D410" s="5">
        <v>1</v>
      </c>
      <c r="E410" t="s">
        <v>885</v>
      </c>
      <c r="F410" t="s">
        <v>591</v>
      </c>
      <c r="G410" t="s">
        <v>697</v>
      </c>
      <c r="H410" t="s">
        <v>745</v>
      </c>
      <c r="I410" t="s">
        <v>818</v>
      </c>
      <c r="J410" s="27" t="s">
        <v>525</v>
      </c>
      <c r="K410" s="5" t="s">
        <v>15</v>
      </c>
      <c r="L410" s="5" t="s">
        <v>57</v>
      </c>
      <c r="M410" s="1" t="s">
        <v>62</v>
      </c>
      <c r="N410" s="1" t="s">
        <v>306</v>
      </c>
      <c r="O410" s="1" t="s">
        <v>19</v>
      </c>
      <c r="P410" s="9">
        <v>44783</v>
      </c>
      <c r="Q410" s="1" t="s">
        <v>479</v>
      </c>
      <c r="R410" s="1" t="s">
        <v>63</v>
      </c>
      <c r="S410" s="1">
        <v>2</v>
      </c>
      <c r="T410" s="12">
        <v>0.41666666666666669</v>
      </c>
      <c r="U410" s="12">
        <v>0.47916666666666669</v>
      </c>
      <c r="V410" s="1">
        <v>1.5</v>
      </c>
      <c r="W410" s="1">
        <v>1.5</v>
      </c>
      <c r="X410" s="1">
        <f t="shared" si="16"/>
        <v>3</v>
      </c>
      <c r="Y410" s="5" t="str">
        <f t="shared" si="17"/>
        <v>C</v>
      </c>
    </row>
    <row r="411" spans="2:25" x14ac:dyDescent="0.25">
      <c r="B411" s="11">
        <v>44783</v>
      </c>
      <c r="C411" s="7">
        <v>600004053070</v>
      </c>
      <c r="D411" s="5">
        <v>1</v>
      </c>
      <c r="E411" t="s">
        <v>865</v>
      </c>
      <c r="F411" t="s">
        <v>572</v>
      </c>
      <c r="G411" t="s">
        <v>677</v>
      </c>
      <c r="H411" t="s">
        <v>745</v>
      </c>
      <c r="I411" t="s">
        <v>798</v>
      </c>
      <c r="J411" s="27" t="s">
        <v>525</v>
      </c>
      <c r="K411" s="5" t="s">
        <v>168</v>
      </c>
      <c r="L411" s="1" t="s">
        <v>71</v>
      </c>
      <c r="M411" s="1" t="s">
        <v>57</v>
      </c>
      <c r="N411" s="1" t="s">
        <v>271</v>
      </c>
      <c r="O411" s="1" t="s">
        <v>19</v>
      </c>
      <c r="P411" s="9">
        <v>44784</v>
      </c>
      <c r="Q411" s="1" t="s">
        <v>477</v>
      </c>
      <c r="R411" s="1" t="s">
        <v>63</v>
      </c>
      <c r="S411" s="1">
        <v>2</v>
      </c>
      <c r="T411" s="12">
        <v>0.375</v>
      </c>
      <c r="U411" s="12">
        <v>0.47916666666666669</v>
      </c>
      <c r="V411" s="1">
        <v>2.5</v>
      </c>
      <c r="W411" s="1">
        <v>2.5</v>
      </c>
      <c r="X411" s="1">
        <f t="shared" si="16"/>
        <v>5</v>
      </c>
      <c r="Y411" s="5" t="str">
        <f t="shared" si="17"/>
        <v>B</v>
      </c>
    </row>
    <row r="412" spans="2:25" x14ac:dyDescent="0.25">
      <c r="B412" s="11">
        <v>44784</v>
      </c>
      <c r="C412" s="7">
        <v>600004053313</v>
      </c>
      <c r="D412" s="5">
        <v>1</v>
      </c>
      <c r="E412" t="s">
        <v>497</v>
      </c>
      <c r="F412" t="s">
        <v>541</v>
      </c>
      <c r="G412" t="s">
        <v>646</v>
      </c>
      <c r="H412" t="s">
        <v>746</v>
      </c>
      <c r="I412" t="s">
        <v>767</v>
      </c>
      <c r="J412" s="27" t="s">
        <v>525</v>
      </c>
      <c r="K412" s="5" t="s">
        <v>76</v>
      </c>
      <c r="L412" s="1" t="s">
        <v>57</v>
      </c>
      <c r="M412" s="1" t="s">
        <v>110</v>
      </c>
      <c r="N412" s="1" t="s">
        <v>233</v>
      </c>
      <c r="O412" s="1" t="s">
        <v>19</v>
      </c>
      <c r="P412" s="9">
        <v>44785</v>
      </c>
      <c r="Q412" s="1" t="s">
        <v>475</v>
      </c>
      <c r="R412" s="1" t="s">
        <v>50</v>
      </c>
      <c r="S412" s="1">
        <v>1</v>
      </c>
      <c r="T412" s="12">
        <v>0.5</v>
      </c>
      <c r="U412" s="12">
        <v>0.64583333333333337</v>
      </c>
      <c r="V412" s="1">
        <v>3.5</v>
      </c>
      <c r="W412" s="1">
        <v>3.5</v>
      </c>
      <c r="X412" s="1">
        <f t="shared" si="16"/>
        <v>3.5</v>
      </c>
      <c r="Y412" s="5" t="str">
        <f t="shared" si="17"/>
        <v>B</v>
      </c>
    </row>
    <row r="413" spans="2:25" x14ac:dyDescent="0.25">
      <c r="B413" s="11">
        <v>44784</v>
      </c>
      <c r="C413" s="7">
        <v>600004053239</v>
      </c>
      <c r="D413" s="1">
        <v>1</v>
      </c>
      <c r="E413" t="s">
        <v>885</v>
      </c>
      <c r="F413" t="s">
        <v>591</v>
      </c>
      <c r="G413" t="s">
        <v>697</v>
      </c>
      <c r="H413" t="s">
        <v>745</v>
      </c>
      <c r="I413" t="s">
        <v>818</v>
      </c>
      <c r="J413" s="26" t="s">
        <v>525</v>
      </c>
      <c r="K413" s="1" t="s">
        <v>15</v>
      </c>
      <c r="L413" s="1" t="s">
        <v>79</v>
      </c>
      <c r="M413" s="1" t="s">
        <v>126</v>
      </c>
      <c r="N413" s="1" t="s">
        <v>110</v>
      </c>
      <c r="O413" s="1" t="s">
        <v>19</v>
      </c>
      <c r="P413" s="9">
        <v>44784</v>
      </c>
      <c r="Q413" s="1" t="s">
        <v>478</v>
      </c>
      <c r="R413" s="1" t="s">
        <v>50</v>
      </c>
      <c r="S413" s="1">
        <v>1</v>
      </c>
      <c r="T413" s="12">
        <v>0.375</v>
      </c>
      <c r="U413" s="12">
        <v>0.45833333333333331</v>
      </c>
      <c r="V413" s="1">
        <v>2</v>
      </c>
      <c r="W413" s="1">
        <v>2</v>
      </c>
      <c r="X413" s="1">
        <f t="shared" si="16"/>
        <v>2</v>
      </c>
      <c r="Y413" s="5" t="str">
        <f t="shared" si="17"/>
        <v>C</v>
      </c>
    </row>
    <row r="414" spans="2:25" x14ac:dyDescent="0.25">
      <c r="B414" s="11">
        <v>44785</v>
      </c>
      <c r="C414" s="7">
        <v>600004053464</v>
      </c>
      <c r="D414" s="5">
        <v>1</v>
      </c>
      <c r="E414" t="s">
        <v>862</v>
      </c>
      <c r="F414" t="s">
        <v>569</v>
      </c>
      <c r="G414" t="s">
        <v>674</v>
      </c>
      <c r="H414" t="s">
        <v>745</v>
      </c>
      <c r="I414" t="s">
        <v>795</v>
      </c>
      <c r="J414" s="27" t="s">
        <v>525</v>
      </c>
      <c r="K414" s="5" t="s">
        <v>140</v>
      </c>
      <c r="L414" s="1" t="s">
        <v>57</v>
      </c>
      <c r="M414" s="1" t="s">
        <v>114</v>
      </c>
      <c r="N414" s="1" t="s">
        <v>115</v>
      </c>
      <c r="O414" s="1" t="s">
        <v>19</v>
      </c>
      <c r="P414" s="9">
        <v>44785</v>
      </c>
      <c r="Q414" s="1" t="s">
        <v>477</v>
      </c>
      <c r="R414" s="1" t="s">
        <v>63</v>
      </c>
      <c r="S414" s="1">
        <v>3</v>
      </c>
      <c r="T414" s="12">
        <v>0.625</v>
      </c>
      <c r="U414" s="12">
        <v>0.66666666666666663</v>
      </c>
      <c r="V414" s="1">
        <v>1</v>
      </c>
      <c r="W414" s="1">
        <v>1</v>
      </c>
      <c r="X414" s="1">
        <f t="shared" si="16"/>
        <v>3</v>
      </c>
      <c r="Y414" s="5" t="str">
        <f t="shared" si="17"/>
        <v>C</v>
      </c>
    </row>
    <row r="415" spans="2:25" x14ac:dyDescent="0.25">
      <c r="B415" s="11">
        <v>44789</v>
      </c>
      <c r="C415" s="7">
        <v>600004054149</v>
      </c>
      <c r="D415" s="5">
        <v>1</v>
      </c>
      <c r="E415" t="s">
        <v>865</v>
      </c>
      <c r="F415" t="s">
        <v>572</v>
      </c>
      <c r="G415" t="s">
        <v>677</v>
      </c>
      <c r="H415" t="s">
        <v>745</v>
      </c>
      <c r="I415" t="s">
        <v>798</v>
      </c>
      <c r="J415" s="26" t="s">
        <v>525</v>
      </c>
      <c r="K415" s="5" t="s">
        <v>168</v>
      </c>
      <c r="L415" s="1" t="s">
        <v>211</v>
      </c>
      <c r="M415" s="1" t="s">
        <v>308</v>
      </c>
      <c r="N415" s="1" t="s">
        <v>309</v>
      </c>
      <c r="O415" s="1" t="s">
        <v>19</v>
      </c>
      <c r="P415" s="9">
        <v>44789</v>
      </c>
      <c r="Q415" s="1" t="s">
        <v>475</v>
      </c>
      <c r="R415" s="1" t="s">
        <v>50</v>
      </c>
      <c r="S415" s="1">
        <v>1</v>
      </c>
      <c r="T415" s="12">
        <v>0.29166666666666669</v>
      </c>
      <c r="U415" s="12">
        <v>0.35416666666666669</v>
      </c>
      <c r="V415" s="1">
        <v>1.5</v>
      </c>
      <c r="W415" s="1">
        <v>1.5</v>
      </c>
      <c r="X415" s="1">
        <f t="shared" si="16"/>
        <v>1.5</v>
      </c>
      <c r="Y415" s="5" t="str">
        <f t="shared" si="17"/>
        <v>C</v>
      </c>
    </row>
    <row r="416" spans="2:25" x14ac:dyDescent="0.25">
      <c r="B416" s="11">
        <v>44789</v>
      </c>
      <c r="C416" s="7">
        <v>600004054236</v>
      </c>
      <c r="D416" s="5">
        <v>1</v>
      </c>
      <c r="E416" t="s">
        <v>504</v>
      </c>
      <c r="F416" t="s">
        <v>548</v>
      </c>
      <c r="G416" t="s">
        <v>653</v>
      </c>
      <c r="H416" t="s">
        <v>745</v>
      </c>
      <c r="I416" t="s">
        <v>774</v>
      </c>
      <c r="J416" s="27" t="s">
        <v>525</v>
      </c>
      <c r="K416" s="5" t="s">
        <v>15</v>
      </c>
      <c r="L416" s="1" t="s">
        <v>79</v>
      </c>
      <c r="M416" s="1" t="s">
        <v>261</v>
      </c>
      <c r="N416" s="1" t="s">
        <v>310</v>
      </c>
      <c r="O416" s="1" t="s">
        <v>19</v>
      </c>
      <c r="P416" s="9">
        <v>44789</v>
      </c>
      <c r="Q416" s="1" t="s">
        <v>475</v>
      </c>
      <c r="R416" s="1" t="s">
        <v>50</v>
      </c>
      <c r="S416" s="1">
        <v>1</v>
      </c>
      <c r="T416" s="12">
        <v>0.41666666666666669</v>
      </c>
      <c r="U416" s="12">
        <v>0.47916666666666669</v>
      </c>
      <c r="V416" s="1">
        <v>1.5</v>
      </c>
      <c r="W416" s="1">
        <v>1.5</v>
      </c>
      <c r="X416" s="1">
        <f t="shared" si="16"/>
        <v>1.5</v>
      </c>
      <c r="Y416" s="5" t="str">
        <f t="shared" si="17"/>
        <v>C</v>
      </c>
    </row>
    <row r="417" spans="2:25" x14ac:dyDescent="0.25">
      <c r="B417" s="11">
        <v>44789</v>
      </c>
      <c r="C417" s="7">
        <v>600004054151</v>
      </c>
      <c r="D417" s="5">
        <v>1</v>
      </c>
      <c r="E417" t="s">
        <v>506</v>
      </c>
      <c r="F417" t="s">
        <v>550</v>
      </c>
      <c r="G417" t="s">
        <v>655</v>
      </c>
      <c r="H417" t="s">
        <v>745</v>
      </c>
      <c r="I417" t="s">
        <v>776</v>
      </c>
      <c r="J417" s="27" t="s">
        <v>525</v>
      </c>
      <c r="K417" s="5" t="s">
        <v>15</v>
      </c>
      <c r="L417" s="1" t="s">
        <v>79</v>
      </c>
      <c r="M417" s="1" t="s">
        <v>261</v>
      </c>
      <c r="N417" s="1" t="s">
        <v>311</v>
      </c>
      <c r="O417" s="1" t="s">
        <v>19</v>
      </c>
      <c r="P417" s="9">
        <v>44789</v>
      </c>
      <c r="Q417" s="1" t="s">
        <v>478</v>
      </c>
      <c r="R417" s="1" t="s">
        <v>50</v>
      </c>
      <c r="S417" s="1">
        <v>1</v>
      </c>
      <c r="T417" s="12">
        <v>0.375</v>
      </c>
      <c r="U417" s="12">
        <v>0.39583333333333331</v>
      </c>
      <c r="V417" s="1">
        <v>0.5</v>
      </c>
      <c r="W417" s="1">
        <v>0.5</v>
      </c>
      <c r="X417" s="1">
        <f t="shared" si="16"/>
        <v>0.5</v>
      </c>
      <c r="Y417" s="5" t="str">
        <f t="shared" si="17"/>
        <v>C</v>
      </c>
    </row>
    <row r="418" spans="2:25" x14ac:dyDescent="0.25">
      <c r="B418" s="11">
        <v>44791</v>
      </c>
      <c r="C418" s="7">
        <v>600004054805</v>
      </c>
      <c r="D418" s="5">
        <v>1</v>
      </c>
      <c r="E418" t="s">
        <v>505</v>
      </c>
      <c r="F418" t="s">
        <v>549</v>
      </c>
      <c r="G418" t="s">
        <v>654</v>
      </c>
      <c r="H418" t="s">
        <v>745</v>
      </c>
      <c r="I418" t="s">
        <v>775</v>
      </c>
      <c r="J418" s="27" t="s">
        <v>525</v>
      </c>
      <c r="K418" s="5" t="s">
        <v>15</v>
      </c>
      <c r="L418" s="1" t="s">
        <v>71</v>
      </c>
      <c r="M418" s="1" t="s">
        <v>57</v>
      </c>
      <c r="N418" s="1" t="s">
        <v>84</v>
      </c>
      <c r="O418" s="1" t="s">
        <v>176</v>
      </c>
      <c r="P418" s="9">
        <v>44791</v>
      </c>
      <c r="Q418" s="1" t="s">
        <v>479</v>
      </c>
      <c r="R418" s="1" t="s">
        <v>63</v>
      </c>
      <c r="S418" s="1">
        <v>1</v>
      </c>
      <c r="T418" s="12">
        <v>0.58333333333333337</v>
      </c>
      <c r="U418" s="12">
        <v>0.625</v>
      </c>
      <c r="V418" s="1">
        <v>1</v>
      </c>
      <c r="W418" s="1">
        <v>1</v>
      </c>
      <c r="X418" s="1">
        <f t="shared" si="16"/>
        <v>1</v>
      </c>
      <c r="Y418" s="5" t="str">
        <f t="shared" si="17"/>
        <v>C</v>
      </c>
    </row>
    <row r="419" spans="2:25" x14ac:dyDescent="0.25">
      <c r="B419" s="11">
        <v>44791</v>
      </c>
      <c r="C419" s="7">
        <v>600004054808</v>
      </c>
      <c r="D419" s="5">
        <v>1</v>
      </c>
      <c r="E419" t="s">
        <v>881</v>
      </c>
      <c r="F419" t="s">
        <v>587</v>
      </c>
      <c r="G419" t="s">
        <v>693</v>
      </c>
      <c r="H419" t="s">
        <v>745</v>
      </c>
      <c r="I419" t="s">
        <v>814</v>
      </c>
      <c r="J419" s="27" t="s">
        <v>525</v>
      </c>
      <c r="K419" s="5" t="s">
        <v>44</v>
      </c>
      <c r="L419" s="1" t="s">
        <v>211</v>
      </c>
      <c r="M419" s="1" t="s">
        <v>71</v>
      </c>
      <c r="N419" s="1" t="s">
        <v>84</v>
      </c>
      <c r="O419" s="1" t="s">
        <v>19</v>
      </c>
      <c r="P419" s="9">
        <v>44791</v>
      </c>
      <c r="Q419" s="1" t="s">
        <v>479</v>
      </c>
      <c r="R419" s="1" t="s">
        <v>63</v>
      </c>
      <c r="S419" s="1">
        <v>2</v>
      </c>
      <c r="T419" s="12">
        <v>0.52083333333333337</v>
      </c>
      <c r="U419" s="12">
        <v>0.5625</v>
      </c>
      <c r="V419" s="1">
        <v>1</v>
      </c>
      <c r="W419" s="1">
        <v>1</v>
      </c>
      <c r="X419" s="1">
        <f t="shared" si="16"/>
        <v>2</v>
      </c>
      <c r="Y419" s="5" t="str">
        <f t="shared" si="17"/>
        <v>C</v>
      </c>
    </row>
    <row r="420" spans="2:25" x14ac:dyDescent="0.25">
      <c r="B420" s="11">
        <v>44791</v>
      </c>
      <c r="C420" s="7">
        <v>600004054809</v>
      </c>
      <c r="D420" s="5">
        <v>1</v>
      </c>
      <c r="E420" t="s">
        <v>499</v>
      </c>
      <c r="F420" t="s">
        <v>543</v>
      </c>
      <c r="G420" t="s">
        <v>648</v>
      </c>
      <c r="H420" t="s">
        <v>745</v>
      </c>
      <c r="I420" t="s">
        <v>769</v>
      </c>
      <c r="J420" s="27" t="s">
        <v>525</v>
      </c>
      <c r="K420" s="5" t="s">
        <v>15</v>
      </c>
      <c r="L420" s="1" t="s">
        <v>301</v>
      </c>
      <c r="M420" s="1" t="s">
        <v>57</v>
      </c>
      <c r="N420" s="1" t="s">
        <v>194</v>
      </c>
      <c r="O420" s="1" t="s">
        <v>176</v>
      </c>
      <c r="P420" s="9">
        <v>44791</v>
      </c>
      <c r="Q420" s="1" t="s">
        <v>477</v>
      </c>
      <c r="R420" s="1" t="s">
        <v>63</v>
      </c>
      <c r="S420" s="1">
        <v>1</v>
      </c>
      <c r="T420" s="12">
        <v>0.58333333333333337</v>
      </c>
      <c r="U420" s="12">
        <v>0.625</v>
      </c>
      <c r="V420" s="1">
        <v>1</v>
      </c>
      <c r="W420" s="1">
        <v>1</v>
      </c>
      <c r="X420" s="1">
        <f t="shared" si="16"/>
        <v>1</v>
      </c>
      <c r="Y420" s="5" t="str">
        <f t="shared" si="17"/>
        <v>C</v>
      </c>
    </row>
    <row r="421" spans="2:25" x14ac:dyDescent="0.25">
      <c r="B421" s="11">
        <v>44791</v>
      </c>
      <c r="C421" s="7">
        <v>600004054826</v>
      </c>
      <c r="D421" s="5">
        <v>1</v>
      </c>
      <c r="E421" t="s">
        <v>514</v>
      </c>
      <c r="F421" t="s">
        <v>558</v>
      </c>
      <c r="G421" t="s">
        <v>663</v>
      </c>
      <c r="H421" t="s">
        <v>741</v>
      </c>
      <c r="I421" t="s">
        <v>784</v>
      </c>
      <c r="J421" s="27" t="s">
        <v>524</v>
      </c>
      <c r="K421" s="5" t="s">
        <v>191</v>
      </c>
      <c r="L421" s="1" t="s">
        <v>57</v>
      </c>
      <c r="M421" s="1" t="s">
        <v>112</v>
      </c>
      <c r="N421" s="1" t="s">
        <v>67</v>
      </c>
      <c r="O421" s="1" t="s">
        <v>19</v>
      </c>
      <c r="P421" s="9">
        <v>44791</v>
      </c>
      <c r="Q421" s="1" t="s">
        <v>480</v>
      </c>
      <c r="R421" s="1" t="s">
        <v>63</v>
      </c>
      <c r="S421" s="1">
        <v>2</v>
      </c>
      <c r="T421" s="12">
        <v>0.29166666666666669</v>
      </c>
      <c r="U421" s="12">
        <v>0.375</v>
      </c>
      <c r="V421" s="1">
        <v>2</v>
      </c>
      <c r="W421" s="1">
        <v>2</v>
      </c>
      <c r="X421" s="1">
        <f t="shared" si="16"/>
        <v>4</v>
      </c>
      <c r="Y421" s="5" t="str">
        <f t="shared" si="17"/>
        <v>C</v>
      </c>
    </row>
    <row r="422" spans="2:25" x14ac:dyDescent="0.25">
      <c r="B422" s="11">
        <v>44792</v>
      </c>
      <c r="C422" s="7">
        <v>600004055176</v>
      </c>
      <c r="D422" s="5">
        <v>1</v>
      </c>
      <c r="E422" t="s">
        <v>512</v>
      </c>
      <c r="F422" t="s">
        <v>556</v>
      </c>
      <c r="G422" t="s">
        <v>661</v>
      </c>
      <c r="H422" t="s">
        <v>745</v>
      </c>
      <c r="I422" t="s">
        <v>782</v>
      </c>
      <c r="J422" s="27" t="s">
        <v>525</v>
      </c>
      <c r="K422" s="5" t="s">
        <v>88</v>
      </c>
      <c r="L422" s="1" t="s">
        <v>57</v>
      </c>
      <c r="M422" s="1" t="s">
        <v>36</v>
      </c>
      <c r="N422" s="1" t="s">
        <v>129</v>
      </c>
      <c r="O422" s="1" t="s">
        <v>19</v>
      </c>
      <c r="P422" s="9">
        <v>44791</v>
      </c>
      <c r="Q422" s="1" t="s">
        <v>477</v>
      </c>
      <c r="R422" s="1" t="s">
        <v>63</v>
      </c>
      <c r="S422" s="1">
        <v>3</v>
      </c>
      <c r="T422" s="12">
        <v>0.625</v>
      </c>
      <c r="U422" s="12">
        <v>0.66666666666666663</v>
      </c>
      <c r="V422" s="1">
        <v>1</v>
      </c>
      <c r="W422" s="1">
        <v>1</v>
      </c>
      <c r="X422" s="1">
        <f t="shared" si="16"/>
        <v>3</v>
      </c>
      <c r="Y422" s="5" t="str">
        <f t="shared" si="17"/>
        <v>C</v>
      </c>
    </row>
    <row r="423" spans="2:25" x14ac:dyDescent="0.25">
      <c r="B423" s="11">
        <v>44795</v>
      </c>
      <c r="C423" s="7">
        <v>600004055754</v>
      </c>
      <c r="D423" s="5">
        <v>1</v>
      </c>
      <c r="E423" t="s">
        <v>894</v>
      </c>
      <c r="F423" t="s">
        <v>599</v>
      </c>
      <c r="G423" t="s">
        <v>706</v>
      </c>
      <c r="H423" t="s">
        <v>741</v>
      </c>
      <c r="I423" t="s">
        <v>827</v>
      </c>
      <c r="J423" s="26" t="s">
        <v>524</v>
      </c>
      <c r="K423" s="5" t="s">
        <v>90</v>
      </c>
      <c r="L423" s="1" t="s">
        <v>71</v>
      </c>
      <c r="M423" s="1" t="s">
        <v>259</v>
      </c>
      <c r="N423" s="1" t="s">
        <v>67</v>
      </c>
      <c r="O423" s="1" t="s">
        <v>19</v>
      </c>
      <c r="P423" s="9">
        <v>44795</v>
      </c>
      <c r="Q423" s="1" t="s">
        <v>480</v>
      </c>
      <c r="R423" s="1" t="s">
        <v>63</v>
      </c>
      <c r="S423" s="1">
        <v>2</v>
      </c>
      <c r="T423" s="12">
        <v>0.27083333333333331</v>
      </c>
      <c r="U423" s="12">
        <v>0.33333333333333331</v>
      </c>
      <c r="V423" s="1">
        <v>1.5</v>
      </c>
      <c r="W423" s="1">
        <v>1.5</v>
      </c>
      <c r="X423" s="1">
        <f t="shared" si="16"/>
        <v>3</v>
      </c>
      <c r="Y423" s="5" t="str">
        <f t="shared" si="17"/>
        <v>C</v>
      </c>
    </row>
    <row r="424" spans="2:25" x14ac:dyDescent="0.25">
      <c r="B424" s="11">
        <v>44796</v>
      </c>
      <c r="C424" s="7">
        <v>600004056023</v>
      </c>
      <c r="D424" s="5">
        <v>1</v>
      </c>
      <c r="E424" t="s">
        <v>874</v>
      </c>
      <c r="F424" t="s">
        <v>572</v>
      </c>
      <c r="G424" t="s">
        <v>686</v>
      </c>
      <c r="H424" t="s">
        <v>745</v>
      </c>
      <c r="I424" t="s">
        <v>807</v>
      </c>
      <c r="J424" s="27" t="s">
        <v>525</v>
      </c>
      <c r="K424" s="5" t="s">
        <v>168</v>
      </c>
      <c r="L424" s="1" t="s">
        <v>79</v>
      </c>
      <c r="M424" s="1" t="s">
        <v>57</v>
      </c>
      <c r="N424" s="1" t="s">
        <v>313</v>
      </c>
      <c r="O424" s="1" t="s">
        <v>19</v>
      </c>
      <c r="P424" s="9">
        <v>44796</v>
      </c>
      <c r="Q424" s="1" t="s">
        <v>475</v>
      </c>
      <c r="R424" s="1" t="s">
        <v>63</v>
      </c>
      <c r="S424" s="1">
        <v>3</v>
      </c>
      <c r="T424" s="12">
        <v>0.625</v>
      </c>
      <c r="U424" s="12">
        <v>0.75</v>
      </c>
      <c r="V424" s="1">
        <v>3</v>
      </c>
      <c r="W424" s="1">
        <v>3</v>
      </c>
      <c r="X424" s="1">
        <f t="shared" si="16"/>
        <v>9</v>
      </c>
      <c r="Y424" s="5" t="str">
        <f t="shared" si="17"/>
        <v>B</v>
      </c>
    </row>
    <row r="425" spans="2:25" x14ac:dyDescent="0.25">
      <c r="B425" s="11">
        <v>44798</v>
      </c>
      <c r="C425" s="7">
        <v>600004056428</v>
      </c>
      <c r="D425" s="5">
        <v>1</v>
      </c>
      <c r="E425" t="s">
        <v>902</v>
      </c>
      <c r="F425" t="s">
        <v>607</v>
      </c>
      <c r="G425" t="s">
        <v>714</v>
      </c>
      <c r="H425" t="s">
        <v>743</v>
      </c>
      <c r="I425" t="s">
        <v>835</v>
      </c>
      <c r="J425" s="27" t="s">
        <v>525</v>
      </c>
      <c r="K425" s="5" t="s">
        <v>140</v>
      </c>
      <c r="L425" s="1" t="s">
        <v>36</v>
      </c>
      <c r="M425" s="1" t="s">
        <v>57</v>
      </c>
      <c r="N425" s="1" t="s">
        <v>173</v>
      </c>
      <c r="O425" s="1" t="s">
        <v>19</v>
      </c>
      <c r="P425" s="9">
        <v>44798</v>
      </c>
      <c r="Q425" s="1" t="s">
        <v>479</v>
      </c>
      <c r="R425" s="1" t="s">
        <v>63</v>
      </c>
      <c r="S425" s="1">
        <v>1</v>
      </c>
      <c r="T425" s="12">
        <v>0.29166666666666669</v>
      </c>
      <c r="U425" s="12">
        <v>0.33333333333333331</v>
      </c>
      <c r="V425" s="1">
        <v>1</v>
      </c>
      <c r="W425" s="1">
        <v>1</v>
      </c>
      <c r="X425" s="1">
        <f t="shared" si="16"/>
        <v>1</v>
      </c>
      <c r="Y425" s="5" t="str">
        <f t="shared" si="17"/>
        <v>C</v>
      </c>
    </row>
    <row r="426" spans="2:25" x14ac:dyDescent="0.25">
      <c r="B426" s="11">
        <v>44799</v>
      </c>
      <c r="C426" s="7">
        <v>600004056686</v>
      </c>
      <c r="D426" s="5">
        <v>1</v>
      </c>
      <c r="E426" t="s">
        <v>506</v>
      </c>
      <c r="F426" t="s">
        <v>550</v>
      </c>
      <c r="G426" t="s">
        <v>655</v>
      </c>
      <c r="H426" t="s">
        <v>745</v>
      </c>
      <c r="I426" t="s">
        <v>776</v>
      </c>
      <c r="J426" s="26" t="s">
        <v>525</v>
      </c>
      <c r="K426" s="5" t="s">
        <v>15</v>
      </c>
      <c r="L426" s="1" t="s">
        <v>79</v>
      </c>
      <c r="M426" s="1" t="s">
        <v>126</v>
      </c>
      <c r="N426" s="1" t="s">
        <v>204</v>
      </c>
      <c r="O426" s="1" t="s">
        <v>19</v>
      </c>
      <c r="P426" s="9">
        <v>44803</v>
      </c>
      <c r="Q426" s="1" t="s">
        <v>475</v>
      </c>
      <c r="R426" s="1" t="s">
        <v>50</v>
      </c>
      <c r="S426" s="1">
        <v>1</v>
      </c>
      <c r="T426" s="12">
        <v>0.5</v>
      </c>
      <c r="U426" s="12">
        <v>0.60416666666666663</v>
      </c>
      <c r="V426" s="1">
        <v>2.5</v>
      </c>
      <c r="W426" s="1">
        <v>2.5</v>
      </c>
      <c r="X426" s="1">
        <f t="shared" si="16"/>
        <v>2.5</v>
      </c>
      <c r="Y426" s="5" t="str">
        <f t="shared" si="17"/>
        <v>B</v>
      </c>
    </row>
    <row r="427" spans="2:25" x14ac:dyDescent="0.25">
      <c r="B427" s="11">
        <v>44799</v>
      </c>
      <c r="C427" s="7">
        <v>600004056692</v>
      </c>
      <c r="D427" s="5">
        <v>1</v>
      </c>
      <c r="E427" t="s">
        <v>885</v>
      </c>
      <c r="F427" t="s">
        <v>591</v>
      </c>
      <c r="G427" t="s">
        <v>697</v>
      </c>
      <c r="H427" t="s">
        <v>745</v>
      </c>
      <c r="I427" t="s">
        <v>818</v>
      </c>
      <c r="J427" s="27" t="s">
        <v>525</v>
      </c>
      <c r="K427" s="5" t="s">
        <v>15</v>
      </c>
      <c r="L427" s="1" t="s">
        <v>16</v>
      </c>
      <c r="M427" s="1" t="s">
        <v>112</v>
      </c>
      <c r="N427" s="1" t="s">
        <v>67</v>
      </c>
      <c r="O427" s="1" t="s">
        <v>176</v>
      </c>
      <c r="P427" s="9">
        <v>44802</v>
      </c>
      <c r="Q427" s="1" t="s">
        <v>479</v>
      </c>
      <c r="R427" s="1" t="s">
        <v>63</v>
      </c>
      <c r="S427" s="1">
        <v>2</v>
      </c>
      <c r="T427" s="12">
        <v>0.29166666666666669</v>
      </c>
      <c r="U427" s="12">
        <v>0.33333333333333331</v>
      </c>
      <c r="V427" s="1">
        <v>1</v>
      </c>
      <c r="W427" s="1">
        <v>1</v>
      </c>
      <c r="X427" s="1">
        <f t="shared" si="16"/>
        <v>2</v>
      </c>
      <c r="Y427" s="5" t="str">
        <f t="shared" si="17"/>
        <v>C</v>
      </c>
    </row>
    <row r="428" spans="2:25" x14ac:dyDescent="0.25">
      <c r="B428" s="11">
        <v>44799</v>
      </c>
      <c r="C428" s="7">
        <v>600004056694</v>
      </c>
      <c r="D428" s="5">
        <v>1</v>
      </c>
      <c r="E428" t="s">
        <v>482</v>
      </c>
      <c r="F428" t="s">
        <v>526</v>
      </c>
      <c r="G428" t="s">
        <v>631</v>
      </c>
      <c r="H428" t="s">
        <v>740</v>
      </c>
      <c r="I428" t="s">
        <v>752</v>
      </c>
      <c r="J428" s="27" t="s">
        <v>524</v>
      </c>
      <c r="K428" s="5" t="s">
        <v>70</v>
      </c>
      <c r="L428" s="1" t="s">
        <v>71</v>
      </c>
      <c r="M428" s="1" t="s">
        <v>259</v>
      </c>
      <c r="N428" s="1" t="s">
        <v>55</v>
      </c>
      <c r="O428" s="1" t="s">
        <v>19</v>
      </c>
      <c r="P428" s="9">
        <v>44799</v>
      </c>
      <c r="Q428" s="1" t="s">
        <v>480</v>
      </c>
      <c r="R428" s="1" t="s">
        <v>63</v>
      </c>
      <c r="S428" s="1">
        <v>1</v>
      </c>
      <c r="T428" s="12">
        <v>0.5625</v>
      </c>
      <c r="U428" s="12">
        <v>0.64583333333333337</v>
      </c>
      <c r="V428" s="1">
        <v>2</v>
      </c>
      <c r="W428" s="1">
        <v>2</v>
      </c>
      <c r="X428" s="1">
        <f t="shared" si="16"/>
        <v>2</v>
      </c>
      <c r="Y428" s="5" t="str">
        <f t="shared" si="17"/>
        <v>C</v>
      </c>
    </row>
    <row r="429" spans="2:25" x14ac:dyDescent="0.25">
      <c r="B429" s="11">
        <v>44802</v>
      </c>
      <c r="C429" s="7">
        <v>600004057250</v>
      </c>
      <c r="D429" s="5">
        <v>1</v>
      </c>
      <c r="E429" t="s">
        <v>512</v>
      </c>
      <c r="F429" t="s">
        <v>556</v>
      </c>
      <c r="G429" t="s">
        <v>661</v>
      </c>
      <c r="H429" t="s">
        <v>745</v>
      </c>
      <c r="I429" t="s">
        <v>782</v>
      </c>
      <c r="J429" s="27" t="s">
        <v>525</v>
      </c>
      <c r="K429" s="5" t="s">
        <v>88</v>
      </c>
      <c r="L429" s="1" t="s">
        <v>89</v>
      </c>
      <c r="M429" s="1" t="s">
        <v>57</v>
      </c>
      <c r="N429" s="1" t="s">
        <v>45</v>
      </c>
      <c r="O429" s="1" t="s">
        <v>19</v>
      </c>
      <c r="P429" s="9">
        <v>44802</v>
      </c>
      <c r="Q429" s="1" t="s">
        <v>479</v>
      </c>
      <c r="R429" s="1" t="s">
        <v>63</v>
      </c>
      <c r="S429" s="1">
        <v>2</v>
      </c>
      <c r="T429" s="12">
        <v>0.52083333333333337</v>
      </c>
      <c r="U429" s="12">
        <v>0.5625</v>
      </c>
      <c r="V429" s="1">
        <v>1</v>
      </c>
      <c r="W429" s="1">
        <v>1</v>
      </c>
      <c r="X429" s="1">
        <f t="shared" si="16"/>
        <v>2</v>
      </c>
      <c r="Y429" s="5" t="str">
        <f t="shared" si="17"/>
        <v>C</v>
      </c>
    </row>
    <row r="430" spans="2:25" x14ac:dyDescent="0.25">
      <c r="B430" s="11">
        <v>44803</v>
      </c>
      <c r="C430" s="7">
        <v>600004057540</v>
      </c>
      <c r="D430" s="5">
        <v>1</v>
      </c>
      <c r="E430" t="s">
        <v>882</v>
      </c>
      <c r="F430" t="s">
        <v>588</v>
      </c>
      <c r="G430" t="s">
        <v>694</v>
      </c>
      <c r="H430" t="s">
        <v>745</v>
      </c>
      <c r="I430" t="s">
        <v>815</v>
      </c>
      <c r="J430" s="26" t="s">
        <v>525</v>
      </c>
      <c r="K430" s="5" t="s">
        <v>15</v>
      </c>
      <c r="L430" s="1" t="s">
        <v>148</v>
      </c>
      <c r="M430" s="1" t="s">
        <v>57</v>
      </c>
      <c r="N430" s="1" t="s">
        <v>114</v>
      </c>
      <c r="O430" s="1" t="s">
        <v>176</v>
      </c>
      <c r="P430" s="9">
        <v>44816</v>
      </c>
      <c r="Q430" s="1" t="s">
        <v>476</v>
      </c>
      <c r="R430" s="1" t="s">
        <v>63</v>
      </c>
      <c r="S430" s="1">
        <v>1</v>
      </c>
      <c r="T430" s="12">
        <v>0.58333333333333337</v>
      </c>
      <c r="U430" s="12">
        <v>0.625</v>
      </c>
      <c r="V430" s="1">
        <v>1</v>
      </c>
      <c r="W430" s="1">
        <v>1</v>
      </c>
      <c r="X430" s="1">
        <f t="shared" si="16"/>
        <v>1</v>
      </c>
      <c r="Y430" s="5" t="str">
        <f t="shared" si="17"/>
        <v>C</v>
      </c>
    </row>
    <row r="431" spans="2:25" x14ac:dyDescent="0.25">
      <c r="B431" s="11">
        <v>44809</v>
      </c>
      <c r="C431" s="7">
        <v>600004058937</v>
      </c>
      <c r="D431" s="5">
        <v>1</v>
      </c>
      <c r="E431" t="s">
        <v>862</v>
      </c>
      <c r="F431" t="s">
        <v>569</v>
      </c>
      <c r="G431" t="s">
        <v>674</v>
      </c>
      <c r="H431" t="s">
        <v>745</v>
      </c>
      <c r="I431" t="s">
        <v>795</v>
      </c>
      <c r="J431" s="27" t="s">
        <v>525</v>
      </c>
      <c r="K431" s="5" t="s">
        <v>140</v>
      </c>
      <c r="L431" s="1" t="s">
        <v>79</v>
      </c>
      <c r="M431" s="1" t="s">
        <v>57</v>
      </c>
      <c r="N431" s="1" t="s">
        <v>314</v>
      </c>
      <c r="O431" s="1" t="s">
        <v>19</v>
      </c>
      <c r="P431" s="9">
        <v>44810</v>
      </c>
      <c r="Q431" s="1" t="s">
        <v>475</v>
      </c>
      <c r="R431" s="1" t="s">
        <v>50</v>
      </c>
      <c r="S431" s="1">
        <v>1</v>
      </c>
      <c r="T431" s="12">
        <v>0.29166666666666669</v>
      </c>
      <c r="U431" s="12">
        <v>0.47916666666666669</v>
      </c>
      <c r="V431" s="1">
        <v>4.5</v>
      </c>
      <c r="W431" s="1">
        <v>4.5</v>
      </c>
      <c r="X431" s="1">
        <f t="shared" si="16"/>
        <v>4.5</v>
      </c>
      <c r="Y431" s="5" t="str">
        <f t="shared" si="17"/>
        <v>B</v>
      </c>
    </row>
    <row r="432" spans="2:25" x14ac:dyDescent="0.25">
      <c r="B432" s="11">
        <v>44809</v>
      </c>
      <c r="C432" s="7">
        <v>600004058973</v>
      </c>
      <c r="D432" s="5">
        <v>1</v>
      </c>
      <c r="E432" t="s">
        <v>872</v>
      </c>
      <c r="F432" t="s">
        <v>579</v>
      </c>
      <c r="G432" t="s">
        <v>684</v>
      </c>
      <c r="H432" t="s">
        <v>746</v>
      </c>
      <c r="I432" t="s">
        <v>805</v>
      </c>
      <c r="J432" s="27" t="s">
        <v>525</v>
      </c>
      <c r="K432" s="5" t="s">
        <v>76</v>
      </c>
      <c r="L432" s="1" t="s">
        <v>57</v>
      </c>
      <c r="M432" s="1" t="s">
        <v>315</v>
      </c>
      <c r="N432" s="1" t="s">
        <v>110</v>
      </c>
      <c r="O432" s="1" t="s">
        <v>19</v>
      </c>
      <c r="P432" s="9">
        <v>44809</v>
      </c>
      <c r="Q432" s="1" t="s">
        <v>477</v>
      </c>
      <c r="R432" s="1" t="s">
        <v>63</v>
      </c>
      <c r="S432" s="1">
        <v>3</v>
      </c>
      <c r="T432" s="12">
        <v>0.52083333333333337</v>
      </c>
      <c r="U432" s="12">
        <v>0.5625</v>
      </c>
      <c r="V432" s="1">
        <v>1</v>
      </c>
      <c r="W432" s="1">
        <v>1</v>
      </c>
      <c r="X432" s="1">
        <f t="shared" si="16"/>
        <v>3</v>
      </c>
      <c r="Y432" s="5" t="str">
        <f t="shared" si="17"/>
        <v>C</v>
      </c>
    </row>
    <row r="433" spans="2:25" x14ac:dyDescent="0.25">
      <c r="B433" s="11">
        <v>44809</v>
      </c>
      <c r="C433" s="7">
        <v>600004058962</v>
      </c>
      <c r="D433" s="5">
        <v>1</v>
      </c>
      <c r="E433" t="s">
        <v>875</v>
      </c>
      <c r="F433" t="s">
        <v>581</v>
      </c>
      <c r="G433" t="s">
        <v>687</v>
      </c>
      <c r="H433" t="s">
        <v>745</v>
      </c>
      <c r="I433" t="s">
        <v>808</v>
      </c>
      <c r="J433" s="27" t="s">
        <v>525</v>
      </c>
      <c r="K433" s="5" t="s">
        <v>15</v>
      </c>
      <c r="L433" s="1" t="s">
        <v>148</v>
      </c>
      <c r="M433" s="1" t="s">
        <v>316</v>
      </c>
      <c r="N433" s="1" t="s">
        <v>293</v>
      </c>
      <c r="O433" s="1" t="s">
        <v>19</v>
      </c>
      <c r="P433" s="9">
        <v>44810</v>
      </c>
      <c r="Q433" s="1" t="s">
        <v>479</v>
      </c>
      <c r="R433" s="1" t="s">
        <v>63</v>
      </c>
      <c r="S433" s="1">
        <v>2</v>
      </c>
      <c r="T433" s="12">
        <v>0.58333333333333337</v>
      </c>
      <c r="U433" s="12">
        <v>0.625</v>
      </c>
      <c r="V433" s="1">
        <v>1</v>
      </c>
      <c r="W433" s="1">
        <v>1</v>
      </c>
      <c r="X433" s="1">
        <f t="shared" si="16"/>
        <v>2</v>
      </c>
      <c r="Y433" s="5" t="str">
        <f t="shared" si="17"/>
        <v>C</v>
      </c>
    </row>
    <row r="434" spans="2:25" x14ac:dyDescent="0.25">
      <c r="B434" s="11">
        <v>44810</v>
      </c>
      <c r="C434" s="7">
        <v>600004059274</v>
      </c>
      <c r="D434" s="5">
        <v>1</v>
      </c>
      <c r="E434" t="s">
        <v>875</v>
      </c>
      <c r="F434" t="s">
        <v>581</v>
      </c>
      <c r="G434" t="s">
        <v>687</v>
      </c>
      <c r="H434" t="s">
        <v>745</v>
      </c>
      <c r="I434" t="s">
        <v>808</v>
      </c>
      <c r="J434" s="27" t="s">
        <v>525</v>
      </c>
      <c r="K434" s="5" t="s">
        <v>15</v>
      </c>
      <c r="L434" s="1" t="s">
        <v>16</v>
      </c>
      <c r="M434" s="1" t="s">
        <v>17</v>
      </c>
      <c r="N434" s="1" t="s">
        <v>67</v>
      </c>
      <c r="O434" s="1" t="s">
        <v>19</v>
      </c>
      <c r="P434" s="9">
        <v>44810</v>
      </c>
      <c r="Q434" s="1" t="s">
        <v>479</v>
      </c>
      <c r="R434" s="1" t="s">
        <v>63</v>
      </c>
      <c r="S434" s="1">
        <v>2</v>
      </c>
      <c r="T434" s="12">
        <v>0.625</v>
      </c>
      <c r="U434" s="12">
        <v>0.66666666666666663</v>
      </c>
      <c r="V434" s="1">
        <v>1</v>
      </c>
      <c r="W434" s="1">
        <v>1</v>
      </c>
      <c r="X434" s="1">
        <f t="shared" si="16"/>
        <v>2</v>
      </c>
      <c r="Y434" s="5" t="str">
        <f t="shared" si="17"/>
        <v>C</v>
      </c>
    </row>
    <row r="435" spans="2:25" x14ac:dyDescent="0.25">
      <c r="B435" s="11">
        <v>44810</v>
      </c>
      <c r="C435" s="7">
        <v>600004059284</v>
      </c>
      <c r="D435" s="4">
        <v>1</v>
      </c>
      <c r="E435" t="s">
        <v>496</v>
      </c>
      <c r="F435" t="s">
        <v>540</v>
      </c>
      <c r="G435" t="s">
        <v>645</v>
      </c>
      <c r="H435" t="s">
        <v>745</v>
      </c>
      <c r="I435" t="s">
        <v>766</v>
      </c>
      <c r="J435" s="2" t="s">
        <v>525</v>
      </c>
      <c r="K435" s="4" t="s">
        <v>15</v>
      </c>
      <c r="L435" s="1" t="s">
        <v>79</v>
      </c>
      <c r="M435" s="1" t="s">
        <v>62</v>
      </c>
      <c r="N435" s="1" t="s">
        <v>317</v>
      </c>
      <c r="O435" s="1" t="s">
        <v>19</v>
      </c>
      <c r="P435" s="9">
        <v>44810</v>
      </c>
      <c r="Q435" s="1" t="s">
        <v>475</v>
      </c>
      <c r="R435" s="1" t="s">
        <v>50</v>
      </c>
      <c r="S435" s="1">
        <v>1</v>
      </c>
      <c r="T435" s="12">
        <v>0.5</v>
      </c>
      <c r="U435" s="12">
        <v>0.5625</v>
      </c>
      <c r="V435" s="1">
        <v>1.5</v>
      </c>
      <c r="W435" s="1">
        <v>1.5</v>
      </c>
      <c r="X435" s="1">
        <f t="shared" si="16"/>
        <v>1.5</v>
      </c>
      <c r="Y435" s="5" t="str">
        <f t="shared" si="17"/>
        <v>C</v>
      </c>
    </row>
    <row r="436" spans="2:25" x14ac:dyDescent="0.25">
      <c r="B436" s="11">
        <v>44816</v>
      </c>
      <c r="C436" s="7">
        <v>600004060144</v>
      </c>
      <c r="D436" s="5">
        <v>1</v>
      </c>
      <c r="E436" t="s">
        <v>511</v>
      </c>
      <c r="F436" t="s">
        <v>555</v>
      </c>
      <c r="G436" t="s">
        <v>660</v>
      </c>
      <c r="H436" t="s">
        <v>745</v>
      </c>
      <c r="I436" t="s">
        <v>781</v>
      </c>
      <c r="J436" s="26" t="s">
        <v>525</v>
      </c>
      <c r="K436" s="5" t="s">
        <v>15</v>
      </c>
      <c r="L436" s="1" t="s">
        <v>16</v>
      </c>
      <c r="M436" s="1" t="s">
        <v>137</v>
      </c>
      <c r="N436" s="1" t="s">
        <v>52</v>
      </c>
      <c r="O436" s="1" t="s">
        <v>19</v>
      </c>
      <c r="P436" s="9">
        <v>44816</v>
      </c>
      <c r="Q436" s="1" t="s">
        <v>479</v>
      </c>
      <c r="R436" s="1" t="s">
        <v>63</v>
      </c>
      <c r="S436" s="1">
        <v>2</v>
      </c>
      <c r="T436" s="12">
        <v>0.27083333333333331</v>
      </c>
      <c r="U436" s="12">
        <v>0.3125</v>
      </c>
      <c r="V436" s="1">
        <v>1</v>
      </c>
      <c r="W436" s="1">
        <v>1</v>
      </c>
      <c r="X436" s="1">
        <f t="shared" si="16"/>
        <v>2</v>
      </c>
      <c r="Y436" s="5" t="str">
        <f t="shared" si="17"/>
        <v>C</v>
      </c>
    </row>
    <row r="437" spans="2:25" x14ac:dyDescent="0.25">
      <c r="B437" s="11">
        <v>44820</v>
      </c>
      <c r="C437" s="7">
        <v>600004061135</v>
      </c>
      <c r="D437" s="5">
        <v>1</v>
      </c>
      <c r="E437" t="s">
        <v>903</v>
      </c>
      <c r="F437" t="s">
        <v>608</v>
      </c>
      <c r="G437" t="s">
        <v>715</v>
      </c>
      <c r="H437" t="s">
        <v>745</v>
      </c>
      <c r="I437" t="s">
        <v>836</v>
      </c>
      <c r="J437" s="27" t="s">
        <v>525</v>
      </c>
      <c r="K437" s="5" t="s">
        <v>319</v>
      </c>
      <c r="L437" s="1" t="s">
        <v>79</v>
      </c>
      <c r="M437" s="1" t="s">
        <v>57</v>
      </c>
      <c r="N437" s="1" t="s">
        <v>34</v>
      </c>
      <c r="O437" s="1" t="s">
        <v>19</v>
      </c>
      <c r="P437" s="9">
        <v>44820</v>
      </c>
      <c r="Q437" s="1" t="s">
        <v>478</v>
      </c>
      <c r="R437" s="1" t="s">
        <v>50</v>
      </c>
      <c r="S437" s="1">
        <v>1</v>
      </c>
      <c r="T437" s="12">
        <v>0.33333333333333331</v>
      </c>
      <c r="U437" s="12">
        <v>0.375</v>
      </c>
      <c r="V437" s="1">
        <v>1</v>
      </c>
      <c r="W437" s="1">
        <v>1</v>
      </c>
      <c r="X437" s="1">
        <f t="shared" si="16"/>
        <v>1</v>
      </c>
      <c r="Y437" s="5" t="str">
        <f t="shared" si="17"/>
        <v>C</v>
      </c>
    </row>
    <row r="438" spans="2:25" x14ac:dyDescent="0.25">
      <c r="B438" s="11">
        <v>44823</v>
      </c>
      <c r="C438" s="7">
        <v>600004061840</v>
      </c>
      <c r="D438" s="5">
        <v>1</v>
      </c>
      <c r="E438" t="s">
        <v>507</v>
      </c>
      <c r="F438" t="s">
        <v>551</v>
      </c>
      <c r="G438" t="s">
        <v>656</v>
      </c>
      <c r="H438" t="s">
        <v>745</v>
      </c>
      <c r="I438" t="s">
        <v>777</v>
      </c>
      <c r="J438" s="27" t="s">
        <v>525</v>
      </c>
      <c r="K438" s="5" t="s">
        <v>15</v>
      </c>
      <c r="L438" s="1" t="s">
        <v>57</v>
      </c>
      <c r="M438" s="1" t="s">
        <v>71</v>
      </c>
      <c r="N438" s="1" t="s">
        <v>84</v>
      </c>
      <c r="O438" s="1" t="s">
        <v>176</v>
      </c>
      <c r="P438" s="9">
        <v>44821</v>
      </c>
      <c r="Q438" s="1" t="s">
        <v>477</v>
      </c>
      <c r="R438" s="1" t="s">
        <v>63</v>
      </c>
      <c r="S438" s="1">
        <v>2</v>
      </c>
      <c r="T438" s="12">
        <v>0.44444444444444442</v>
      </c>
      <c r="U438" s="12">
        <v>0.4861111111111111</v>
      </c>
      <c r="V438" s="1">
        <v>1</v>
      </c>
      <c r="W438" s="1">
        <v>1</v>
      </c>
      <c r="X438" s="1">
        <f t="shared" si="16"/>
        <v>2</v>
      </c>
      <c r="Y438" s="5" t="str">
        <f t="shared" si="17"/>
        <v>C</v>
      </c>
    </row>
    <row r="439" spans="2:25" x14ac:dyDescent="0.25">
      <c r="B439" s="11">
        <v>44823</v>
      </c>
      <c r="C439" s="7">
        <v>600004061838</v>
      </c>
      <c r="D439" s="5">
        <v>1</v>
      </c>
      <c r="E439" t="s">
        <v>511</v>
      </c>
      <c r="F439" t="s">
        <v>555</v>
      </c>
      <c r="G439" t="s">
        <v>660</v>
      </c>
      <c r="H439" t="s">
        <v>745</v>
      </c>
      <c r="I439" t="s">
        <v>781</v>
      </c>
      <c r="J439" s="27" t="s">
        <v>525</v>
      </c>
      <c r="K439" s="5" t="s">
        <v>15</v>
      </c>
      <c r="L439" s="1" t="s">
        <v>57</v>
      </c>
      <c r="M439" s="1" t="s">
        <v>71</v>
      </c>
      <c r="N439" s="1" t="s">
        <v>73</v>
      </c>
      <c r="O439" s="1" t="s">
        <v>176</v>
      </c>
      <c r="P439" s="9">
        <v>44821</v>
      </c>
      <c r="Q439" s="1" t="s">
        <v>477</v>
      </c>
      <c r="R439" s="1" t="s">
        <v>63</v>
      </c>
      <c r="S439" s="1">
        <v>2</v>
      </c>
      <c r="T439" s="12">
        <v>0.4861111111111111</v>
      </c>
      <c r="U439" s="12">
        <v>0.52777777777777779</v>
      </c>
      <c r="V439" s="1">
        <v>1</v>
      </c>
      <c r="W439" s="1">
        <v>1</v>
      </c>
      <c r="X439" s="1">
        <f t="shared" si="16"/>
        <v>2</v>
      </c>
      <c r="Y439" s="5" t="str">
        <f t="shared" si="17"/>
        <v>C</v>
      </c>
    </row>
    <row r="440" spans="2:25" x14ac:dyDescent="0.25">
      <c r="B440" s="11">
        <v>44823</v>
      </c>
      <c r="C440" s="7">
        <v>600004061839</v>
      </c>
      <c r="D440" s="5">
        <v>1</v>
      </c>
      <c r="E440" t="s">
        <v>885</v>
      </c>
      <c r="F440" t="s">
        <v>591</v>
      </c>
      <c r="G440" t="s">
        <v>697</v>
      </c>
      <c r="H440" t="s">
        <v>745</v>
      </c>
      <c r="I440" t="s">
        <v>818</v>
      </c>
      <c r="J440" s="27" t="s">
        <v>525</v>
      </c>
      <c r="K440" s="5" t="s">
        <v>15</v>
      </c>
      <c r="L440" s="1" t="s">
        <v>57</v>
      </c>
      <c r="M440" s="1" t="s">
        <v>71</v>
      </c>
      <c r="N440" s="1" t="s">
        <v>84</v>
      </c>
      <c r="O440" s="1" t="s">
        <v>176</v>
      </c>
      <c r="P440" s="9">
        <v>44821</v>
      </c>
      <c r="Q440" s="1" t="s">
        <v>477</v>
      </c>
      <c r="R440" s="1" t="s">
        <v>63</v>
      </c>
      <c r="S440" s="1">
        <v>2</v>
      </c>
      <c r="T440" s="12">
        <v>0.39583333333333331</v>
      </c>
      <c r="U440" s="12">
        <v>0.41666666666666669</v>
      </c>
      <c r="V440" s="1">
        <v>0.5</v>
      </c>
      <c r="W440" s="1">
        <v>0.5</v>
      </c>
      <c r="X440" s="1">
        <f t="shared" si="16"/>
        <v>1</v>
      </c>
      <c r="Y440" s="5" t="str">
        <f t="shared" si="17"/>
        <v>C</v>
      </c>
    </row>
    <row r="441" spans="2:25" x14ac:dyDescent="0.25">
      <c r="B441" s="11">
        <v>44823</v>
      </c>
      <c r="C441" s="7">
        <v>600004061892</v>
      </c>
      <c r="D441" s="5">
        <v>1</v>
      </c>
      <c r="E441" t="s">
        <v>867</v>
      </c>
      <c r="F441" t="s">
        <v>574</v>
      </c>
      <c r="G441" t="s">
        <v>679</v>
      </c>
      <c r="H441" t="s">
        <v>745</v>
      </c>
      <c r="I441" t="s">
        <v>800</v>
      </c>
      <c r="J441" s="27" t="s">
        <v>525</v>
      </c>
      <c r="K441" s="5" t="s">
        <v>171</v>
      </c>
      <c r="L441" s="1" t="s">
        <v>57</v>
      </c>
      <c r="M441" s="1" t="s">
        <v>227</v>
      </c>
      <c r="N441" s="1" t="s">
        <v>112</v>
      </c>
      <c r="O441" s="1" t="s">
        <v>19</v>
      </c>
      <c r="P441" s="9">
        <v>44823</v>
      </c>
      <c r="Q441" s="1" t="s">
        <v>477</v>
      </c>
      <c r="R441" s="1" t="s">
        <v>63</v>
      </c>
      <c r="S441" s="1">
        <v>1</v>
      </c>
      <c r="T441" s="12">
        <v>0.58333333333333337</v>
      </c>
      <c r="U441" s="12">
        <v>0.60416666666666663</v>
      </c>
      <c r="V441" s="1">
        <v>0.5</v>
      </c>
      <c r="W441" s="1">
        <v>0.5</v>
      </c>
      <c r="X441" s="1">
        <f t="shared" si="16"/>
        <v>0.5</v>
      </c>
      <c r="Y441" s="5" t="str">
        <f t="shared" si="17"/>
        <v>C</v>
      </c>
    </row>
    <row r="442" spans="2:25" x14ac:dyDescent="0.25">
      <c r="B442" s="11">
        <v>44823</v>
      </c>
      <c r="C442" s="7">
        <v>600004061844</v>
      </c>
      <c r="D442" s="5">
        <v>1</v>
      </c>
      <c r="E442" t="s">
        <v>875</v>
      </c>
      <c r="F442" t="s">
        <v>581</v>
      </c>
      <c r="G442" t="s">
        <v>687</v>
      </c>
      <c r="H442" t="s">
        <v>745</v>
      </c>
      <c r="I442" t="s">
        <v>808</v>
      </c>
      <c r="J442" s="27" t="s">
        <v>525</v>
      </c>
      <c r="K442" s="5" t="s">
        <v>15</v>
      </c>
      <c r="L442" s="1" t="s">
        <v>57</v>
      </c>
      <c r="M442" s="1" t="s">
        <v>71</v>
      </c>
      <c r="N442" s="1" t="s">
        <v>194</v>
      </c>
      <c r="O442" s="1" t="s">
        <v>176</v>
      </c>
      <c r="P442" s="9">
        <v>44821</v>
      </c>
      <c r="Q442" s="1" t="s">
        <v>477</v>
      </c>
      <c r="R442" s="1" t="s">
        <v>63</v>
      </c>
      <c r="S442" s="1">
        <v>2</v>
      </c>
      <c r="T442" s="12">
        <v>0.41666666666666669</v>
      </c>
      <c r="U442" s="12">
        <v>0.45833333333333331</v>
      </c>
      <c r="V442" s="1">
        <v>1</v>
      </c>
      <c r="W442" s="1">
        <v>1</v>
      </c>
      <c r="X442" s="1">
        <f t="shared" si="16"/>
        <v>2</v>
      </c>
      <c r="Y442" s="5" t="str">
        <f t="shared" si="17"/>
        <v>C</v>
      </c>
    </row>
    <row r="443" spans="2:25" x14ac:dyDescent="0.25">
      <c r="B443" s="11">
        <v>44823</v>
      </c>
      <c r="C443" s="7">
        <v>600004061845</v>
      </c>
      <c r="D443" s="5">
        <v>1</v>
      </c>
      <c r="E443" t="s">
        <v>864</v>
      </c>
      <c r="F443" t="s">
        <v>571</v>
      </c>
      <c r="G443" t="s">
        <v>676</v>
      </c>
      <c r="H443" t="s">
        <v>745</v>
      </c>
      <c r="I443" t="s">
        <v>797</v>
      </c>
      <c r="J443" s="27" t="s">
        <v>525</v>
      </c>
      <c r="K443" s="5" t="s">
        <v>15</v>
      </c>
      <c r="L443" s="1" t="s">
        <v>57</v>
      </c>
      <c r="M443" s="1" t="s">
        <v>71</v>
      </c>
      <c r="N443" s="1" t="s">
        <v>84</v>
      </c>
      <c r="O443" s="1" t="s">
        <v>176</v>
      </c>
      <c r="P443" s="9">
        <v>44821</v>
      </c>
      <c r="Q443" s="1" t="s">
        <v>477</v>
      </c>
      <c r="R443" s="1" t="s">
        <v>63</v>
      </c>
      <c r="S443" s="1">
        <v>2</v>
      </c>
      <c r="T443" s="12">
        <v>0.29166666666666669</v>
      </c>
      <c r="U443" s="12">
        <v>0.33333333333333331</v>
      </c>
      <c r="V443" s="1">
        <v>1</v>
      </c>
      <c r="W443" s="1">
        <v>1</v>
      </c>
      <c r="X443" s="1">
        <f t="shared" si="16"/>
        <v>2</v>
      </c>
      <c r="Y443" s="5" t="str">
        <f t="shared" si="17"/>
        <v>C</v>
      </c>
    </row>
    <row r="444" spans="2:25" x14ac:dyDescent="0.25">
      <c r="B444" s="11">
        <v>44826</v>
      </c>
      <c r="C444" s="7">
        <v>600004062522</v>
      </c>
      <c r="D444" s="5">
        <v>1</v>
      </c>
      <c r="E444" t="s">
        <v>511</v>
      </c>
      <c r="F444" t="s">
        <v>555</v>
      </c>
      <c r="G444" t="s">
        <v>660</v>
      </c>
      <c r="H444" t="s">
        <v>745</v>
      </c>
      <c r="I444" t="s">
        <v>781</v>
      </c>
      <c r="J444" s="27" t="s">
        <v>525</v>
      </c>
      <c r="K444" s="5" t="s">
        <v>15</v>
      </c>
      <c r="L444" s="1" t="s">
        <v>16</v>
      </c>
      <c r="M444" s="1" t="s">
        <v>137</v>
      </c>
      <c r="N444" s="1" t="s">
        <v>52</v>
      </c>
      <c r="O444" s="1" t="s">
        <v>19</v>
      </c>
      <c r="P444" s="9">
        <v>44826</v>
      </c>
      <c r="Q444" s="1" t="s">
        <v>477</v>
      </c>
      <c r="R444" s="1" t="s">
        <v>63</v>
      </c>
      <c r="S444" s="1">
        <v>3</v>
      </c>
      <c r="T444" s="12">
        <v>0.3125</v>
      </c>
      <c r="U444" s="12">
        <v>0.375</v>
      </c>
      <c r="V444" s="1">
        <v>1.5</v>
      </c>
      <c r="W444" s="1">
        <v>1.5</v>
      </c>
      <c r="X444" s="1">
        <f t="shared" si="16"/>
        <v>4.5</v>
      </c>
      <c r="Y444" s="5" t="str">
        <f t="shared" si="17"/>
        <v>C</v>
      </c>
    </row>
    <row r="445" spans="2:25" x14ac:dyDescent="0.25">
      <c r="B445" s="11">
        <v>44826</v>
      </c>
      <c r="C445" s="7">
        <v>600004062552</v>
      </c>
      <c r="D445" s="4">
        <v>1</v>
      </c>
      <c r="E445" t="s">
        <v>491</v>
      </c>
      <c r="F445" t="s">
        <v>535</v>
      </c>
      <c r="G445" t="s">
        <v>640</v>
      </c>
      <c r="H445" t="s">
        <v>745</v>
      </c>
      <c r="I445" t="s">
        <v>761</v>
      </c>
      <c r="J445" s="28" t="s">
        <v>525</v>
      </c>
      <c r="K445" s="4" t="s">
        <v>44</v>
      </c>
      <c r="L445" s="1" t="s">
        <v>57</v>
      </c>
      <c r="M445" s="1" t="s">
        <v>71</v>
      </c>
      <c r="N445" s="1" t="s">
        <v>318</v>
      </c>
      <c r="O445" s="1" t="s">
        <v>176</v>
      </c>
      <c r="P445" s="9">
        <v>44826</v>
      </c>
      <c r="Q445" s="1" t="s">
        <v>477</v>
      </c>
      <c r="R445" s="1" t="s">
        <v>63</v>
      </c>
      <c r="S445" s="1">
        <v>2</v>
      </c>
      <c r="T445" s="12">
        <v>0.625</v>
      </c>
      <c r="U445" s="12">
        <v>0.66666666666666663</v>
      </c>
      <c r="V445" s="1">
        <v>1</v>
      </c>
      <c r="W445" s="1">
        <v>1</v>
      </c>
      <c r="X445" s="1">
        <f t="shared" si="16"/>
        <v>2</v>
      </c>
      <c r="Y445" s="5" t="str">
        <f t="shared" si="17"/>
        <v>C</v>
      </c>
    </row>
    <row r="446" spans="2:25" x14ac:dyDescent="0.25">
      <c r="B446" s="11">
        <v>44827</v>
      </c>
      <c r="C446" s="7">
        <v>600004062702</v>
      </c>
      <c r="D446" s="5">
        <v>1</v>
      </c>
      <c r="E446" t="s">
        <v>493</v>
      </c>
      <c r="F446" t="s">
        <v>537</v>
      </c>
      <c r="G446" t="s">
        <v>642</v>
      </c>
      <c r="H446" t="s">
        <v>745</v>
      </c>
      <c r="I446" t="s">
        <v>763</v>
      </c>
      <c r="J446" s="26" t="s">
        <v>525</v>
      </c>
      <c r="K446" s="5" t="s">
        <v>15</v>
      </c>
      <c r="L446" s="1" t="s">
        <v>148</v>
      </c>
      <c r="M446" s="1" t="s">
        <v>57</v>
      </c>
      <c r="N446" s="1" t="s">
        <v>114</v>
      </c>
      <c r="O446" s="1" t="s">
        <v>176</v>
      </c>
      <c r="P446" s="9">
        <v>44830</v>
      </c>
      <c r="Q446" s="1" t="s">
        <v>476</v>
      </c>
      <c r="R446" s="1" t="s">
        <v>63</v>
      </c>
      <c r="S446" s="1">
        <v>2</v>
      </c>
      <c r="T446" s="12">
        <v>0.39583333333333331</v>
      </c>
      <c r="U446" s="12">
        <v>0.45833333333333331</v>
      </c>
      <c r="V446" s="1">
        <v>1.5</v>
      </c>
      <c r="W446" s="1">
        <v>1.5</v>
      </c>
      <c r="X446" s="1">
        <f t="shared" si="16"/>
        <v>3</v>
      </c>
      <c r="Y446" s="5" t="str">
        <f t="shared" si="17"/>
        <v>C</v>
      </c>
    </row>
    <row r="447" spans="2:25" x14ac:dyDescent="0.25">
      <c r="B447" s="11">
        <v>44827</v>
      </c>
      <c r="C447" s="7">
        <v>600004062710</v>
      </c>
      <c r="D447" s="5">
        <v>1</v>
      </c>
      <c r="E447" t="s">
        <v>489</v>
      </c>
      <c r="F447" t="s">
        <v>533</v>
      </c>
      <c r="G447" t="s">
        <v>638</v>
      </c>
      <c r="H447" t="s">
        <v>745</v>
      </c>
      <c r="I447" t="s">
        <v>759</v>
      </c>
      <c r="J447" s="27" t="s">
        <v>525</v>
      </c>
      <c r="K447" s="5" t="s">
        <v>15</v>
      </c>
      <c r="L447" s="1" t="s">
        <v>16</v>
      </c>
      <c r="M447" s="1" t="s">
        <v>137</v>
      </c>
      <c r="N447" s="1" t="s">
        <v>67</v>
      </c>
      <c r="O447" s="1" t="s">
        <v>176</v>
      </c>
      <c r="P447" s="9">
        <v>44827</v>
      </c>
      <c r="Q447" s="1" t="s">
        <v>479</v>
      </c>
      <c r="R447" s="1" t="s">
        <v>63</v>
      </c>
      <c r="S447" s="1">
        <v>3</v>
      </c>
      <c r="T447" s="12">
        <v>0.375</v>
      </c>
      <c r="U447" s="12">
        <v>0.41666666666666669</v>
      </c>
      <c r="V447" s="1">
        <v>1</v>
      </c>
      <c r="W447" s="1">
        <v>1</v>
      </c>
      <c r="X447" s="1">
        <f t="shared" si="16"/>
        <v>3</v>
      </c>
      <c r="Y447" s="5" t="str">
        <f t="shared" si="17"/>
        <v>C</v>
      </c>
    </row>
    <row r="448" spans="2:25" x14ac:dyDescent="0.25">
      <c r="B448" s="11">
        <v>44827</v>
      </c>
      <c r="C448" s="7">
        <v>600004062713</v>
      </c>
      <c r="D448" s="5">
        <v>1</v>
      </c>
      <c r="E448" t="s">
        <v>875</v>
      </c>
      <c r="F448" t="s">
        <v>581</v>
      </c>
      <c r="G448" t="s">
        <v>687</v>
      </c>
      <c r="H448" t="s">
        <v>745</v>
      </c>
      <c r="I448" t="s">
        <v>808</v>
      </c>
      <c r="J448" s="27" t="s">
        <v>525</v>
      </c>
      <c r="K448" s="5" t="s">
        <v>15</v>
      </c>
      <c r="L448" s="1" t="s">
        <v>65</v>
      </c>
      <c r="M448" s="1" t="s">
        <v>222</v>
      </c>
      <c r="N448" s="1" t="s">
        <v>322</v>
      </c>
      <c r="O448" s="1" t="s">
        <v>176</v>
      </c>
      <c r="P448" s="9">
        <v>44854</v>
      </c>
      <c r="Q448" s="1" t="s">
        <v>479</v>
      </c>
      <c r="R448" s="1" t="s">
        <v>63</v>
      </c>
      <c r="S448" s="1">
        <v>2</v>
      </c>
      <c r="T448" s="12">
        <v>0.33333333333333331</v>
      </c>
      <c r="U448" s="12">
        <v>0.47916666666666669</v>
      </c>
      <c r="V448" s="1">
        <v>3.5</v>
      </c>
      <c r="W448" s="1">
        <v>3.5</v>
      </c>
      <c r="X448" s="1">
        <f t="shared" si="16"/>
        <v>7</v>
      </c>
      <c r="Y448" s="5" t="str">
        <f t="shared" si="17"/>
        <v>B</v>
      </c>
    </row>
    <row r="449" spans="2:25" x14ac:dyDescent="0.25">
      <c r="B449" s="11">
        <v>44830</v>
      </c>
      <c r="C449" s="7">
        <v>600004063120</v>
      </c>
      <c r="D449" s="5">
        <v>1</v>
      </c>
      <c r="E449" t="s">
        <v>506</v>
      </c>
      <c r="F449" t="s">
        <v>550</v>
      </c>
      <c r="G449" t="s">
        <v>655</v>
      </c>
      <c r="H449" t="s">
        <v>745</v>
      </c>
      <c r="I449" t="s">
        <v>776</v>
      </c>
      <c r="J449" s="27" t="s">
        <v>525</v>
      </c>
      <c r="K449" s="5" t="s">
        <v>15</v>
      </c>
      <c r="L449" s="1" t="s">
        <v>16</v>
      </c>
      <c r="M449" s="1" t="s">
        <v>137</v>
      </c>
      <c r="N449" s="1" t="s">
        <v>119</v>
      </c>
      <c r="O449" s="1" t="s">
        <v>19</v>
      </c>
      <c r="P449" s="9">
        <v>44830</v>
      </c>
      <c r="Q449" s="1" t="s">
        <v>479</v>
      </c>
      <c r="R449" s="1" t="s">
        <v>63</v>
      </c>
      <c r="S449" s="1">
        <v>2</v>
      </c>
      <c r="T449" s="12">
        <v>0.375</v>
      </c>
      <c r="U449" s="12">
        <v>0.41666666666666669</v>
      </c>
      <c r="V449" s="1">
        <v>1</v>
      </c>
      <c r="W449" s="1">
        <v>1</v>
      </c>
      <c r="X449" s="1">
        <f t="shared" si="16"/>
        <v>2</v>
      </c>
      <c r="Y449" s="5" t="str">
        <f t="shared" si="17"/>
        <v>C</v>
      </c>
    </row>
    <row r="450" spans="2:25" x14ac:dyDescent="0.25">
      <c r="B450" s="11">
        <v>44847</v>
      </c>
      <c r="C450" s="7">
        <v>600004067056</v>
      </c>
      <c r="D450" s="5">
        <v>1</v>
      </c>
      <c r="E450" t="s">
        <v>507</v>
      </c>
      <c r="F450" t="s">
        <v>551</v>
      </c>
      <c r="G450" t="s">
        <v>656</v>
      </c>
      <c r="H450" t="s">
        <v>745</v>
      </c>
      <c r="I450" t="s">
        <v>777</v>
      </c>
      <c r="J450" s="27" t="s">
        <v>525</v>
      </c>
      <c r="K450" s="5" t="s">
        <v>15</v>
      </c>
      <c r="L450" s="1" t="s">
        <v>71</v>
      </c>
      <c r="M450" s="1" t="s">
        <v>57</v>
      </c>
      <c r="N450" s="1" t="s">
        <v>194</v>
      </c>
      <c r="O450" s="1" t="s">
        <v>176</v>
      </c>
      <c r="P450" s="9">
        <v>44849</v>
      </c>
      <c r="Q450" s="1" t="s">
        <v>477</v>
      </c>
      <c r="R450" s="1" t="s">
        <v>63</v>
      </c>
      <c r="S450" s="1">
        <v>1</v>
      </c>
      <c r="T450" s="12">
        <v>0.5</v>
      </c>
      <c r="U450" s="12">
        <v>0.54166666666666663</v>
      </c>
      <c r="V450" s="1">
        <v>1</v>
      </c>
      <c r="W450" s="1">
        <v>1</v>
      </c>
      <c r="X450" s="1">
        <v>1</v>
      </c>
      <c r="Y450" s="5" t="str">
        <f t="shared" si="17"/>
        <v>C</v>
      </c>
    </row>
    <row r="451" spans="2:25" x14ac:dyDescent="0.25">
      <c r="B451" s="11">
        <v>44847</v>
      </c>
      <c r="C451" s="7">
        <v>600004067055</v>
      </c>
      <c r="D451" s="5">
        <v>1</v>
      </c>
      <c r="E451" t="s">
        <v>885</v>
      </c>
      <c r="F451" t="s">
        <v>591</v>
      </c>
      <c r="G451" t="s">
        <v>697</v>
      </c>
      <c r="H451" t="s">
        <v>745</v>
      </c>
      <c r="I451" t="s">
        <v>818</v>
      </c>
      <c r="J451" s="27" t="s">
        <v>525</v>
      </c>
      <c r="K451" s="5" t="s">
        <v>15</v>
      </c>
      <c r="L451" s="1" t="s">
        <v>71</v>
      </c>
      <c r="M451" s="1" t="s">
        <v>57</v>
      </c>
      <c r="N451" s="1" t="s">
        <v>84</v>
      </c>
      <c r="O451" s="1" t="s">
        <v>176</v>
      </c>
      <c r="P451" s="9">
        <v>44849</v>
      </c>
      <c r="Q451" s="1" t="s">
        <v>477</v>
      </c>
      <c r="R451" s="1" t="s">
        <v>63</v>
      </c>
      <c r="S451" s="1">
        <v>1</v>
      </c>
      <c r="T451" s="12">
        <v>0.375</v>
      </c>
      <c r="U451" s="12">
        <v>0.41666666666666669</v>
      </c>
      <c r="V451" s="1">
        <v>1</v>
      </c>
      <c r="W451" s="1">
        <v>1</v>
      </c>
      <c r="X451" s="1">
        <f t="shared" ref="X451:X482" si="18">PRODUCT(S451,V451)</f>
        <v>1</v>
      </c>
      <c r="Y451" s="5" t="str">
        <f t="shared" si="17"/>
        <v>C</v>
      </c>
    </row>
    <row r="452" spans="2:25" x14ac:dyDescent="0.25">
      <c r="B452" s="11">
        <v>44847</v>
      </c>
      <c r="C452" s="7">
        <v>600004067054</v>
      </c>
      <c r="D452" s="5">
        <v>1</v>
      </c>
      <c r="E452" t="s">
        <v>499</v>
      </c>
      <c r="F452" t="s">
        <v>543</v>
      </c>
      <c r="G452" t="s">
        <v>648</v>
      </c>
      <c r="H452" t="s">
        <v>745</v>
      </c>
      <c r="I452" t="s">
        <v>769</v>
      </c>
      <c r="J452" s="27" t="s">
        <v>525</v>
      </c>
      <c r="K452" s="5" t="s">
        <v>15</v>
      </c>
      <c r="L452" s="1" t="s">
        <v>301</v>
      </c>
      <c r="M452" s="1" t="s">
        <v>57</v>
      </c>
      <c r="N452" s="1" t="s">
        <v>194</v>
      </c>
      <c r="O452" s="1" t="s">
        <v>176</v>
      </c>
      <c r="P452" s="9">
        <v>44849</v>
      </c>
      <c r="Q452" s="1" t="s">
        <v>477</v>
      </c>
      <c r="R452" s="1" t="s">
        <v>63</v>
      </c>
      <c r="S452" s="1">
        <v>1</v>
      </c>
      <c r="T452" s="12">
        <v>0.41666666666666669</v>
      </c>
      <c r="U452" s="12">
        <v>0.45833333333333331</v>
      </c>
      <c r="V452" s="1">
        <v>1</v>
      </c>
      <c r="W452" s="1">
        <v>1</v>
      </c>
      <c r="X452" s="1">
        <f t="shared" si="18"/>
        <v>1</v>
      </c>
      <c r="Y452" s="5" t="str">
        <f t="shared" si="17"/>
        <v>C</v>
      </c>
    </row>
    <row r="453" spans="2:25" x14ac:dyDescent="0.25">
      <c r="B453" s="11">
        <v>44847</v>
      </c>
      <c r="C453" s="7">
        <v>600004067063</v>
      </c>
      <c r="D453" s="5">
        <v>1</v>
      </c>
      <c r="E453" t="s">
        <v>489</v>
      </c>
      <c r="F453" t="s">
        <v>533</v>
      </c>
      <c r="G453" t="s">
        <v>638</v>
      </c>
      <c r="H453" t="s">
        <v>745</v>
      </c>
      <c r="I453" t="s">
        <v>759</v>
      </c>
      <c r="J453" s="27" t="s">
        <v>525</v>
      </c>
      <c r="K453" s="5" t="s">
        <v>15</v>
      </c>
      <c r="L453" s="1" t="s">
        <v>16</v>
      </c>
      <c r="M453" s="1" t="s">
        <v>55</v>
      </c>
      <c r="N453" s="1" t="s">
        <v>222</v>
      </c>
      <c r="O453" s="1" t="s">
        <v>176</v>
      </c>
      <c r="P453" s="9">
        <v>44851</v>
      </c>
      <c r="Q453" s="1" t="s">
        <v>476</v>
      </c>
      <c r="R453" s="1" t="s">
        <v>63</v>
      </c>
      <c r="S453" s="1">
        <v>2</v>
      </c>
      <c r="T453" s="12">
        <v>0.52083333333333337</v>
      </c>
      <c r="U453" s="12">
        <v>0.5625</v>
      </c>
      <c r="V453" s="1">
        <v>1</v>
      </c>
      <c r="W453" s="1">
        <v>1</v>
      </c>
      <c r="X453" s="1">
        <f t="shared" si="18"/>
        <v>2</v>
      </c>
      <c r="Y453" s="5" t="str">
        <f t="shared" si="17"/>
        <v>C</v>
      </c>
    </row>
    <row r="454" spans="2:25" x14ac:dyDescent="0.25">
      <c r="B454" s="11">
        <v>44851</v>
      </c>
      <c r="C454" s="7">
        <v>600004067895</v>
      </c>
      <c r="D454" s="5">
        <v>1</v>
      </c>
      <c r="E454" t="s">
        <v>862</v>
      </c>
      <c r="F454" t="s">
        <v>569</v>
      </c>
      <c r="G454" t="s">
        <v>674</v>
      </c>
      <c r="H454" t="s">
        <v>745</v>
      </c>
      <c r="I454" t="s">
        <v>795</v>
      </c>
      <c r="J454" s="26" t="s">
        <v>525</v>
      </c>
      <c r="K454" s="5" t="s">
        <v>140</v>
      </c>
      <c r="L454" s="1" t="s">
        <v>79</v>
      </c>
      <c r="M454" s="1" t="s">
        <v>62</v>
      </c>
      <c r="N454" s="1" t="s">
        <v>110</v>
      </c>
      <c r="O454" s="1" t="s">
        <v>19</v>
      </c>
      <c r="P454" s="9">
        <v>44852</v>
      </c>
      <c r="Q454" s="1" t="s">
        <v>475</v>
      </c>
      <c r="R454" s="1" t="s">
        <v>50</v>
      </c>
      <c r="S454" s="1">
        <v>1</v>
      </c>
      <c r="T454" s="12">
        <v>0.27083333333333331</v>
      </c>
      <c r="U454" s="12">
        <v>0.39583333333333331</v>
      </c>
      <c r="V454" s="1">
        <v>3</v>
      </c>
      <c r="W454" s="1">
        <v>3</v>
      </c>
      <c r="X454" s="1">
        <f t="shared" si="18"/>
        <v>3</v>
      </c>
      <c r="Y454" s="5" t="str">
        <f t="shared" si="17"/>
        <v>B</v>
      </c>
    </row>
    <row r="455" spans="2:25" x14ac:dyDescent="0.25">
      <c r="B455" s="11">
        <v>44853</v>
      </c>
      <c r="C455" s="7">
        <v>600004068622</v>
      </c>
      <c r="D455" s="5">
        <v>1</v>
      </c>
      <c r="E455" t="s">
        <v>882</v>
      </c>
      <c r="F455" t="s">
        <v>588</v>
      </c>
      <c r="G455" t="s">
        <v>694</v>
      </c>
      <c r="H455" t="s">
        <v>745</v>
      </c>
      <c r="I455" t="s">
        <v>815</v>
      </c>
      <c r="J455" s="27" t="s">
        <v>525</v>
      </c>
      <c r="K455" s="5" t="s">
        <v>15</v>
      </c>
      <c r="L455" s="1" t="s">
        <v>16</v>
      </c>
      <c r="M455" s="1" t="s">
        <v>36</v>
      </c>
      <c r="N455" s="1" t="s">
        <v>112</v>
      </c>
      <c r="O455" s="1" t="s">
        <v>19</v>
      </c>
      <c r="P455" s="9">
        <v>44853</v>
      </c>
      <c r="Q455" s="1" t="s">
        <v>477</v>
      </c>
      <c r="R455" s="1" t="s">
        <v>63</v>
      </c>
      <c r="S455" s="1">
        <v>1</v>
      </c>
      <c r="T455" s="12">
        <v>0.3125</v>
      </c>
      <c r="U455" s="12">
        <v>0.33333333333333331</v>
      </c>
      <c r="V455" s="1">
        <v>0.5</v>
      </c>
      <c r="W455" s="1">
        <v>0.5</v>
      </c>
      <c r="X455" s="1">
        <f t="shared" si="18"/>
        <v>0.5</v>
      </c>
      <c r="Y455" s="5" t="str">
        <f t="shared" si="17"/>
        <v>C</v>
      </c>
    </row>
    <row r="456" spans="2:25" x14ac:dyDescent="0.25">
      <c r="B456" s="11">
        <v>44853</v>
      </c>
      <c r="C456" s="7">
        <v>600004068661</v>
      </c>
      <c r="D456" s="5">
        <v>1</v>
      </c>
      <c r="E456" t="s">
        <v>499</v>
      </c>
      <c r="F456" t="s">
        <v>543</v>
      </c>
      <c r="G456" t="s">
        <v>648</v>
      </c>
      <c r="H456" t="s">
        <v>745</v>
      </c>
      <c r="I456" t="s">
        <v>769</v>
      </c>
      <c r="J456" s="27" t="s">
        <v>525</v>
      </c>
      <c r="K456" s="5" t="s">
        <v>15</v>
      </c>
      <c r="L456" s="1" t="s">
        <v>71</v>
      </c>
      <c r="M456" s="1" t="s">
        <v>57</v>
      </c>
      <c r="N456" s="1" t="s">
        <v>116</v>
      </c>
      <c r="O456" s="1" t="s">
        <v>19</v>
      </c>
      <c r="P456" s="9">
        <v>44853</v>
      </c>
      <c r="Q456" s="1" t="s">
        <v>479</v>
      </c>
      <c r="R456" s="1" t="s">
        <v>63</v>
      </c>
      <c r="S456" s="1">
        <v>3</v>
      </c>
      <c r="T456" s="12">
        <v>0.625</v>
      </c>
      <c r="U456" s="12">
        <v>0.66666666666666663</v>
      </c>
      <c r="V456" s="1">
        <v>1</v>
      </c>
      <c r="W456" s="1">
        <v>1</v>
      </c>
      <c r="X456" s="1">
        <f t="shared" si="18"/>
        <v>3</v>
      </c>
      <c r="Y456" s="5" t="str">
        <f t="shared" si="17"/>
        <v>C</v>
      </c>
    </row>
    <row r="457" spans="2:25" x14ac:dyDescent="0.25">
      <c r="B457" s="11">
        <v>44854</v>
      </c>
      <c r="C457" s="7">
        <v>600004068847</v>
      </c>
      <c r="D457" s="5">
        <v>1</v>
      </c>
      <c r="E457" t="s">
        <v>517</v>
      </c>
      <c r="F457" t="s">
        <v>561</v>
      </c>
      <c r="G457" t="s">
        <v>666</v>
      </c>
      <c r="H457" t="s">
        <v>745</v>
      </c>
      <c r="I457" t="s">
        <v>787</v>
      </c>
      <c r="J457" s="27" t="s">
        <v>525</v>
      </c>
      <c r="K457" s="5" t="s">
        <v>15</v>
      </c>
      <c r="L457" s="1" t="s">
        <v>16</v>
      </c>
      <c r="M457" s="1" t="s">
        <v>320</v>
      </c>
      <c r="N457" s="1" t="s">
        <v>222</v>
      </c>
      <c r="O457" s="1" t="s">
        <v>19</v>
      </c>
      <c r="P457" s="9">
        <v>44854</v>
      </c>
      <c r="Q457" s="1" t="s">
        <v>476</v>
      </c>
      <c r="R457" s="1" t="s">
        <v>63</v>
      </c>
      <c r="S457" s="1">
        <v>2</v>
      </c>
      <c r="T457" s="12">
        <v>0.5625</v>
      </c>
      <c r="U457" s="12">
        <v>0.60416666666666663</v>
      </c>
      <c r="V457" s="1">
        <v>1</v>
      </c>
      <c r="W457" s="1">
        <v>1</v>
      </c>
      <c r="X457" s="1">
        <f t="shared" si="18"/>
        <v>2</v>
      </c>
      <c r="Y457" s="5" t="str">
        <f t="shared" si="17"/>
        <v>C</v>
      </c>
    </row>
    <row r="458" spans="2:25" x14ac:dyDescent="0.25">
      <c r="B458" s="11">
        <v>44854</v>
      </c>
      <c r="C458" s="7">
        <v>600004068815</v>
      </c>
      <c r="D458" s="5">
        <v>1</v>
      </c>
      <c r="E458" t="s">
        <v>885</v>
      </c>
      <c r="F458" t="s">
        <v>591</v>
      </c>
      <c r="G458" t="s">
        <v>697</v>
      </c>
      <c r="H458" t="s">
        <v>745</v>
      </c>
      <c r="I458" t="s">
        <v>818</v>
      </c>
      <c r="J458" s="27" t="s">
        <v>525</v>
      </c>
      <c r="K458" s="5" t="s">
        <v>15</v>
      </c>
      <c r="L458" s="1" t="s">
        <v>16</v>
      </c>
      <c r="M458" s="1" t="s">
        <v>137</v>
      </c>
      <c r="N458" s="1" t="s">
        <v>52</v>
      </c>
      <c r="O458" s="1" t="s">
        <v>19</v>
      </c>
      <c r="P458" s="9">
        <v>44854</v>
      </c>
      <c r="Q458" s="1" t="s">
        <v>476</v>
      </c>
      <c r="R458" s="1" t="s">
        <v>63</v>
      </c>
      <c r="S458" s="1">
        <v>1</v>
      </c>
      <c r="T458" s="12">
        <v>0.41666666666666669</v>
      </c>
      <c r="U458" s="12">
        <v>0.47916666666666669</v>
      </c>
      <c r="V458" s="1">
        <v>1.5</v>
      </c>
      <c r="W458" s="1">
        <v>1.5</v>
      </c>
      <c r="X458" s="1">
        <f t="shared" si="18"/>
        <v>1.5</v>
      </c>
      <c r="Y458" s="5" t="str">
        <f t="shared" si="17"/>
        <v>C</v>
      </c>
    </row>
    <row r="459" spans="2:25" x14ac:dyDescent="0.25">
      <c r="B459" s="11">
        <v>44855</v>
      </c>
      <c r="C459" s="7">
        <v>600004069115</v>
      </c>
      <c r="D459" s="5">
        <v>1</v>
      </c>
      <c r="E459" t="s">
        <v>904</v>
      </c>
      <c r="F459" t="s">
        <v>609</v>
      </c>
      <c r="G459" t="s">
        <v>716</v>
      </c>
      <c r="H459" t="s">
        <v>745</v>
      </c>
      <c r="I459" t="s">
        <v>837</v>
      </c>
      <c r="J459" s="27" t="s">
        <v>525</v>
      </c>
      <c r="K459" s="5" t="s">
        <v>321</v>
      </c>
      <c r="L459" s="1" t="s">
        <v>79</v>
      </c>
      <c r="M459" s="1" t="s">
        <v>173</v>
      </c>
      <c r="N459" s="1" t="s">
        <v>167</v>
      </c>
      <c r="O459" s="1" t="s">
        <v>19</v>
      </c>
      <c r="P459" s="9">
        <v>44855</v>
      </c>
      <c r="Q459" s="1" t="s">
        <v>475</v>
      </c>
      <c r="R459" s="1" t="s">
        <v>50</v>
      </c>
      <c r="S459" s="1">
        <v>1</v>
      </c>
      <c r="T459" s="12">
        <v>0.29166666666666669</v>
      </c>
      <c r="U459" s="12">
        <v>0.35416666666666669</v>
      </c>
      <c r="V459" s="1">
        <v>1.5</v>
      </c>
      <c r="W459" s="1">
        <v>1.5</v>
      </c>
      <c r="X459" s="1">
        <f t="shared" si="18"/>
        <v>1.5</v>
      </c>
      <c r="Y459" s="5" t="str">
        <f t="shared" si="17"/>
        <v>C</v>
      </c>
    </row>
    <row r="460" spans="2:25" x14ac:dyDescent="0.25">
      <c r="B460" s="11">
        <v>44858</v>
      </c>
      <c r="C460" s="7">
        <v>600004069470</v>
      </c>
      <c r="D460" s="5">
        <v>1</v>
      </c>
      <c r="E460" t="s">
        <v>900</v>
      </c>
      <c r="F460" t="s">
        <v>605</v>
      </c>
      <c r="G460" t="s">
        <v>712</v>
      </c>
      <c r="H460" t="s">
        <v>745</v>
      </c>
      <c r="I460" t="s">
        <v>833</v>
      </c>
      <c r="J460" s="27" t="s">
        <v>525</v>
      </c>
      <c r="K460" s="5" t="s">
        <v>88</v>
      </c>
      <c r="L460" s="1" t="s">
        <v>89</v>
      </c>
      <c r="M460" s="1" t="s">
        <v>67</v>
      </c>
      <c r="N460" s="1" t="s">
        <v>120</v>
      </c>
      <c r="O460" s="1" t="s">
        <v>19</v>
      </c>
      <c r="P460" s="9">
        <v>44855</v>
      </c>
      <c r="Q460" s="1" t="s">
        <v>479</v>
      </c>
      <c r="R460" s="1" t="s">
        <v>63</v>
      </c>
      <c r="S460" s="1">
        <v>2</v>
      </c>
      <c r="T460" s="12">
        <v>0.625</v>
      </c>
      <c r="U460" s="12">
        <v>0.66666666666666663</v>
      </c>
      <c r="V460" s="1">
        <v>1</v>
      </c>
      <c r="W460" s="1">
        <v>1</v>
      </c>
      <c r="X460" s="1">
        <f t="shared" si="18"/>
        <v>2</v>
      </c>
      <c r="Y460" s="5" t="str">
        <f t="shared" si="17"/>
        <v>C</v>
      </c>
    </row>
    <row r="461" spans="2:25" x14ac:dyDescent="0.25">
      <c r="B461" s="11">
        <v>44858</v>
      </c>
      <c r="C461" s="7">
        <v>600004069549</v>
      </c>
      <c r="D461" s="5">
        <v>1</v>
      </c>
      <c r="E461" t="s">
        <v>875</v>
      </c>
      <c r="F461" t="s">
        <v>581</v>
      </c>
      <c r="G461" t="s">
        <v>687</v>
      </c>
      <c r="H461" t="s">
        <v>745</v>
      </c>
      <c r="I461" t="s">
        <v>808</v>
      </c>
      <c r="J461" s="27" t="s">
        <v>525</v>
      </c>
      <c r="K461" s="5" t="s">
        <v>15</v>
      </c>
      <c r="L461" s="1" t="s">
        <v>16</v>
      </c>
      <c r="M461" s="1" t="s">
        <v>57</v>
      </c>
      <c r="N461" s="1" t="s">
        <v>120</v>
      </c>
      <c r="O461" s="1" t="s">
        <v>19</v>
      </c>
      <c r="P461" s="9">
        <v>44858</v>
      </c>
      <c r="Q461" s="1" t="s">
        <v>477</v>
      </c>
      <c r="R461" s="1" t="s">
        <v>63</v>
      </c>
      <c r="S461" s="1">
        <v>1</v>
      </c>
      <c r="T461" s="12">
        <v>0.54166666666666663</v>
      </c>
      <c r="U461" s="12">
        <v>0.58333333333333337</v>
      </c>
      <c r="V461" s="1">
        <v>1</v>
      </c>
      <c r="W461" s="1">
        <v>1</v>
      </c>
      <c r="X461" s="1">
        <f t="shared" si="18"/>
        <v>1</v>
      </c>
      <c r="Y461" s="5" t="str">
        <f t="shared" si="17"/>
        <v>C</v>
      </c>
    </row>
    <row r="462" spans="2:25" x14ac:dyDescent="0.25">
      <c r="B462" s="11">
        <v>44860</v>
      </c>
      <c r="C462" s="7">
        <v>600004069889</v>
      </c>
      <c r="D462" s="5">
        <v>1</v>
      </c>
      <c r="E462" t="s">
        <v>882</v>
      </c>
      <c r="F462" t="s">
        <v>588</v>
      </c>
      <c r="G462" t="s">
        <v>694</v>
      </c>
      <c r="H462" t="s">
        <v>745</v>
      </c>
      <c r="I462" t="s">
        <v>815</v>
      </c>
      <c r="J462" s="27" t="s">
        <v>525</v>
      </c>
      <c r="K462" s="5" t="s">
        <v>15</v>
      </c>
      <c r="L462" s="1" t="s">
        <v>16</v>
      </c>
      <c r="M462" s="1" t="s">
        <v>67</v>
      </c>
      <c r="N462" s="1" t="s">
        <v>120</v>
      </c>
      <c r="O462" s="1" t="s">
        <v>19</v>
      </c>
      <c r="P462" s="9">
        <v>44860</v>
      </c>
      <c r="Q462" s="1" t="s">
        <v>477</v>
      </c>
      <c r="R462" s="1" t="s">
        <v>63</v>
      </c>
      <c r="S462" s="1">
        <v>2</v>
      </c>
      <c r="T462" s="12">
        <v>0.39583333333333331</v>
      </c>
      <c r="U462" s="12">
        <v>0.45833333333333331</v>
      </c>
      <c r="V462" s="1">
        <v>1.5</v>
      </c>
      <c r="W462" s="1">
        <v>1.5</v>
      </c>
      <c r="X462" s="1">
        <f t="shared" si="18"/>
        <v>3</v>
      </c>
      <c r="Y462" s="5" t="str">
        <f t="shared" si="17"/>
        <v>C</v>
      </c>
    </row>
    <row r="463" spans="2:25" x14ac:dyDescent="0.25">
      <c r="B463" s="11">
        <v>44862</v>
      </c>
      <c r="C463" s="7">
        <v>600004070354</v>
      </c>
      <c r="D463" s="5">
        <v>1</v>
      </c>
      <c r="E463" t="s">
        <v>864</v>
      </c>
      <c r="F463" t="s">
        <v>571</v>
      </c>
      <c r="G463" t="s">
        <v>676</v>
      </c>
      <c r="H463" t="s">
        <v>745</v>
      </c>
      <c r="I463" t="s">
        <v>797</v>
      </c>
      <c r="J463" s="26" t="s">
        <v>525</v>
      </c>
      <c r="K463" s="5" t="s">
        <v>15</v>
      </c>
      <c r="L463" s="1" t="s">
        <v>79</v>
      </c>
      <c r="M463" s="1" t="s">
        <v>62</v>
      </c>
      <c r="N463" s="1" t="s">
        <v>110</v>
      </c>
      <c r="O463" s="1" t="s">
        <v>19</v>
      </c>
      <c r="P463" s="9">
        <v>44857</v>
      </c>
      <c r="Q463" s="1" t="s">
        <v>475</v>
      </c>
      <c r="R463" s="1" t="s">
        <v>50</v>
      </c>
      <c r="S463" s="1">
        <v>1</v>
      </c>
      <c r="T463" s="12">
        <v>0.3125</v>
      </c>
      <c r="U463" s="12">
        <v>0.39583333333333331</v>
      </c>
      <c r="V463" s="1">
        <v>2</v>
      </c>
      <c r="W463" s="1">
        <v>2</v>
      </c>
      <c r="X463" s="1">
        <f t="shared" si="18"/>
        <v>2</v>
      </c>
      <c r="Y463" s="5" t="str">
        <f t="shared" si="17"/>
        <v>C</v>
      </c>
    </row>
    <row r="464" spans="2:25" x14ac:dyDescent="0.25">
      <c r="B464" s="11">
        <v>44862</v>
      </c>
      <c r="C464" s="7">
        <v>600004070355</v>
      </c>
      <c r="D464" s="5">
        <v>1</v>
      </c>
      <c r="E464" t="s">
        <v>900</v>
      </c>
      <c r="F464" t="s">
        <v>605</v>
      </c>
      <c r="G464" t="s">
        <v>712</v>
      </c>
      <c r="H464" t="s">
        <v>745</v>
      </c>
      <c r="I464" t="s">
        <v>833</v>
      </c>
      <c r="J464" s="27" t="s">
        <v>525</v>
      </c>
      <c r="K464" s="5" t="s">
        <v>88</v>
      </c>
      <c r="L464" s="1" t="s">
        <v>324</v>
      </c>
      <c r="M464" s="1" t="s">
        <v>65</v>
      </c>
      <c r="N464" s="1" t="s">
        <v>305</v>
      </c>
      <c r="O464" s="1" t="s">
        <v>19</v>
      </c>
      <c r="P464" s="9">
        <v>44862</v>
      </c>
      <c r="Q464" s="1" t="s">
        <v>479</v>
      </c>
      <c r="R464" s="1" t="s">
        <v>63</v>
      </c>
      <c r="S464" s="1">
        <v>2</v>
      </c>
      <c r="T464" s="12">
        <v>0.29166666666666669</v>
      </c>
      <c r="U464" s="12">
        <v>0.33333333333333331</v>
      </c>
      <c r="V464" s="1">
        <v>1</v>
      </c>
      <c r="W464" s="1">
        <v>1</v>
      </c>
      <c r="X464" s="1">
        <f t="shared" si="18"/>
        <v>2</v>
      </c>
      <c r="Y464" s="5" t="str">
        <f t="shared" si="17"/>
        <v>C</v>
      </c>
    </row>
    <row r="465" spans="2:25" x14ac:dyDescent="0.25">
      <c r="B465" s="11">
        <v>44865</v>
      </c>
      <c r="C465" s="7">
        <v>600004070791</v>
      </c>
      <c r="D465" s="5">
        <v>1</v>
      </c>
      <c r="E465" t="s">
        <v>482</v>
      </c>
      <c r="F465" t="s">
        <v>526</v>
      </c>
      <c r="G465" t="s">
        <v>631</v>
      </c>
      <c r="H465" t="s">
        <v>740</v>
      </c>
      <c r="I465" t="s">
        <v>752</v>
      </c>
      <c r="J465" s="27" t="s">
        <v>524</v>
      </c>
      <c r="K465" s="5" t="s">
        <v>70</v>
      </c>
      <c r="L465" s="1" t="s">
        <v>57</v>
      </c>
      <c r="M465" s="1" t="s">
        <v>163</v>
      </c>
      <c r="N465" s="1" t="s">
        <v>323</v>
      </c>
      <c r="O465" s="1" t="s">
        <v>19</v>
      </c>
      <c r="P465" s="9">
        <v>44865</v>
      </c>
      <c r="Q465" s="1" t="s">
        <v>480</v>
      </c>
      <c r="R465" s="1" t="s">
        <v>63</v>
      </c>
      <c r="S465" s="1">
        <v>2</v>
      </c>
      <c r="T465" s="12">
        <v>0.41666666666666669</v>
      </c>
      <c r="U465" s="12">
        <v>0.45833333333333331</v>
      </c>
      <c r="V465" s="1">
        <v>1</v>
      </c>
      <c r="W465" s="1">
        <v>1</v>
      </c>
      <c r="X465" s="1">
        <f t="shared" si="18"/>
        <v>2</v>
      </c>
      <c r="Y465" s="5" t="str">
        <f t="shared" si="17"/>
        <v>C</v>
      </c>
    </row>
    <row r="466" spans="2:25" x14ac:dyDescent="0.25">
      <c r="B466" s="11">
        <v>44865</v>
      </c>
      <c r="C466" s="7">
        <v>600004070835</v>
      </c>
      <c r="D466" s="5">
        <v>1</v>
      </c>
      <c r="E466" t="s">
        <v>517</v>
      </c>
      <c r="F466" t="s">
        <v>561</v>
      </c>
      <c r="G466" t="s">
        <v>666</v>
      </c>
      <c r="H466" t="s">
        <v>745</v>
      </c>
      <c r="I466" t="s">
        <v>787</v>
      </c>
      <c r="J466" s="27" t="s">
        <v>525</v>
      </c>
      <c r="K466" s="5" t="s">
        <v>15</v>
      </c>
      <c r="L466" s="1" t="s">
        <v>71</v>
      </c>
      <c r="M466" s="1" t="s">
        <v>126</v>
      </c>
      <c r="N466" s="1" t="s">
        <v>120</v>
      </c>
      <c r="O466" s="1" t="s">
        <v>19</v>
      </c>
      <c r="P466" s="9">
        <v>44866</v>
      </c>
      <c r="Q466" s="1" t="s">
        <v>479</v>
      </c>
      <c r="R466" s="1" t="s">
        <v>63</v>
      </c>
      <c r="S466" s="1">
        <v>3</v>
      </c>
      <c r="T466" s="12">
        <v>0.29166666666666669</v>
      </c>
      <c r="U466" s="12">
        <v>0.33333333333333331</v>
      </c>
      <c r="V466" s="1">
        <v>1</v>
      </c>
      <c r="W466" s="1">
        <v>1</v>
      </c>
      <c r="X466" s="1">
        <f t="shared" si="18"/>
        <v>3</v>
      </c>
      <c r="Y466" s="5" t="str">
        <f t="shared" si="17"/>
        <v>C</v>
      </c>
    </row>
    <row r="467" spans="2:25" x14ac:dyDescent="0.25">
      <c r="B467" s="11">
        <v>44865</v>
      </c>
      <c r="C467" s="7">
        <v>600004070833</v>
      </c>
      <c r="D467" s="5">
        <v>1</v>
      </c>
      <c r="E467" t="s">
        <v>493</v>
      </c>
      <c r="F467" t="s">
        <v>537</v>
      </c>
      <c r="G467" t="s">
        <v>642</v>
      </c>
      <c r="H467" t="s">
        <v>745</v>
      </c>
      <c r="I467" t="s">
        <v>763</v>
      </c>
      <c r="J467" s="27" t="s">
        <v>525</v>
      </c>
      <c r="K467" s="5" t="s">
        <v>15</v>
      </c>
      <c r="L467" s="1" t="s">
        <v>71</v>
      </c>
      <c r="M467" s="1" t="s">
        <v>126</v>
      </c>
      <c r="N467" s="1" t="s">
        <v>235</v>
      </c>
      <c r="O467" s="1" t="s">
        <v>19</v>
      </c>
      <c r="P467" s="9">
        <v>44866</v>
      </c>
      <c r="Q467" s="1" t="s">
        <v>479</v>
      </c>
      <c r="R467" s="1" t="s">
        <v>63</v>
      </c>
      <c r="S467" s="1">
        <v>3</v>
      </c>
      <c r="T467" s="12">
        <v>0.33333333333333331</v>
      </c>
      <c r="U467" s="12">
        <v>0.375</v>
      </c>
      <c r="V467" s="1">
        <v>1</v>
      </c>
      <c r="W467" s="1">
        <v>1</v>
      </c>
      <c r="X467" s="1">
        <f t="shared" si="18"/>
        <v>3</v>
      </c>
      <c r="Y467" s="5" t="str">
        <f t="shared" si="17"/>
        <v>C</v>
      </c>
    </row>
    <row r="468" spans="2:25" x14ac:dyDescent="0.25">
      <c r="B468" s="11">
        <v>44865</v>
      </c>
      <c r="C468" s="7">
        <v>600004070834</v>
      </c>
      <c r="D468" s="5">
        <v>1</v>
      </c>
      <c r="E468" t="s">
        <v>511</v>
      </c>
      <c r="F468" t="s">
        <v>555</v>
      </c>
      <c r="G468" t="s">
        <v>660</v>
      </c>
      <c r="H468" t="s">
        <v>745</v>
      </c>
      <c r="I468" t="s">
        <v>781</v>
      </c>
      <c r="J468" s="27" t="s">
        <v>525</v>
      </c>
      <c r="K468" s="5" t="s">
        <v>15</v>
      </c>
      <c r="L468" s="1" t="s">
        <v>71</v>
      </c>
      <c r="M468" s="1" t="s">
        <v>60</v>
      </c>
      <c r="N468" s="1" t="s">
        <v>73</v>
      </c>
      <c r="O468" s="1" t="s">
        <v>19</v>
      </c>
      <c r="P468" s="9">
        <v>44866</v>
      </c>
      <c r="Q468" s="1" t="s">
        <v>476</v>
      </c>
      <c r="R468" s="1" t="s">
        <v>63</v>
      </c>
      <c r="S468" s="1">
        <v>2</v>
      </c>
      <c r="T468" s="12">
        <v>0.4375</v>
      </c>
      <c r="U468" s="12">
        <v>0.47916666666666669</v>
      </c>
      <c r="V468" s="1">
        <v>1</v>
      </c>
      <c r="W468" s="1">
        <v>1</v>
      </c>
      <c r="X468" s="1">
        <f t="shared" si="18"/>
        <v>2</v>
      </c>
      <c r="Y468" s="5" t="str">
        <f t="shared" ref="Y468:Y533" si="19">IF(W468=0,"D",IF(W468&lt;=2,"C",IF(W468&lt;=8,"B",IF(W468&gt;8,"A"))))</f>
        <v>C</v>
      </c>
    </row>
    <row r="469" spans="2:25" x14ac:dyDescent="0.25">
      <c r="B469" s="11">
        <v>44865</v>
      </c>
      <c r="C469" s="7">
        <v>600004070830</v>
      </c>
      <c r="D469" s="4">
        <v>1</v>
      </c>
      <c r="E469" t="s">
        <v>491</v>
      </c>
      <c r="F469" t="s">
        <v>535</v>
      </c>
      <c r="G469" t="s">
        <v>640</v>
      </c>
      <c r="H469" t="s">
        <v>745</v>
      </c>
      <c r="I469" t="s">
        <v>761</v>
      </c>
      <c r="J469" s="28" t="s">
        <v>525</v>
      </c>
      <c r="K469" s="4" t="s">
        <v>44</v>
      </c>
      <c r="L469" s="1" t="s">
        <v>71</v>
      </c>
      <c r="M469" s="1" t="s">
        <v>80</v>
      </c>
      <c r="N469" s="1" t="s">
        <v>116</v>
      </c>
      <c r="O469" s="1" t="s">
        <v>19</v>
      </c>
      <c r="P469" s="9">
        <v>44865</v>
      </c>
      <c r="Q469" s="1" t="s">
        <v>479</v>
      </c>
      <c r="R469" s="1" t="s">
        <v>63</v>
      </c>
      <c r="S469" s="1">
        <v>3</v>
      </c>
      <c r="T469" s="12">
        <v>0.625</v>
      </c>
      <c r="U469" s="12">
        <v>0.66666666666666663</v>
      </c>
      <c r="V469" s="1">
        <v>1</v>
      </c>
      <c r="W469" s="1">
        <v>1</v>
      </c>
      <c r="X469" s="1">
        <f t="shared" si="18"/>
        <v>3</v>
      </c>
      <c r="Y469" s="5" t="str">
        <f t="shared" si="19"/>
        <v>C</v>
      </c>
    </row>
    <row r="470" spans="2:25" x14ac:dyDescent="0.25">
      <c r="B470" s="11">
        <v>44865</v>
      </c>
      <c r="C470" s="7">
        <v>600004070836</v>
      </c>
      <c r="D470" s="5">
        <v>1</v>
      </c>
      <c r="E470" t="s">
        <v>507</v>
      </c>
      <c r="F470" t="s">
        <v>551</v>
      </c>
      <c r="G470" t="s">
        <v>656</v>
      </c>
      <c r="H470" t="s">
        <v>745</v>
      </c>
      <c r="I470" t="s">
        <v>777</v>
      </c>
      <c r="J470" s="27" t="s">
        <v>525</v>
      </c>
      <c r="K470" s="5" t="s">
        <v>15</v>
      </c>
      <c r="L470" s="1" t="s">
        <v>71</v>
      </c>
      <c r="M470" s="1" t="s">
        <v>213</v>
      </c>
      <c r="N470" s="1" t="s">
        <v>326</v>
      </c>
      <c r="O470" s="1" t="s">
        <v>19</v>
      </c>
      <c r="P470" s="9">
        <v>44865</v>
      </c>
      <c r="Q470" s="1" t="s">
        <v>477</v>
      </c>
      <c r="R470" s="1" t="s">
        <v>63</v>
      </c>
      <c r="S470" s="1">
        <v>3</v>
      </c>
      <c r="T470" s="12">
        <v>0.52083333333333337</v>
      </c>
      <c r="U470" s="12">
        <v>0.5625</v>
      </c>
      <c r="V470" s="1">
        <v>1</v>
      </c>
      <c r="W470" s="1">
        <v>1</v>
      </c>
      <c r="X470" s="1">
        <f t="shared" si="18"/>
        <v>3</v>
      </c>
      <c r="Y470" s="5" t="str">
        <f t="shared" si="19"/>
        <v>C</v>
      </c>
    </row>
    <row r="471" spans="2:25" x14ac:dyDescent="0.25">
      <c r="B471" s="11">
        <v>44867</v>
      </c>
      <c r="C471" s="7">
        <v>600004071312</v>
      </c>
      <c r="D471" s="5">
        <v>1</v>
      </c>
      <c r="E471" t="s">
        <v>505</v>
      </c>
      <c r="F471" t="s">
        <v>549</v>
      </c>
      <c r="G471" t="s">
        <v>654</v>
      </c>
      <c r="H471" t="s">
        <v>745</v>
      </c>
      <c r="I471" t="s">
        <v>775</v>
      </c>
      <c r="J471" s="27" t="s">
        <v>525</v>
      </c>
      <c r="K471" s="5" t="s">
        <v>15</v>
      </c>
      <c r="L471" s="1" t="s">
        <v>71</v>
      </c>
      <c r="M471" s="1" t="s">
        <v>325</v>
      </c>
      <c r="N471" s="1" t="s">
        <v>120</v>
      </c>
      <c r="O471" s="1" t="s">
        <v>19</v>
      </c>
      <c r="P471" s="9">
        <v>44867</v>
      </c>
      <c r="Q471" s="1" t="s">
        <v>479</v>
      </c>
      <c r="R471" s="1" t="s">
        <v>63</v>
      </c>
      <c r="S471" s="1">
        <v>2</v>
      </c>
      <c r="T471" s="12">
        <v>0.29166666666666669</v>
      </c>
      <c r="U471" s="12">
        <v>0.33333333333333331</v>
      </c>
      <c r="V471" s="1">
        <v>1</v>
      </c>
      <c r="W471" s="1">
        <v>1</v>
      </c>
      <c r="X471" s="1">
        <f t="shared" si="18"/>
        <v>2</v>
      </c>
      <c r="Y471" s="5" t="str">
        <f t="shared" si="19"/>
        <v>C</v>
      </c>
    </row>
    <row r="472" spans="2:25" x14ac:dyDescent="0.25">
      <c r="B472" s="11">
        <v>44869</v>
      </c>
      <c r="C472" s="7">
        <v>600004071808</v>
      </c>
      <c r="D472" s="4">
        <v>1</v>
      </c>
      <c r="E472" t="s">
        <v>496</v>
      </c>
      <c r="F472" t="s">
        <v>540</v>
      </c>
      <c r="G472" t="s">
        <v>645</v>
      </c>
      <c r="H472" t="s">
        <v>745</v>
      </c>
      <c r="I472" t="s">
        <v>766</v>
      </c>
      <c r="J472" s="29" t="s">
        <v>525</v>
      </c>
      <c r="K472" s="4" t="s">
        <v>15</v>
      </c>
      <c r="L472" s="1" t="s">
        <v>57</v>
      </c>
      <c r="M472" s="1" t="s">
        <v>126</v>
      </c>
      <c r="N472" s="1" t="s">
        <v>84</v>
      </c>
      <c r="O472" s="1" t="s">
        <v>176</v>
      </c>
      <c r="P472" s="9">
        <v>44869</v>
      </c>
      <c r="Q472" s="1" t="s">
        <v>479</v>
      </c>
      <c r="R472" s="1" t="s">
        <v>63</v>
      </c>
      <c r="S472" s="1">
        <v>2</v>
      </c>
      <c r="T472" s="12">
        <v>0.52083333333333337</v>
      </c>
      <c r="U472" s="12">
        <v>0.58333333333333337</v>
      </c>
      <c r="V472" s="1">
        <v>1.5</v>
      </c>
      <c r="W472" s="1">
        <v>1.5</v>
      </c>
      <c r="X472" s="1">
        <f t="shared" si="18"/>
        <v>3</v>
      </c>
      <c r="Y472" s="5" t="str">
        <f t="shared" si="19"/>
        <v>C</v>
      </c>
    </row>
    <row r="473" spans="2:25" x14ac:dyDescent="0.25">
      <c r="B473" s="11">
        <v>44869</v>
      </c>
      <c r="C473" s="7">
        <v>600004071809</v>
      </c>
      <c r="D473" s="5">
        <v>1</v>
      </c>
      <c r="E473" t="s">
        <v>875</v>
      </c>
      <c r="F473" t="s">
        <v>581</v>
      </c>
      <c r="G473" t="s">
        <v>687</v>
      </c>
      <c r="H473" t="s">
        <v>745</v>
      </c>
      <c r="I473" t="s">
        <v>808</v>
      </c>
      <c r="J473" s="27" t="s">
        <v>525</v>
      </c>
      <c r="K473" s="5" t="s">
        <v>15</v>
      </c>
      <c r="L473" s="1" t="s">
        <v>57</v>
      </c>
      <c r="M473" s="1" t="s">
        <v>60</v>
      </c>
      <c r="N473" s="1" t="s">
        <v>84</v>
      </c>
      <c r="O473" s="1" t="s">
        <v>176</v>
      </c>
      <c r="P473" s="9">
        <v>44869</v>
      </c>
      <c r="Q473" s="1" t="s">
        <v>479</v>
      </c>
      <c r="R473" s="1" t="s">
        <v>63</v>
      </c>
      <c r="S473" s="1">
        <v>2</v>
      </c>
      <c r="T473" s="12">
        <v>0.58333333333333337</v>
      </c>
      <c r="U473" s="12">
        <v>0.625</v>
      </c>
      <c r="V473" s="1">
        <v>1</v>
      </c>
      <c r="W473" s="1">
        <v>1</v>
      </c>
      <c r="X473" s="1">
        <f t="shared" si="18"/>
        <v>2</v>
      </c>
      <c r="Y473" s="5" t="str">
        <f t="shared" si="19"/>
        <v>C</v>
      </c>
    </row>
    <row r="474" spans="2:25" x14ac:dyDescent="0.25">
      <c r="B474" s="11">
        <v>44869</v>
      </c>
      <c r="C474" s="7">
        <v>600004071783</v>
      </c>
      <c r="D474" s="5">
        <v>1</v>
      </c>
      <c r="E474" t="s">
        <v>864</v>
      </c>
      <c r="F474" t="s">
        <v>571</v>
      </c>
      <c r="G474" t="s">
        <v>676</v>
      </c>
      <c r="H474" t="s">
        <v>745</v>
      </c>
      <c r="I474" t="s">
        <v>797</v>
      </c>
      <c r="J474" s="27" t="s">
        <v>525</v>
      </c>
      <c r="K474" s="5" t="s">
        <v>15</v>
      </c>
      <c r="L474" s="1" t="s">
        <v>71</v>
      </c>
      <c r="M474" s="1" t="s">
        <v>126</v>
      </c>
      <c r="N474" s="1" t="s">
        <v>194</v>
      </c>
      <c r="O474" s="1" t="s">
        <v>19</v>
      </c>
      <c r="P474" s="9">
        <v>44869</v>
      </c>
      <c r="Q474" s="1" t="s">
        <v>479</v>
      </c>
      <c r="R474" s="1" t="s">
        <v>63</v>
      </c>
      <c r="S474" s="1">
        <v>2</v>
      </c>
      <c r="T474" s="12">
        <v>0.4375</v>
      </c>
      <c r="U474" s="12">
        <v>0.47916666666666669</v>
      </c>
      <c r="V474" s="1">
        <v>1</v>
      </c>
      <c r="W474" s="1">
        <v>1</v>
      </c>
      <c r="X474" s="1">
        <f t="shared" si="18"/>
        <v>2</v>
      </c>
      <c r="Y474" s="5" t="str">
        <f t="shared" si="19"/>
        <v>C</v>
      </c>
    </row>
    <row r="475" spans="2:25" x14ac:dyDescent="0.25">
      <c r="B475" s="11">
        <v>44874</v>
      </c>
      <c r="C475" s="7">
        <v>600004072711</v>
      </c>
      <c r="D475" s="5">
        <v>1</v>
      </c>
      <c r="E475" t="s">
        <v>505</v>
      </c>
      <c r="F475" t="s">
        <v>549</v>
      </c>
      <c r="G475" t="s">
        <v>654</v>
      </c>
      <c r="H475" t="s">
        <v>745</v>
      </c>
      <c r="I475" t="s">
        <v>775</v>
      </c>
      <c r="J475" s="27" t="s">
        <v>525</v>
      </c>
      <c r="K475" s="5" t="s">
        <v>15</v>
      </c>
      <c r="L475" s="1" t="s">
        <v>62</v>
      </c>
      <c r="M475" s="1" t="s">
        <v>280</v>
      </c>
      <c r="N475" s="1" t="s">
        <v>53</v>
      </c>
      <c r="O475" s="1" t="s">
        <v>176</v>
      </c>
      <c r="P475" s="9">
        <v>44879</v>
      </c>
      <c r="Q475" s="1" t="s">
        <v>476</v>
      </c>
      <c r="R475" s="1" t="s">
        <v>63</v>
      </c>
      <c r="S475" s="1">
        <v>1</v>
      </c>
      <c r="T475" s="12">
        <v>0.58333333333333337</v>
      </c>
      <c r="U475" s="12">
        <v>0.64583333333333337</v>
      </c>
      <c r="V475" s="1">
        <v>1.5</v>
      </c>
      <c r="W475" s="1">
        <v>1.5</v>
      </c>
      <c r="X475" s="1">
        <f t="shared" si="18"/>
        <v>1.5</v>
      </c>
      <c r="Y475" s="5" t="str">
        <f t="shared" si="19"/>
        <v>C</v>
      </c>
    </row>
    <row r="476" spans="2:25" x14ac:dyDescent="0.25">
      <c r="B476" s="11">
        <v>44876</v>
      </c>
      <c r="C476" s="7">
        <v>600004072992</v>
      </c>
      <c r="D476" s="5">
        <v>1</v>
      </c>
      <c r="E476" t="s">
        <v>866</v>
      </c>
      <c r="F476" t="s">
        <v>573</v>
      </c>
      <c r="G476" t="s">
        <v>678</v>
      </c>
      <c r="H476" t="s">
        <v>745</v>
      </c>
      <c r="I476" t="s">
        <v>799</v>
      </c>
      <c r="J476" s="27" t="s">
        <v>524</v>
      </c>
      <c r="K476" s="5" t="s">
        <v>15</v>
      </c>
      <c r="L476" s="1" t="s">
        <v>71</v>
      </c>
      <c r="M476" s="1" t="s">
        <v>325</v>
      </c>
      <c r="N476" s="1" t="s">
        <v>194</v>
      </c>
      <c r="O476" s="1" t="s">
        <v>176</v>
      </c>
      <c r="P476" s="9">
        <v>44876</v>
      </c>
      <c r="Q476" s="1" t="s">
        <v>477</v>
      </c>
      <c r="R476" s="1" t="s">
        <v>63</v>
      </c>
      <c r="S476" s="1">
        <v>1</v>
      </c>
      <c r="T476" s="12">
        <v>0.39583333333333331</v>
      </c>
      <c r="U476" s="12">
        <v>0.4375</v>
      </c>
      <c r="V476" s="1">
        <v>1</v>
      </c>
      <c r="W476" s="1">
        <v>1</v>
      </c>
      <c r="X476" s="1">
        <f t="shared" si="18"/>
        <v>1</v>
      </c>
      <c r="Y476" s="5" t="str">
        <f t="shared" si="19"/>
        <v>C</v>
      </c>
    </row>
    <row r="477" spans="2:25" x14ac:dyDescent="0.25">
      <c r="B477" s="11">
        <v>44876</v>
      </c>
      <c r="C477" s="7">
        <v>600004072991</v>
      </c>
      <c r="D477" s="5">
        <v>1</v>
      </c>
      <c r="E477" t="s">
        <v>517</v>
      </c>
      <c r="F477" t="s">
        <v>561</v>
      </c>
      <c r="G477" t="s">
        <v>666</v>
      </c>
      <c r="H477" t="s">
        <v>745</v>
      </c>
      <c r="I477" t="s">
        <v>787</v>
      </c>
      <c r="J477" s="27" t="s">
        <v>525</v>
      </c>
      <c r="K477" s="5" t="s">
        <v>15</v>
      </c>
      <c r="L477" s="1" t="s">
        <v>71</v>
      </c>
      <c r="M477" s="1" t="s">
        <v>126</v>
      </c>
      <c r="N477" s="1" t="s">
        <v>84</v>
      </c>
      <c r="O477" s="1" t="s">
        <v>176</v>
      </c>
      <c r="P477" s="9">
        <v>44876</v>
      </c>
      <c r="Q477" s="1" t="s">
        <v>477</v>
      </c>
      <c r="R477" s="1" t="s">
        <v>63</v>
      </c>
      <c r="S477" s="1">
        <v>1</v>
      </c>
      <c r="T477" s="12">
        <v>0.4375</v>
      </c>
      <c r="U477" s="12">
        <v>0.47916666666666669</v>
      </c>
      <c r="V477" s="1">
        <v>1</v>
      </c>
      <c r="W477" s="1">
        <v>1</v>
      </c>
      <c r="X477" s="1">
        <f t="shared" si="18"/>
        <v>1</v>
      </c>
      <c r="Y477" s="5" t="str">
        <f t="shared" si="19"/>
        <v>C</v>
      </c>
    </row>
    <row r="478" spans="2:25" x14ac:dyDescent="0.25">
      <c r="B478" s="11">
        <v>44876</v>
      </c>
      <c r="C478" s="7">
        <v>600004072990</v>
      </c>
      <c r="D478" s="5">
        <v>1</v>
      </c>
      <c r="E478" t="s">
        <v>882</v>
      </c>
      <c r="F478" t="s">
        <v>588</v>
      </c>
      <c r="G478" t="s">
        <v>694</v>
      </c>
      <c r="H478" t="s">
        <v>745</v>
      </c>
      <c r="I478" t="s">
        <v>815</v>
      </c>
      <c r="J478" s="27" t="s">
        <v>525</v>
      </c>
      <c r="K478" s="5" t="s">
        <v>15</v>
      </c>
      <c r="L478" s="1" t="s">
        <v>301</v>
      </c>
      <c r="M478" s="1" t="s">
        <v>126</v>
      </c>
      <c r="N478" s="1" t="s">
        <v>84</v>
      </c>
      <c r="O478" s="1" t="s">
        <v>176</v>
      </c>
      <c r="P478" s="9">
        <v>44876</v>
      </c>
      <c r="Q478" s="1" t="s">
        <v>477</v>
      </c>
      <c r="R478" s="1" t="s">
        <v>63</v>
      </c>
      <c r="S478" s="1">
        <v>1</v>
      </c>
      <c r="T478" s="12">
        <v>0.5</v>
      </c>
      <c r="U478" s="12">
        <v>0.52083333333333337</v>
      </c>
      <c r="V478" s="1" t="s">
        <v>327</v>
      </c>
      <c r="W478" s="1">
        <v>0.5</v>
      </c>
      <c r="X478" s="1">
        <f t="shared" si="18"/>
        <v>1</v>
      </c>
      <c r="Y478" s="5" t="str">
        <f t="shared" si="19"/>
        <v>C</v>
      </c>
    </row>
    <row r="479" spans="2:25" x14ac:dyDescent="0.25">
      <c r="B479" s="11">
        <v>44876</v>
      </c>
      <c r="C479" s="7">
        <v>600004072988</v>
      </c>
      <c r="D479" s="5">
        <v>1</v>
      </c>
      <c r="E479" t="s">
        <v>505</v>
      </c>
      <c r="F479" t="s">
        <v>549</v>
      </c>
      <c r="G479" t="s">
        <v>654</v>
      </c>
      <c r="H479" t="s">
        <v>745</v>
      </c>
      <c r="I479" t="s">
        <v>775</v>
      </c>
      <c r="J479" s="27" t="s">
        <v>525</v>
      </c>
      <c r="K479" s="5" t="s">
        <v>15</v>
      </c>
      <c r="L479" s="1" t="s">
        <v>71</v>
      </c>
      <c r="M479" s="1" t="s">
        <v>126</v>
      </c>
      <c r="N479" s="1" t="s">
        <v>328</v>
      </c>
      <c r="O479" s="1" t="s">
        <v>176</v>
      </c>
      <c r="P479" s="9">
        <v>44876</v>
      </c>
      <c r="Q479" s="1" t="s">
        <v>477</v>
      </c>
      <c r="R479" s="1" t="s">
        <v>63</v>
      </c>
      <c r="S479" s="1">
        <v>1</v>
      </c>
      <c r="T479" s="12">
        <v>0.54166666666666663</v>
      </c>
      <c r="U479" s="12">
        <v>0.58333333333333337</v>
      </c>
      <c r="V479" s="1">
        <v>1</v>
      </c>
      <c r="W479" s="1">
        <v>1</v>
      </c>
      <c r="X479" s="1">
        <f t="shared" si="18"/>
        <v>1</v>
      </c>
      <c r="Y479" s="5" t="str">
        <f t="shared" si="19"/>
        <v>C</v>
      </c>
    </row>
    <row r="480" spans="2:25" x14ac:dyDescent="0.25">
      <c r="B480" s="11">
        <v>44879</v>
      </c>
      <c r="C480" s="7">
        <v>600004073607</v>
      </c>
      <c r="D480" s="5">
        <v>1</v>
      </c>
      <c r="E480" t="s">
        <v>900</v>
      </c>
      <c r="F480" t="s">
        <v>605</v>
      </c>
      <c r="G480" t="s">
        <v>712</v>
      </c>
      <c r="H480" t="s">
        <v>745</v>
      </c>
      <c r="I480" t="s">
        <v>833</v>
      </c>
      <c r="J480" s="27" t="s">
        <v>525</v>
      </c>
      <c r="K480" s="5" t="s">
        <v>88</v>
      </c>
      <c r="L480" s="1" t="s">
        <v>89</v>
      </c>
      <c r="M480" s="1" t="s">
        <v>80</v>
      </c>
      <c r="N480" s="1" t="s">
        <v>67</v>
      </c>
      <c r="O480" s="1" t="s">
        <v>176</v>
      </c>
      <c r="P480" s="9">
        <v>44877</v>
      </c>
      <c r="Q480" s="1" t="s">
        <v>476</v>
      </c>
      <c r="R480" s="1" t="s">
        <v>63</v>
      </c>
      <c r="S480" s="1">
        <v>2</v>
      </c>
      <c r="T480" s="12">
        <v>0.5</v>
      </c>
      <c r="U480" s="12">
        <v>0.54166666666666663</v>
      </c>
      <c r="V480" s="1">
        <v>1</v>
      </c>
      <c r="W480" s="1">
        <v>1</v>
      </c>
      <c r="X480" s="1">
        <f t="shared" si="18"/>
        <v>2</v>
      </c>
      <c r="Y480" s="5" t="str">
        <f t="shared" si="19"/>
        <v>C</v>
      </c>
    </row>
    <row r="481" spans="2:25" x14ac:dyDescent="0.25">
      <c r="B481" s="11">
        <v>44879</v>
      </c>
      <c r="C481" s="7">
        <v>600004073678</v>
      </c>
      <c r="D481" s="5">
        <v>1</v>
      </c>
      <c r="E481" t="s">
        <v>885</v>
      </c>
      <c r="F481" t="s">
        <v>591</v>
      </c>
      <c r="G481" t="s">
        <v>697</v>
      </c>
      <c r="H481" t="s">
        <v>745</v>
      </c>
      <c r="I481" t="s">
        <v>818</v>
      </c>
      <c r="J481" s="27" t="s">
        <v>525</v>
      </c>
      <c r="K481" s="5" t="s">
        <v>15</v>
      </c>
      <c r="L481" s="1" t="s">
        <v>16</v>
      </c>
      <c r="M481" s="1" t="s">
        <v>137</v>
      </c>
      <c r="N481" s="1" t="s">
        <v>67</v>
      </c>
      <c r="O481" s="1" t="s">
        <v>176</v>
      </c>
      <c r="P481" s="9">
        <v>44879</v>
      </c>
      <c r="Q481" s="1" t="s">
        <v>479</v>
      </c>
      <c r="R481" s="1" t="s">
        <v>63</v>
      </c>
      <c r="S481" s="1">
        <v>2</v>
      </c>
      <c r="T481" s="12">
        <v>0.625</v>
      </c>
      <c r="U481" s="12">
        <v>0.66666666666666663</v>
      </c>
      <c r="V481" s="1">
        <v>1</v>
      </c>
      <c r="W481" s="1">
        <v>1</v>
      </c>
      <c r="X481" s="1">
        <f t="shared" si="18"/>
        <v>2</v>
      </c>
      <c r="Y481" s="5" t="str">
        <f t="shared" si="19"/>
        <v>C</v>
      </c>
    </row>
    <row r="482" spans="2:25" x14ac:dyDescent="0.25">
      <c r="B482" s="11">
        <v>44880</v>
      </c>
      <c r="C482" s="7">
        <v>600004073827</v>
      </c>
      <c r="D482" s="5">
        <v>1</v>
      </c>
      <c r="E482" t="s">
        <v>885</v>
      </c>
      <c r="F482" t="s">
        <v>591</v>
      </c>
      <c r="G482" t="s">
        <v>697</v>
      </c>
      <c r="H482" t="s">
        <v>745</v>
      </c>
      <c r="I482" t="s">
        <v>818</v>
      </c>
      <c r="J482" s="27" t="s">
        <v>525</v>
      </c>
      <c r="K482" s="5" t="s">
        <v>15</v>
      </c>
      <c r="L482" s="1" t="s">
        <v>16</v>
      </c>
      <c r="M482" s="1" t="s">
        <v>205</v>
      </c>
      <c r="N482" s="1" t="s">
        <v>67</v>
      </c>
      <c r="O482" s="1" t="s">
        <v>19</v>
      </c>
      <c r="P482" s="9">
        <v>44882</v>
      </c>
      <c r="Q482" s="1" t="s">
        <v>479</v>
      </c>
      <c r="R482" s="1" t="s">
        <v>63</v>
      </c>
      <c r="S482" s="1">
        <v>2</v>
      </c>
      <c r="T482" s="12">
        <v>0.625</v>
      </c>
      <c r="U482" s="12">
        <v>0.66666666666666663</v>
      </c>
      <c r="V482" s="1">
        <v>1</v>
      </c>
      <c r="W482" s="1">
        <v>1</v>
      </c>
      <c r="X482" s="1">
        <f t="shared" si="18"/>
        <v>2</v>
      </c>
      <c r="Y482" s="5" t="str">
        <f t="shared" si="19"/>
        <v>C</v>
      </c>
    </row>
    <row r="483" spans="2:25" x14ac:dyDescent="0.25">
      <c r="B483" s="11">
        <v>44882</v>
      </c>
      <c r="C483" s="7">
        <v>600004074546</v>
      </c>
      <c r="D483" s="5">
        <v>1</v>
      </c>
      <c r="E483" t="s">
        <v>900</v>
      </c>
      <c r="F483" t="s">
        <v>605</v>
      </c>
      <c r="G483" t="s">
        <v>712</v>
      </c>
      <c r="H483" t="s">
        <v>745</v>
      </c>
      <c r="I483" t="s">
        <v>833</v>
      </c>
      <c r="J483" s="27" t="s">
        <v>525</v>
      </c>
      <c r="K483" s="5" t="s">
        <v>88</v>
      </c>
      <c r="L483" s="1" t="s">
        <v>36</v>
      </c>
      <c r="M483" s="1" t="s">
        <v>129</v>
      </c>
      <c r="N483" s="1" t="s">
        <v>129</v>
      </c>
      <c r="O483" s="1" t="s">
        <v>19</v>
      </c>
      <c r="P483" s="9">
        <v>44882</v>
      </c>
      <c r="Q483" s="1" t="s">
        <v>476</v>
      </c>
      <c r="R483" s="1" t="s">
        <v>63</v>
      </c>
      <c r="S483" s="1">
        <v>2</v>
      </c>
      <c r="T483" s="12">
        <v>0.3125</v>
      </c>
      <c r="U483" s="12">
        <v>0.35416666666666669</v>
      </c>
      <c r="V483" s="1">
        <v>1</v>
      </c>
      <c r="W483" s="1">
        <v>1</v>
      </c>
      <c r="X483" s="1">
        <f t="shared" ref="X483:X514" si="20">PRODUCT(S483,V483)</f>
        <v>2</v>
      </c>
      <c r="Y483" s="5" t="str">
        <f t="shared" si="19"/>
        <v>C</v>
      </c>
    </row>
    <row r="484" spans="2:25" x14ac:dyDescent="0.25">
      <c r="B484" s="11">
        <v>44896</v>
      </c>
      <c r="C484" s="7">
        <v>600004077845</v>
      </c>
      <c r="D484" s="5">
        <v>1</v>
      </c>
      <c r="E484" t="s">
        <v>862</v>
      </c>
      <c r="F484" t="s">
        <v>569</v>
      </c>
      <c r="G484" t="s">
        <v>674</v>
      </c>
      <c r="H484" t="s">
        <v>745</v>
      </c>
      <c r="I484" t="s">
        <v>795</v>
      </c>
      <c r="J484" s="27" t="s">
        <v>525</v>
      </c>
      <c r="K484" s="5" t="s">
        <v>140</v>
      </c>
      <c r="L484" s="1" t="s">
        <v>329</v>
      </c>
      <c r="M484" s="1" t="s">
        <v>173</v>
      </c>
      <c r="N484" s="1" t="s">
        <v>305</v>
      </c>
      <c r="O484" s="1" t="s">
        <v>19</v>
      </c>
      <c r="P484" s="9">
        <v>44896</v>
      </c>
      <c r="Q484" s="1" t="s">
        <v>479</v>
      </c>
      <c r="R484" s="1" t="s">
        <v>63</v>
      </c>
      <c r="S484" s="1">
        <v>3</v>
      </c>
      <c r="T484" s="12">
        <v>0.625</v>
      </c>
      <c r="U484" s="12">
        <v>0.66666666666666663</v>
      </c>
      <c r="V484" s="1">
        <v>1</v>
      </c>
      <c r="W484" s="1">
        <v>1</v>
      </c>
      <c r="X484" s="1">
        <f t="shared" si="20"/>
        <v>3</v>
      </c>
      <c r="Y484" s="5" t="str">
        <f t="shared" si="19"/>
        <v>C</v>
      </c>
    </row>
    <row r="485" spans="2:25" x14ac:dyDescent="0.25">
      <c r="B485" s="11">
        <v>44900</v>
      </c>
      <c r="C485" s="7">
        <v>600004078414</v>
      </c>
      <c r="D485" s="5">
        <v>1</v>
      </c>
      <c r="E485" t="s">
        <v>515</v>
      </c>
      <c r="F485" t="s">
        <v>559</v>
      </c>
      <c r="G485" t="s">
        <v>664</v>
      </c>
      <c r="H485" t="s">
        <v>745</v>
      </c>
      <c r="I485" t="s">
        <v>785</v>
      </c>
      <c r="J485" s="27" t="s">
        <v>525</v>
      </c>
      <c r="K485" s="5" t="s">
        <v>122</v>
      </c>
      <c r="L485" s="1" t="s">
        <v>89</v>
      </c>
      <c r="M485" s="1" t="s">
        <v>119</v>
      </c>
      <c r="N485" s="1" t="s">
        <v>120</v>
      </c>
      <c r="O485" s="1" t="s">
        <v>19</v>
      </c>
      <c r="P485" s="9">
        <v>44900</v>
      </c>
      <c r="Q485" s="1" t="s">
        <v>477</v>
      </c>
      <c r="R485" s="1" t="s">
        <v>63</v>
      </c>
      <c r="S485" s="1">
        <v>2</v>
      </c>
      <c r="T485" s="12">
        <v>0.3125</v>
      </c>
      <c r="U485" s="12">
        <v>0.33333333333333331</v>
      </c>
      <c r="V485" s="1">
        <v>0.5</v>
      </c>
      <c r="W485" s="1">
        <v>0.5</v>
      </c>
      <c r="X485" s="1">
        <f t="shared" si="20"/>
        <v>1</v>
      </c>
      <c r="Y485" s="5" t="str">
        <f t="shared" si="19"/>
        <v>C</v>
      </c>
    </row>
    <row r="486" spans="2:25" x14ac:dyDescent="0.25">
      <c r="B486" s="11">
        <v>44901</v>
      </c>
      <c r="C486" s="7">
        <v>600004078735</v>
      </c>
      <c r="D486" s="5">
        <v>1</v>
      </c>
      <c r="E486" t="s">
        <v>493</v>
      </c>
      <c r="F486" t="s">
        <v>537</v>
      </c>
      <c r="G486" t="s">
        <v>642</v>
      </c>
      <c r="H486" t="s">
        <v>745</v>
      </c>
      <c r="I486" t="s">
        <v>763</v>
      </c>
      <c r="J486" s="26" t="s">
        <v>525</v>
      </c>
      <c r="K486" s="5" t="s">
        <v>15</v>
      </c>
      <c r="L486" s="1" t="s">
        <v>137</v>
      </c>
      <c r="M486" s="1" t="s">
        <v>52</v>
      </c>
      <c r="N486" s="1" t="s">
        <v>53</v>
      </c>
      <c r="O486" s="1" t="s">
        <v>19</v>
      </c>
      <c r="P486" s="9">
        <v>44901</v>
      </c>
      <c r="Q486" s="1" t="s">
        <v>477</v>
      </c>
      <c r="R486" s="1" t="s">
        <v>63</v>
      </c>
      <c r="S486" s="1">
        <v>2</v>
      </c>
      <c r="T486" s="12">
        <v>0.3125</v>
      </c>
      <c r="U486" s="12">
        <v>0.375</v>
      </c>
      <c r="V486" s="1">
        <v>1.5</v>
      </c>
      <c r="W486" s="1">
        <v>1.5</v>
      </c>
      <c r="X486" s="1">
        <f t="shared" si="20"/>
        <v>3</v>
      </c>
      <c r="Y486" s="5" t="str">
        <f t="shared" si="19"/>
        <v>C</v>
      </c>
    </row>
    <row r="487" spans="2:25" x14ac:dyDescent="0.25">
      <c r="B487" s="11">
        <v>44901</v>
      </c>
      <c r="C487" s="7">
        <v>600004078728</v>
      </c>
      <c r="D487" s="5">
        <v>1</v>
      </c>
      <c r="E487" t="s">
        <v>482</v>
      </c>
      <c r="F487" t="s">
        <v>526</v>
      </c>
      <c r="G487" t="s">
        <v>631</v>
      </c>
      <c r="H487" t="s">
        <v>740</v>
      </c>
      <c r="I487" t="s">
        <v>752</v>
      </c>
      <c r="J487" s="26" t="s">
        <v>524</v>
      </c>
      <c r="K487" s="5" t="s">
        <v>70</v>
      </c>
      <c r="L487" s="1" t="s">
        <v>162</v>
      </c>
      <c r="M487" s="1" t="s">
        <v>330</v>
      </c>
      <c r="N487" s="1" t="s">
        <v>120</v>
      </c>
      <c r="O487" s="1" t="s">
        <v>19</v>
      </c>
      <c r="P487" s="9">
        <v>44901</v>
      </c>
      <c r="Q487" s="1" t="s">
        <v>473</v>
      </c>
      <c r="R487" s="1" t="s">
        <v>63</v>
      </c>
      <c r="S487" s="1">
        <v>1</v>
      </c>
      <c r="T487" s="12">
        <v>0.5</v>
      </c>
      <c r="U487" s="12">
        <v>0.66666666666666663</v>
      </c>
      <c r="V487" s="1">
        <v>4</v>
      </c>
      <c r="W487" s="1">
        <v>4</v>
      </c>
      <c r="X487" s="1">
        <f t="shared" si="20"/>
        <v>4</v>
      </c>
      <c r="Y487" s="5" t="str">
        <f t="shared" si="19"/>
        <v>B</v>
      </c>
    </row>
    <row r="488" spans="2:25" x14ac:dyDescent="0.25">
      <c r="B488" s="11">
        <v>44901</v>
      </c>
      <c r="C488" s="7">
        <v>600004078783</v>
      </c>
      <c r="D488" s="5">
        <v>1</v>
      </c>
      <c r="E488" t="s">
        <v>875</v>
      </c>
      <c r="F488" t="s">
        <v>581</v>
      </c>
      <c r="G488" t="s">
        <v>687</v>
      </c>
      <c r="H488" t="s">
        <v>745</v>
      </c>
      <c r="I488" t="s">
        <v>808</v>
      </c>
      <c r="J488" s="27" t="s">
        <v>525</v>
      </c>
      <c r="K488" s="5" t="s">
        <v>15</v>
      </c>
      <c r="L488" s="1" t="s">
        <v>60</v>
      </c>
      <c r="M488" s="1" t="s">
        <v>68</v>
      </c>
      <c r="N488" s="1" t="s">
        <v>306</v>
      </c>
      <c r="O488" s="1" t="s">
        <v>19</v>
      </c>
      <c r="P488" s="9">
        <v>44901</v>
      </c>
      <c r="Q488" s="1" t="s">
        <v>476</v>
      </c>
      <c r="R488" s="1" t="s">
        <v>63</v>
      </c>
      <c r="S488" s="1">
        <v>2</v>
      </c>
      <c r="T488" s="12">
        <v>0.5625</v>
      </c>
      <c r="U488" s="12">
        <v>0.60416666666666663</v>
      </c>
      <c r="V488" s="1">
        <v>1</v>
      </c>
      <c r="W488" s="1">
        <v>1</v>
      </c>
      <c r="X488" s="1">
        <f t="shared" si="20"/>
        <v>2</v>
      </c>
      <c r="Y488" s="5" t="str">
        <f t="shared" si="19"/>
        <v>C</v>
      </c>
    </row>
    <row r="489" spans="2:25" x14ac:dyDescent="0.25">
      <c r="B489" s="11">
        <v>44901</v>
      </c>
      <c r="C489" s="7">
        <v>600004078750</v>
      </c>
      <c r="D489" s="4">
        <v>1</v>
      </c>
      <c r="E489" t="s">
        <v>496</v>
      </c>
      <c r="F489" t="s">
        <v>540</v>
      </c>
      <c r="G489" t="s">
        <v>645</v>
      </c>
      <c r="H489" t="s">
        <v>745</v>
      </c>
      <c r="I489" t="s">
        <v>766</v>
      </c>
      <c r="J489" s="29" t="s">
        <v>525</v>
      </c>
      <c r="K489" s="4" t="s">
        <v>15</v>
      </c>
      <c r="L489" s="1" t="s">
        <v>331</v>
      </c>
      <c r="M489" s="1" t="s">
        <v>251</v>
      </c>
      <c r="N489" s="1" t="s">
        <v>134</v>
      </c>
      <c r="O489" s="1" t="s">
        <v>19</v>
      </c>
      <c r="P489" s="9">
        <v>44901</v>
      </c>
      <c r="Q489" s="1" t="s">
        <v>476</v>
      </c>
      <c r="R489" s="1" t="s">
        <v>63</v>
      </c>
      <c r="S489" s="1">
        <v>2</v>
      </c>
      <c r="T489" s="12">
        <v>0.41666666666666669</v>
      </c>
      <c r="U489" s="12">
        <v>0.45833333333333331</v>
      </c>
      <c r="V489" s="1">
        <v>1</v>
      </c>
      <c r="W489" s="1">
        <v>1</v>
      </c>
      <c r="X489" s="1">
        <f t="shared" si="20"/>
        <v>2</v>
      </c>
      <c r="Y489" s="5" t="str">
        <f t="shared" si="19"/>
        <v>C</v>
      </c>
    </row>
    <row r="490" spans="2:25" x14ac:dyDescent="0.25">
      <c r="B490" s="11">
        <v>44901</v>
      </c>
      <c r="C490" s="7">
        <v>600004078786</v>
      </c>
      <c r="D490" s="4">
        <v>1</v>
      </c>
      <c r="E490" t="s">
        <v>496</v>
      </c>
      <c r="F490" t="s">
        <v>540</v>
      </c>
      <c r="G490" t="s">
        <v>645</v>
      </c>
      <c r="H490" t="s">
        <v>745</v>
      </c>
      <c r="I490" t="s">
        <v>766</v>
      </c>
      <c r="J490" s="29" t="s">
        <v>525</v>
      </c>
      <c r="K490" s="4" t="s">
        <v>15</v>
      </c>
      <c r="L490" s="1" t="s">
        <v>79</v>
      </c>
      <c r="M490" s="1" t="s">
        <v>335</v>
      </c>
      <c r="N490" s="1" t="s">
        <v>110</v>
      </c>
      <c r="O490" s="1" t="s">
        <v>19</v>
      </c>
      <c r="P490" s="9">
        <v>44901</v>
      </c>
      <c r="Q490" s="1" t="s">
        <v>478</v>
      </c>
      <c r="R490" s="1" t="s">
        <v>50</v>
      </c>
      <c r="S490" s="1">
        <v>2</v>
      </c>
      <c r="T490" s="12">
        <v>0.625</v>
      </c>
      <c r="U490" s="12">
        <v>0.66666666666666663</v>
      </c>
      <c r="V490" s="1">
        <v>1</v>
      </c>
      <c r="W490" s="1">
        <v>1</v>
      </c>
      <c r="X490" s="1">
        <f t="shared" si="20"/>
        <v>2</v>
      </c>
      <c r="Y490" s="5" t="str">
        <f t="shared" si="19"/>
        <v>C</v>
      </c>
    </row>
    <row r="491" spans="2:25" x14ac:dyDescent="0.25">
      <c r="B491" s="11">
        <v>44901</v>
      </c>
      <c r="C491" s="7">
        <v>600004078696</v>
      </c>
      <c r="D491" s="5">
        <v>1</v>
      </c>
      <c r="E491" t="s">
        <v>866</v>
      </c>
      <c r="F491" t="s">
        <v>573</v>
      </c>
      <c r="G491" t="s">
        <v>678</v>
      </c>
      <c r="H491" t="s">
        <v>745</v>
      </c>
      <c r="I491" t="s">
        <v>799</v>
      </c>
      <c r="J491" s="27" t="s">
        <v>524</v>
      </c>
      <c r="K491" s="5" t="s">
        <v>15</v>
      </c>
      <c r="L491" s="1" t="s">
        <v>79</v>
      </c>
      <c r="M491" s="1" t="s">
        <v>211</v>
      </c>
      <c r="N491" s="1" t="s">
        <v>204</v>
      </c>
      <c r="O491" s="1" t="s">
        <v>19</v>
      </c>
      <c r="P491" s="9">
        <v>44901</v>
      </c>
      <c r="Q491" s="1" t="s">
        <v>478</v>
      </c>
      <c r="R491" s="1" t="s">
        <v>50</v>
      </c>
      <c r="S491" s="1">
        <v>2</v>
      </c>
      <c r="T491" s="12">
        <v>0.39583333333333331</v>
      </c>
      <c r="U491" s="12">
        <v>0.47916666666666669</v>
      </c>
      <c r="V491" s="1">
        <v>2</v>
      </c>
      <c r="W491" s="1">
        <v>2</v>
      </c>
      <c r="X491" s="1">
        <f t="shared" si="20"/>
        <v>4</v>
      </c>
      <c r="Y491" s="5" t="str">
        <f t="shared" si="19"/>
        <v>C</v>
      </c>
    </row>
    <row r="492" spans="2:25" x14ac:dyDescent="0.25">
      <c r="B492" s="11">
        <v>44907</v>
      </c>
      <c r="C492" s="7">
        <v>600004079892</v>
      </c>
      <c r="D492" s="5">
        <v>1</v>
      </c>
      <c r="E492" t="s">
        <v>885</v>
      </c>
      <c r="F492" t="s">
        <v>591</v>
      </c>
      <c r="G492" t="s">
        <v>697</v>
      </c>
      <c r="H492" t="s">
        <v>745</v>
      </c>
      <c r="I492" t="s">
        <v>818</v>
      </c>
      <c r="J492" s="26" t="s">
        <v>525</v>
      </c>
      <c r="K492" s="5" t="s">
        <v>15</v>
      </c>
      <c r="L492" s="1" t="s">
        <v>71</v>
      </c>
      <c r="M492" s="1" t="s">
        <v>332</v>
      </c>
      <c r="N492" s="1" t="s">
        <v>84</v>
      </c>
      <c r="O492" s="1" t="s">
        <v>19</v>
      </c>
      <c r="P492" s="9">
        <v>44907</v>
      </c>
      <c r="Q492" s="1" t="s">
        <v>476</v>
      </c>
      <c r="R492" s="1" t="s">
        <v>63</v>
      </c>
      <c r="S492" s="1">
        <v>2</v>
      </c>
      <c r="T492" s="12">
        <v>0.375</v>
      </c>
      <c r="U492" s="12">
        <v>0.4375</v>
      </c>
      <c r="V492" s="1">
        <v>1.5</v>
      </c>
      <c r="W492" s="1">
        <v>1.5</v>
      </c>
      <c r="X492" s="1">
        <f t="shared" si="20"/>
        <v>3</v>
      </c>
      <c r="Y492" s="5" t="str">
        <f t="shared" si="19"/>
        <v>C</v>
      </c>
    </row>
    <row r="493" spans="2:25" x14ac:dyDescent="0.25">
      <c r="B493" s="11">
        <v>44907</v>
      </c>
      <c r="C493" s="7">
        <v>600004079986</v>
      </c>
      <c r="D493" s="5">
        <v>1</v>
      </c>
      <c r="E493" t="s">
        <v>885</v>
      </c>
      <c r="F493" t="s">
        <v>591</v>
      </c>
      <c r="G493" t="s">
        <v>697</v>
      </c>
      <c r="H493" t="s">
        <v>745</v>
      </c>
      <c r="I493" t="s">
        <v>818</v>
      </c>
      <c r="J493" s="27" t="s">
        <v>525</v>
      </c>
      <c r="K493" s="5" t="s">
        <v>15</v>
      </c>
      <c r="L493" s="1" t="s">
        <v>71</v>
      </c>
      <c r="M493" s="1" t="s">
        <v>334</v>
      </c>
      <c r="N493" s="1" t="s">
        <v>84</v>
      </c>
      <c r="O493" s="1" t="s">
        <v>176</v>
      </c>
      <c r="P493" s="9">
        <v>44907</v>
      </c>
      <c r="Q493" s="1" t="s">
        <v>477</v>
      </c>
      <c r="R493" s="1" t="s">
        <v>63</v>
      </c>
      <c r="S493" s="1">
        <v>2</v>
      </c>
      <c r="T493" s="12">
        <v>0.52083333333333337</v>
      </c>
      <c r="U493" s="12">
        <v>0.5625</v>
      </c>
      <c r="V493" s="1">
        <v>1</v>
      </c>
      <c r="W493" s="1">
        <v>1</v>
      </c>
      <c r="X493" s="1">
        <f t="shared" si="20"/>
        <v>2</v>
      </c>
      <c r="Y493" s="5" t="str">
        <f t="shared" si="19"/>
        <v>C</v>
      </c>
    </row>
    <row r="494" spans="2:25" x14ac:dyDescent="0.25">
      <c r="B494" s="11">
        <v>44907</v>
      </c>
      <c r="C494" s="7">
        <v>600004079985</v>
      </c>
      <c r="D494" s="5">
        <v>1</v>
      </c>
      <c r="E494" t="s">
        <v>505</v>
      </c>
      <c r="F494" t="s">
        <v>549</v>
      </c>
      <c r="G494" t="s">
        <v>654</v>
      </c>
      <c r="H494" t="s">
        <v>745</v>
      </c>
      <c r="I494" t="s">
        <v>775</v>
      </c>
      <c r="J494" s="27" t="s">
        <v>525</v>
      </c>
      <c r="K494" s="5" t="s">
        <v>15</v>
      </c>
      <c r="L494" s="1" t="s">
        <v>301</v>
      </c>
      <c r="M494" s="1" t="s">
        <v>334</v>
      </c>
      <c r="N494" s="1" t="s">
        <v>84</v>
      </c>
      <c r="O494" s="1" t="s">
        <v>176</v>
      </c>
      <c r="P494" s="9">
        <v>44907</v>
      </c>
      <c r="Q494" s="1" t="s">
        <v>477</v>
      </c>
      <c r="R494" s="1" t="s">
        <v>63</v>
      </c>
      <c r="S494" s="1">
        <v>2</v>
      </c>
      <c r="T494" s="12">
        <v>0.4375</v>
      </c>
      <c r="U494" s="12">
        <v>0.47916666666666669</v>
      </c>
      <c r="V494" s="1">
        <v>1</v>
      </c>
      <c r="W494" s="1">
        <v>1</v>
      </c>
      <c r="X494" s="1">
        <f t="shared" si="20"/>
        <v>2</v>
      </c>
      <c r="Y494" s="5" t="str">
        <f t="shared" si="19"/>
        <v>C</v>
      </c>
    </row>
    <row r="495" spans="2:25" x14ac:dyDescent="0.25">
      <c r="B495" s="11">
        <v>44907</v>
      </c>
      <c r="C495" s="7">
        <v>600004079987</v>
      </c>
      <c r="D495" s="5">
        <v>1</v>
      </c>
      <c r="E495" t="s">
        <v>866</v>
      </c>
      <c r="F495" t="s">
        <v>573</v>
      </c>
      <c r="G495" t="s">
        <v>678</v>
      </c>
      <c r="H495" t="s">
        <v>745</v>
      </c>
      <c r="I495" t="s">
        <v>799</v>
      </c>
      <c r="J495" s="27" t="s">
        <v>524</v>
      </c>
      <c r="K495" s="5" t="s">
        <v>15</v>
      </c>
      <c r="L495" s="1" t="s">
        <v>301</v>
      </c>
      <c r="M495" s="1" t="s">
        <v>334</v>
      </c>
      <c r="N495" s="1" t="s">
        <v>84</v>
      </c>
      <c r="O495" s="1" t="s">
        <v>176</v>
      </c>
      <c r="P495" s="9">
        <v>44907</v>
      </c>
      <c r="Q495" s="1" t="s">
        <v>477</v>
      </c>
      <c r="R495" s="1" t="s">
        <v>63</v>
      </c>
      <c r="S495" s="1">
        <v>2</v>
      </c>
      <c r="T495" s="12">
        <v>0.58333333333333337</v>
      </c>
      <c r="U495" s="12">
        <v>0.625</v>
      </c>
      <c r="V495" s="1">
        <v>1</v>
      </c>
      <c r="W495" s="1">
        <v>1</v>
      </c>
      <c r="X495" s="1">
        <f t="shared" si="20"/>
        <v>2</v>
      </c>
      <c r="Y495" s="5" t="str">
        <f t="shared" si="19"/>
        <v>C</v>
      </c>
    </row>
    <row r="496" spans="2:25" x14ac:dyDescent="0.25">
      <c r="B496" s="11">
        <v>44907</v>
      </c>
      <c r="C496" s="7">
        <v>600004079990</v>
      </c>
      <c r="D496" s="4">
        <v>1</v>
      </c>
      <c r="E496" t="s">
        <v>496</v>
      </c>
      <c r="F496" t="s">
        <v>540</v>
      </c>
      <c r="G496" t="s">
        <v>645</v>
      </c>
      <c r="H496" t="s">
        <v>745</v>
      </c>
      <c r="I496" t="s">
        <v>766</v>
      </c>
      <c r="J496" s="29" t="s">
        <v>525</v>
      </c>
      <c r="K496" s="4" t="s">
        <v>15</v>
      </c>
      <c r="L496" s="1" t="s">
        <v>71</v>
      </c>
      <c r="M496" s="1" t="s">
        <v>336</v>
      </c>
      <c r="N496" s="1" t="s">
        <v>84</v>
      </c>
      <c r="O496" s="1" t="s">
        <v>176</v>
      </c>
      <c r="P496" s="9">
        <v>44907</v>
      </c>
      <c r="Q496" s="1" t="s">
        <v>476</v>
      </c>
      <c r="R496" s="1" t="s">
        <v>63</v>
      </c>
      <c r="S496" s="1">
        <v>2</v>
      </c>
      <c r="T496" s="12">
        <v>0.5625</v>
      </c>
      <c r="U496" s="12">
        <v>0.60416666666666663</v>
      </c>
      <c r="V496" s="1">
        <v>1</v>
      </c>
      <c r="W496" s="1">
        <v>1</v>
      </c>
      <c r="X496" s="1">
        <f t="shared" si="20"/>
        <v>2</v>
      </c>
      <c r="Y496" s="5" t="str">
        <f t="shared" si="19"/>
        <v>C</v>
      </c>
    </row>
    <row r="497" spans="2:25" x14ac:dyDescent="0.25">
      <c r="B497" s="11">
        <v>44908</v>
      </c>
      <c r="C497" s="7">
        <v>600004080142</v>
      </c>
      <c r="D497" s="5">
        <v>1</v>
      </c>
      <c r="E497" t="s">
        <v>489</v>
      </c>
      <c r="F497" t="s">
        <v>533</v>
      </c>
      <c r="G497" t="s">
        <v>638</v>
      </c>
      <c r="H497" t="s">
        <v>745</v>
      </c>
      <c r="I497" t="s">
        <v>759</v>
      </c>
      <c r="J497" s="27" t="s">
        <v>525</v>
      </c>
      <c r="K497" s="5" t="s">
        <v>15</v>
      </c>
      <c r="L497" s="1" t="s">
        <v>16</v>
      </c>
      <c r="M497" s="1" t="s">
        <v>137</v>
      </c>
      <c r="N497" s="1" t="s">
        <v>67</v>
      </c>
      <c r="O497" s="1" t="s">
        <v>19</v>
      </c>
      <c r="P497" s="9">
        <v>44908</v>
      </c>
      <c r="Q497" s="1" t="s">
        <v>477</v>
      </c>
      <c r="R497" s="1" t="s">
        <v>63</v>
      </c>
      <c r="S497" s="1">
        <v>2</v>
      </c>
      <c r="T497" s="12">
        <v>0.27083333333333331</v>
      </c>
      <c r="U497" s="12">
        <v>0.33333333333333331</v>
      </c>
      <c r="V497" s="1">
        <v>1.5</v>
      </c>
      <c r="W497" s="1">
        <v>1.5</v>
      </c>
      <c r="X497" s="1">
        <f t="shared" si="20"/>
        <v>3</v>
      </c>
      <c r="Y497" s="5" t="str">
        <f t="shared" si="19"/>
        <v>C</v>
      </c>
    </row>
    <row r="498" spans="2:25" x14ac:dyDescent="0.25">
      <c r="B498" s="11">
        <v>44909</v>
      </c>
      <c r="C498" s="7">
        <v>600004080525</v>
      </c>
      <c r="D498" s="5">
        <v>1</v>
      </c>
      <c r="E498" t="s">
        <v>866</v>
      </c>
      <c r="F498" t="s">
        <v>573</v>
      </c>
      <c r="G498" t="s">
        <v>678</v>
      </c>
      <c r="H498" t="s">
        <v>745</v>
      </c>
      <c r="I498" t="s">
        <v>799</v>
      </c>
      <c r="J498" s="27" t="s">
        <v>524</v>
      </c>
      <c r="K498" s="5" t="s">
        <v>15</v>
      </c>
      <c r="L498" s="1" t="s">
        <v>57</v>
      </c>
      <c r="M498" s="1" t="s">
        <v>71</v>
      </c>
      <c r="N498" s="1" t="s">
        <v>84</v>
      </c>
      <c r="O498" s="1" t="s">
        <v>19</v>
      </c>
      <c r="P498" s="9">
        <v>44909</v>
      </c>
      <c r="Q498" s="1" t="s">
        <v>477</v>
      </c>
      <c r="R498" s="1" t="s">
        <v>63</v>
      </c>
      <c r="S498" s="1">
        <v>2</v>
      </c>
      <c r="T498" s="12">
        <v>0.375</v>
      </c>
      <c r="U498" s="12">
        <v>0.41666666666666669</v>
      </c>
      <c r="V498" s="1">
        <v>1</v>
      </c>
      <c r="W498" s="1">
        <v>1</v>
      </c>
      <c r="X498" s="1">
        <f t="shared" si="20"/>
        <v>2</v>
      </c>
      <c r="Y498" s="5" t="str">
        <f t="shared" si="19"/>
        <v>C</v>
      </c>
    </row>
    <row r="499" spans="2:25" x14ac:dyDescent="0.25">
      <c r="B499" s="11">
        <v>44909</v>
      </c>
      <c r="C499" s="7">
        <v>600004080551</v>
      </c>
      <c r="D499" s="5">
        <v>1</v>
      </c>
      <c r="E499" t="s">
        <v>507</v>
      </c>
      <c r="F499" t="s">
        <v>551</v>
      </c>
      <c r="G499" t="s">
        <v>656</v>
      </c>
      <c r="H499" t="s">
        <v>745</v>
      </c>
      <c r="I499" t="s">
        <v>777</v>
      </c>
      <c r="J499" s="27" t="s">
        <v>525</v>
      </c>
      <c r="K499" s="5" t="s">
        <v>15</v>
      </c>
      <c r="L499" s="1" t="s">
        <v>16</v>
      </c>
      <c r="M499" s="1" t="s">
        <v>137</v>
      </c>
      <c r="N499" s="1" t="s">
        <v>53</v>
      </c>
      <c r="O499" s="1" t="s">
        <v>19</v>
      </c>
      <c r="P499" s="9">
        <v>44909</v>
      </c>
      <c r="Q499" s="1" t="s">
        <v>479</v>
      </c>
      <c r="R499" s="1" t="s">
        <v>63</v>
      </c>
      <c r="S499" s="1">
        <v>1</v>
      </c>
      <c r="T499" s="12">
        <v>0.625</v>
      </c>
      <c r="U499" s="12">
        <v>0.66666666666666663</v>
      </c>
      <c r="V499" s="1">
        <v>1</v>
      </c>
      <c r="W499" s="1">
        <v>1</v>
      </c>
      <c r="X499" s="1">
        <f t="shared" si="20"/>
        <v>1</v>
      </c>
      <c r="Y499" s="5" t="str">
        <f t="shared" si="19"/>
        <v>C</v>
      </c>
    </row>
    <row r="500" spans="2:25" x14ac:dyDescent="0.25">
      <c r="B500" s="11">
        <v>44909</v>
      </c>
      <c r="C500" s="7">
        <v>600004080530</v>
      </c>
      <c r="D500" s="5">
        <v>1</v>
      </c>
      <c r="E500" t="s">
        <v>881</v>
      </c>
      <c r="F500" t="s">
        <v>587</v>
      </c>
      <c r="G500" t="s">
        <v>693</v>
      </c>
      <c r="H500" t="s">
        <v>745</v>
      </c>
      <c r="I500" t="s">
        <v>814</v>
      </c>
      <c r="J500" s="27" t="s">
        <v>525</v>
      </c>
      <c r="K500" s="5" t="s">
        <v>44</v>
      </c>
      <c r="L500" s="1" t="s">
        <v>57</v>
      </c>
      <c r="M500" s="1" t="s">
        <v>71</v>
      </c>
      <c r="N500" s="1" t="s">
        <v>84</v>
      </c>
      <c r="O500" s="1" t="s">
        <v>19</v>
      </c>
      <c r="P500" s="9">
        <v>44911</v>
      </c>
      <c r="Q500" s="1" t="s">
        <v>476</v>
      </c>
      <c r="R500" s="1" t="s">
        <v>63</v>
      </c>
      <c r="S500" s="1">
        <v>1</v>
      </c>
      <c r="T500" s="12">
        <v>0.5625</v>
      </c>
      <c r="U500" s="12">
        <v>0.60416666666666663</v>
      </c>
      <c r="V500" s="1">
        <v>1</v>
      </c>
      <c r="W500" s="1">
        <v>1</v>
      </c>
      <c r="X500" s="1">
        <f t="shared" si="20"/>
        <v>1</v>
      </c>
      <c r="Y500" s="5" t="str">
        <f t="shared" si="19"/>
        <v>C</v>
      </c>
    </row>
    <row r="501" spans="2:25" x14ac:dyDescent="0.25">
      <c r="B501" s="11">
        <v>44910</v>
      </c>
      <c r="C501" s="7">
        <v>600004080921</v>
      </c>
      <c r="D501" s="5">
        <v>1</v>
      </c>
      <c r="E501" t="s">
        <v>512</v>
      </c>
      <c r="F501" t="s">
        <v>556</v>
      </c>
      <c r="G501" t="s">
        <v>661</v>
      </c>
      <c r="H501" t="s">
        <v>745</v>
      </c>
      <c r="I501" t="s">
        <v>782</v>
      </c>
      <c r="J501" s="27" t="s">
        <v>525</v>
      </c>
      <c r="K501" s="5" t="s">
        <v>88</v>
      </c>
      <c r="L501" s="1" t="s">
        <v>79</v>
      </c>
      <c r="M501" s="1" t="s">
        <v>333</v>
      </c>
      <c r="N501" s="1" t="s">
        <v>110</v>
      </c>
      <c r="O501" s="1" t="s">
        <v>19</v>
      </c>
      <c r="P501" s="9">
        <v>44910</v>
      </c>
      <c r="Q501" s="1" t="s">
        <v>475</v>
      </c>
      <c r="R501" s="1" t="s">
        <v>50</v>
      </c>
      <c r="S501" s="1">
        <v>2</v>
      </c>
      <c r="T501" s="12">
        <v>0.5</v>
      </c>
      <c r="U501" s="12">
        <v>0.5625</v>
      </c>
      <c r="V501" s="1">
        <v>1.5</v>
      </c>
      <c r="W501" s="1">
        <v>1.5</v>
      </c>
      <c r="X501" s="1">
        <f t="shared" si="20"/>
        <v>3</v>
      </c>
      <c r="Y501" s="5" t="str">
        <f t="shared" si="19"/>
        <v>C</v>
      </c>
    </row>
    <row r="502" spans="2:25" x14ac:dyDescent="0.25">
      <c r="B502" s="11">
        <v>44914</v>
      </c>
      <c r="C502" s="7">
        <v>600004081819</v>
      </c>
      <c r="D502" s="1">
        <v>1</v>
      </c>
      <c r="E502" t="s">
        <v>865</v>
      </c>
      <c r="F502" t="s">
        <v>572</v>
      </c>
      <c r="G502" t="s">
        <v>677</v>
      </c>
      <c r="H502" t="s">
        <v>745</v>
      </c>
      <c r="I502" t="s">
        <v>798</v>
      </c>
      <c r="J502" s="26" t="s">
        <v>525</v>
      </c>
      <c r="K502" s="1" t="s">
        <v>168</v>
      </c>
      <c r="L502" s="1" t="s">
        <v>79</v>
      </c>
      <c r="M502" s="1" t="s">
        <v>337</v>
      </c>
      <c r="N502" s="1" t="s">
        <v>110</v>
      </c>
      <c r="O502" s="1" t="s">
        <v>19</v>
      </c>
      <c r="P502" s="9">
        <v>44914</v>
      </c>
      <c r="Q502" s="1" t="s">
        <v>475</v>
      </c>
      <c r="R502" s="1" t="s">
        <v>50</v>
      </c>
      <c r="S502" s="1">
        <v>1</v>
      </c>
      <c r="T502" s="12">
        <v>0.3125</v>
      </c>
      <c r="U502" s="12">
        <v>0.35416666666666669</v>
      </c>
      <c r="V502" s="1">
        <v>1</v>
      </c>
      <c r="W502" s="1">
        <v>1</v>
      </c>
      <c r="X502" s="1">
        <f t="shared" si="20"/>
        <v>1</v>
      </c>
      <c r="Y502" s="5" t="str">
        <f t="shared" si="19"/>
        <v>C</v>
      </c>
    </row>
    <row r="503" spans="2:25" x14ac:dyDescent="0.25">
      <c r="B503" s="11">
        <v>44918</v>
      </c>
      <c r="C503" s="7">
        <v>600004082556</v>
      </c>
      <c r="D503" s="4">
        <v>1</v>
      </c>
      <c r="E503" t="s">
        <v>496</v>
      </c>
      <c r="F503" t="s">
        <v>540</v>
      </c>
      <c r="G503" t="s">
        <v>645</v>
      </c>
      <c r="H503" t="s">
        <v>745</v>
      </c>
      <c r="I503" t="s">
        <v>766</v>
      </c>
      <c r="J503" s="29" t="s">
        <v>525</v>
      </c>
      <c r="K503" s="4" t="s">
        <v>15</v>
      </c>
      <c r="L503" s="1" t="s">
        <v>79</v>
      </c>
      <c r="M503" s="1" t="s">
        <v>269</v>
      </c>
      <c r="N503" s="1" t="s">
        <v>110</v>
      </c>
      <c r="O503" s="1" t="s">
        <v>19</v>
      </c>
      <c r="P503" s="9">
        <v>44918</v>
      </c>
      <c r="Q503" s="1" t="s">
        <v>475</v>
      </c>
      <c r="R503" s="1" t="s">
        <v>50</v>
      </c>
      <c r="S503" s="1">
        <v>2</v>
      </c>
      <c r="T503" s="12">
        <v>0.54166666666666663</v>
      </c>
      <c r="U503" s="12">
        <v>0.58333333333333337</v>
      </c>
      <c r="V503" s="1">
        <v>1</v>
      </c>
      <c r="W503" s="1">
        <v>1</v>
      </c>
      <c r="X503" s="1">
        <f t="shared" si="20"/>
        <v>2</v>
      </c>
      <c r="Y503" s="5" t="str">
        <f t="shared" si="19"/>
        <v>C</v>
      </c>
    </row>
    <row r="504" spans="2:25" x14ac:dyDescent="0.25">
      <c r="B504" s="11">
        <v>44929</v>
      </c>
      <c r="C504" s="7">
        <v>600004099296</v>
      </c>
      <c r="D504" s="5">
        <v>1</v>
      </c>
      <c r="E504" t="s">
        <v>905</v>
      </c>
      <c r="F504" t="s">
        <v>610</v>
      </c>
      <c r="G504" t="s">
        <v>717</v>
      </c>
      <c r="H504" t="s">
        <v>749</v>
      </c>
      <c r="I504" t="s">
        <v>838</v>
      </c>
      <c r="J504" s="27" t="s">
        <v>524</v>
      </c>
      <c r="K504" s="5" t="s">
        <v>127</v>
      </c>
      <c r="L504" s="1" t="s">
        <v>36</v>
      </c>
      <c r="M504" s="1" t="s">
        <v>96</v>
      </c>
      <c r="N504" s="1" t="s">
        <v>94</v>
      </c>
      <c r="O504" s="1" t="s">
        <v>176</v>
      </c>
      <c r="P504" s="9">
        <v>44933</v>
      </c>
      <c r="Q504" s="1" t="s">
        <v>474</v>
      </c>
      <c r="R504" s="1" t="s">
        <v>63</v>
      </c>
      <c r="S504" s="1">
        <v>2</v>
      </c>
      <c r="T504" s="12">
        <v>0.25</v>
      </c>
      <c r="U504" s="12">
        <v>0.5</v>
      </c>
      <c r="V504" s="1">
        <v>6</v>
      </c>
      <c r="W504" s="1">
        <v>6</v>
      </c>
      <c r="X504" s="1">
        <f t="shared" si="20"/>
        <v>12</v>
      </c>
      <c r="Y504" s="5" t="str">
        <f t="shared" si="19"/>
        <v>B</v>
      </c>
    </row>
    <row r="505" spans="2:25" x14ac:dyDescent="0.25">
      <c r="B505" s="11">
        <v>44930</v>
      </c>
      <c r="C505" s="7">
        <v>600004103617</v>
      </c>
      <c r="D505" s="5">
        <v>1</v>
      </c>
      <c r="E505" t="s">
        <v>885</v>
      </c>
      <c r="F505" t="s">
        <v>591</v>
      </c>
      <c r="G505" t="s">
        <v>697</v>
      </c>
      <c r="H505" t="s">
        <v>745</v>
      </c>
      <c r="I505" t="s">
        <v>818</v>
      </c>
      <c r="J505" s="27" t="s">
        <v>525</v>
      </c>
      <c r="K505" s="5" t="s">
        <v>15</v>
      </c>
      <c r="L505" s="1" t="s">
        <v>16</v>
      </c>
      <c r="M505" s="1" t="s">
        <v>137</v>
      </c>
      <c r="N505" s="1" t="s">
        <v>253</v>
      </c>
      <c r="O505" s="1" t="s">
        <v>19</v>
      </c>
      <c r="P505" s="9">
        <v>44930</v>
      </c>
      <c r="Q505" s="1" t="s">
        <v>477</v>
      </c>
      <c r="R505" s="1" t="s">
        <v>63</v>
      </c>
      <c r="S505" s="1">
        <v>1</v>
      </c>
      <c r="T505" s="12">
        <v>0.60416666666666663</v>
      </c>
      <c r="U505" s="12">
        <v>0.625</v>
      </c>
      <c r="V505" s="1">
        <v>0.5</v>
      </c>
      <c r="W505" s="1">
        <v>0.5</v>
      </c>
      <c r="X505" s="1">
        <f t="shared" si="20"/>
        <v>0.5</v>
      </c>
      <c r="Y505" s="5" t="str">
        <f t="shared" si="19"/>
        <v>C</v>
      </c>
    </row>
    <row r="506" spans="2:25" x14ac:dyDescent="0.25">
      <c r="B506" s="11">
        <v>44931</v>
      </c>
      <c r="C506" s="7">
        <v>600004110543</v>
      </c>
      <c r="D506" s="5">
        <v>1</v>
      </c>
      <c r="E506" t="s">
        <v>486</v>
      </c>
      <c r="F506" t="s">
        <v>530</v>
      </c>
      <c r="G506" t="s">
        <v>635</v>
      </c>
      <c r="H506" t="s">
        <v>740</v>
      </c>
      <c r="I506" t="s">
        <v>756</v>
      </c>
      <c r="J506" s="27" t="s">
        <v>525</v>
      </c>
      <c r="K506" s="5" t="s">
        <v>69</v>
      </c>
      <c r="L506" s="1" t="s">
        <v>36</v>
      </c>
      <c r="M506" s="1" t="s">
        <v>338</v>
      </c>
      <c r="N506" s="1" t="s">
        <v>75</v>
      </c>
      <c r="O506" s="1" t="s">
        <v>176</v>
      </c>
      <c r="P506" s="9">
        <v>44932</v>
      </c>
      <c r="Q506" s="1" t="s">
        <v>474</v>
      </c>
      <c r="R506" s="1" t="s">
        <v>63</v>
      </c>
      <c r="S506" s="1">
        <v>2</v>
      </c>
      <c r="T506" s="12">
        <v>0.25</v>
      </c>
      <c r="U506" s="12">
        <v>0.625</v>
      </c>
      <c r="V506" s="1">
        <v>9</v>
      </c>
      <c r="W506" s="1">
        <v>9</v>
      </c>
      <c r="X506" s="1">
        <f t="shared" si="20"/>
        <v>18</v>
      </c>
      <c r="Y506" s="5" t="str">
        <f t="shared" si="19"/>
        <v>A</v>
      </c>
    </row>
    <row r="507" spans="2:25" x14ac:dyDescent="0.25">
      <c r="B507" s="11">
        <v>44931</v>
      </c>
      <c r="C507" s="7">
        <v>600004110477</v>
      </c>
      <c r="D507" s="5">
        <v>1</v>
      </c>
      <c r="E507" t="s">
        <v>878</v>
      </c>
      <c r="F507" t="s">
        <v>584</v>
      </c>
      <c r="G507" t="s">
        <v>690</v>
      </c>
      <c r="H507" t="s">
        <v>747</v>
      </c>
      <c r="I507" t="s">
        <v>811</v>
      </c>
      <c r="J507" s="26" t="s">
        <v>524</v>
      </c>
      <c r="K507" s="5" t="s">
        <v>73</v>
      </c>
      <c r="L507" s="1" t="s">
        <v>57</v>
      </c>
      <c r="M507" s="1" t="s">
        <v>297</v>
      </c>
      <c r="N507" s="1" t="s">
        <v>344</v>
      </c>
      <c r="O507" s="1" t="s">
        <v>19</v>
      </c>
      <c r="P507" s="9">
        <v>44932</v>
      </c>
      <c r="Q507" s="1" t="s">
        <v>481</v>
      </c>
      <c r="R507" s="1" t="s">
        <v>63</v>
      </c>
      <c r="S507" s="1">
        <v>1</v>
      </c>
      <c r="T507" s="12">
        <v>0.29166666666666669</v>
      </c>
      <c r="U507" s="12">
        <v>0.375</v>
      </c>
      <c r="V507" s="1">
        <v>2</v>
      </c>
      <c r="W507" s="1">
        <v>2</v>
      </c>
      <c r="X507" s="1">
        <f t="shared" si="20"/>
        <v>2</v>
      </c>
      <c r="Y507" s="5" t="str">
        <f t="shared" si="19"/>
        <v>C</v>
      </c>
    </row>
    <row r="508" spans="2:25" x14ac:dyDescent="0.25">
      <c r="B508" s="11">
        <v>44932</v>
      </c>
      <c r="C508" s="7">
        <v>600004110742</v>
      </c>
      <c r="D508" s="5">
        <v>1</v>
      </c>
      <c r="E508" t="s">
        <v>489</v>
      </c>
      <c r="F508" t="s">
        <v>533</v>
      </c>
      <c r="G508" t="s">
        <v>638</v>
      </c>
      <c r="H508" t="s">
        <v>745</v>
      </c>
      <c r="I508" t="s">
        <v>759</v>
      </c>
      <c r="J508" s="27" t="s">
        <v>525</v>
      </c>
      <c r="K508" s="5" t="s">
        <v>15</v>
      </c>
      <c r="L508" s="1" t="s">
        <v>16</v>
      </c>
      <c r="M508" s="1" t="s">
        <v>137</v>
      </c>
      <c r="N508" s="1" t="s">
        <v>67</v>
      </c>
      <c r="O508" s="1" t="s">
        <v>176</v>
      </c>
      <c r="P508" s="9">
        <v>44932</v>
      </c>
      <c r="Q508" s="1" t="s">
        <v>479</v>
      </c>
      <c r="R508" s="1" t="s">
        <v>63</v>
      </c>
      <c r="S508" s="1">
        <v>3</v>
      </c>
      <c r="T508" s="12">
        <v>0.41666666666666669</v>
      </c>
      <c r="U508" s="12">
        <v>0.45833333333333331</v>
      </c>
      <c r="V508" s="1">
        <v>1</v>
      </c>
      <c r="W508" s="1">
        <v>1</v>
      </c>
      <c r="X508" s="1">
        <f t="shared" si="20"/>
        <v>3</v>
      </c>
      <c r="Y508" s="5" t="str">
        <f t="shared" si="19"/>
        <v>C</v>
      </c>
    </row>
    <row r="509" spans="2:25" x14ac:dyDescent="0.25">
      <c r="B509" s="11">
        <v>44935</v>
      </c>
      <c r="C509" s="7">
        <v>600004111292</v>
      </c>
      <c r="D509" s="5">
        <v>1</v>
      </c>
      <c r="E509" t="s">
        <v>900</v>
      </c>
      <c r="F509" t="s">
        <v>605</v>
      </c>
      <c r="G509" t="s">
        <v>712</v>
      </c>
      <c r="H509" t="s">
        <v>745</v>
      </c>
      <c r="I509" t="s">
        <v>833</v>
      </c>
      <c r="J509" s="27" t="s">
        <v>525</v>
      </c>
      <c r="K509" s="5" t="s">
        <v>88</v>
      </c>
      <c r="L509" s="1" t="s">
        <v>36</v>
      </c>
      <c r="M509" s="1" t="s">
        <v>129</v>
      </c>
      <c r="N509" s="1" t="s">
        <v>130</v>
      </c>
      <c r="O509" s="1" t="s">
        <v>19</v>
      </c>
      <c r="P509" s="9">
        <v>44935</v>
      </c>
      <c r="Q509" s="1" t="s">
        <v>477</v>
      </c>
      <c r="R509" s="1" t="s">
        <v>63</v>
      </c>
      <c r="S509" s="1">
        <v>2</v>
      </c>
      <c r="T509" s="12">
        <v>0.4375</v>
      </c>
      <c r="U509" s="12">
        <v>0.47916666666666669</v>
      </c>
      <c r="V509" s="1">
        <v>1</v>
      </c>
      <c r="W509" s="1">
        <v>1</v>
      </c>
      <c r="X509" s="1">
        <f t="shared" si="20"/>
        <v>2</v>
      </c>
      <c r="Y509" s="5" t="str">
        <f t="shared" si="19"/>
        <v>C</v>
      </c>
    </row>
    <row r="510" spans="2:25" x14ac:dyDescent="0.25">
      <c r="B510" s="11">
        <v>44935</v>
      </c>
      <c r="C510" s="7">
        <v>600004111306</v>
      </c>
      <c r="D510" s="5">
        <v>1</v>
      </c>
      <c r="E510" t="s">
        <v>501</v>
      </c>
      <c r="F510" t="s">
        <v>545</v>
      </c>
      <c r="G510" t="s">
        <v>650</v>
      </c>
      <c r="H510" t="s">
        <v>740</v>
      </c>
      <c r="I510" t="s">
        <v>771</v>
      </c>
      <c r="J510" s="27" t="s">
        <v>524</v>
      </c>
      <c r="K510" s="5" t="s">
        <v>70</v>
      </c>
      <c r="L510" s="1" t="s">
        <v>57</v>
      </c>
      <c r="M510" s="1" t="s">
        <v>101</v>
      </c>
      <c r="N510" s="1" t="s">
        <v>345</v>
      </c>
      <c r="O510" s="1" t="s">
        <v>19</v>
      </c>
      <c r="P510" s="9">
        <v>44936</v>
      </c>
      <c r="Q510" s="1" t="s">
        <v>481</v>
      </c>
      <c r="R510" s="1" t="s">
        <v>63</v>
      </c>
      <c r="S510" s="1">
        <v>1</v>
      </c>
      <c r="T510" s="12">
        <v>0.39583333333333331</v>
      </c>
      <c r="U510" s="12">
        <v>0.45833333333333331</v>
      </c>
      <c r="V510" s="1">
        <v>1.5</v>
      </c>
      <c r="W510" s="1">
        <v>1.5</v>
      </c>
      <c r="X510" s="1">
        <f t="shared" si="20"/>
        <v>1.5</v>
      </c>
      <c r="Y510" s="5" t="str">
        <f t="shared" si="19"/>
        <v>C</v>
      </c>
    </row>
    <row r="511" spans="2:25" x14ac:dyDescent="0.25">
      <c r="B511" s="11">
        <v>44937</v>
      </c>
      <c r="C511" s="7">
        <v>600004111996</v>
      </c>
      <c r="D511" s="5">
        <v>1</v>
      </c>
      <c r="E511" t="s">
        <v>495</v>
      </c>
      <c r="F511" t="s">
        <v>539</v>
      </c>
      <c r="G511" t="s">
        <v>644</v>
      </c>
      <c r="H511" t="s">
        <v>740</v>
      </c>
      <c r="I511" t="s">
        <v>765</v>
      </c>
      <c r="J511" s="27" t="s">
        <v>524</v>
      </c>
      <c r="K511" s="5" t="s">
        <v>70</v>
      </c>
      <c r="L511" s="1" t="s">
        <v>71</v>
      </c>
      <c r="M511" s="1" t="s">
        <v>259</v>
      </c>
      <c r="N511" s="1" t="s">
        <v>67</v>
      </c>
      <c r="O511" s="1" t="s">
        <v>19</v>
      </c>
      <c r="P511" s="9">
        <v>44939</v>
      </c>
      <c r="Q511" s="1" t="s">
        <v>474</v>
      </c>
      <c r="R511" s="1" t="s">
        <v>63</v>
      </c>
      <c r="S511" s="1">
        <v>1</v>
      </c>
      <c r="T511" s="12">
        <v>0.3125</v>
      </c>
      <c r="U511" s="12">
        <v>0.35416666666666669</v>
      </c>
      <c r="V511" s="1">
        <v>1</v>
      </c>
      <c r="W511" s="1">
        <v>1</v>
      </c>
      <c r="X511" s="1">
        <f t="shared" si="20"/>
        <v>1</v>
      </c>
      <c r="Y511" s="5" t="str">
        <f t="shared" si="19"/>
        <v>C</v>
      </c>
    </row>
    <row r="512" spans="2:25" x14ac:dyDescent="0.25">
      <c r="B512" s="11">
        <v>44937</v>
      </c>
      <c r="C512" s="7">
        <v>600004111995</v>
      </c>
      <c r="D512" s="5">
        <v>1</v>
      </c>
      <c r="E512" t="s">
        <v>501</v>
      </c>
      <c r="F512" t="s">
        <v>545</v>
      </c>
      <c r="G512" t="s">
        <v>650</v>
      </c>
      <c r="H512" t="s">
        <v>740</v>
      </c>
      <c r="I512" t="s">
        <v>771</v>
      </c>
      <c r="J512" s="27" t="s">
        <v>524</v>
      </c>
      <c r="K512" s="5" t="s">
        <v>70</v>
      </c>
      <c r="L512" s="1" t="s">
        <v>71</v>
      </c>
      <c r="M512" s="1" t="s">
        <v>259</v>
      </c>
      <c r="N512" s="1" t="s">
        <v>67</v>
      </c>
      <c r="O512" s="1" t="s">
        <v>19</v>
      </c>
      <c r="P512" s="9">
        <v>44939</v>
      </c>
      <c r="Q512" s="1" t="s">
        <v>474</v>
      </c>
      <c r="R512" s="1" t="s">
        <v>63</v>
      </c>
      <c r="S512" s="1">
        <v>1</v>
      </c>
      <c r="T512" s="12">
        <v>0.27083333333333331</v>
      </c>
      <c r="U512" s="12">
        <v>0.3125</v>
      </c>
      <c r="V512" s="1">
        <v>1</v>
      </c>
      <c r="W512" s="1">
        <v>1</v>
      </c>
      <c r="X512" s="1">
        <f t="shared" si="20"/>
        <v>1</v>
      </c>
      <c r="Y512" s="5" t="str">
        <f t="shared" si="19"/>
        <v>C</v>
      </c>
    </row>
    <row r="513" spans="2:25" x14ac:dyDescent="0.25">
      <c r="B513" s="11">
        <v>44937</v>
      </c>
      <c r="C513" s="7">
        <v>600004111984</v>
      </c>
      <c r="D513" s="5">
        <v>1</v>
      </c>
      <c r="E513" t="s">
        <v>506</v>
      </c>
      <c r="F513" t="s">
        <v>550</v>
      </c>
      <c r="G513" t="s">
        <v>655</v>
      </c>
      <c r="H513" t="s">
        <v>745</v>
      </c>
      <c r="I513" t="s">
        <v>776</v>
      </c>
      <c r="J513" s="26" t="s">
        <v>525</v>
      </c>
      <c r="K513" s="5" t="s">
        <v>15</v>
      </c>
      <c r="L513" s="1" t="s">
        <v>79</v>
      </c>
      <c r="M513" s="1" t="s">
        <v>62</v>
      </c>
      <c r="N513" s="1" t="s">
        <v>347</v>
      </c>
      <c r="O513" s="1" t="s">
        <v>19</v>
      </c>
      <c r="P513" s="9">
        <v>44937</v>
      </c>
      <c r="Q513" s="1" t="s">
        <v>478</v>
      </c>
      <c r="R513" s="1" t="s">
        <v>50</v>
      </c>
      <c r="S513" s="1">
        <v>1</v>
      </c>
      <c r="T513" s="12">
        <v>0.375</v>
      </c>
      <c r="U513" s="12">
        <v>0.41666666666666669</v>
      </c>
      <c r="V513" s="1">
        <v>1</v>
      </c>
      <c r="W513" s="1">
        <v>1</v>
      </c>
      <c r="X513" s="1">
        <f t="shared" si="20"/>
        <v>1</v>
      </c>
      <c r="Y513" s="5" t="str">
        <f t="shared" si="19"/>
        <v>C</v>
      </c>
    </row>
    <row r="514" spans="2:25" x14ac:dyDescent="0.25">
      <c r="B514" s="11">
        <v>44938</v>
      </c>
      <c r="C514" s="7">
        <v>600004112559</v>
      </c>
      <c r="D514" s="5">
        <v>1</v>
      </c>
      <c r="E514" t="s">
        <v>906</v>
      </c>
      <c r="F514" t="s">
        <v>611</v>
      </c>
      <c r="G514" t="s">
        <v>718</v>
      </c>
      <c r="H514" t="s">
        <v>745</v>
      </c>
      <c r="I514" t="s">
        <v>839</v>
      </c>
      <c r="J514" s="27" t="s">
        <v>525</v>
      </c>
      <c r="K514" s="5" t="s">
        <v>339</v>
      </c>
      <c r="L514" s="1" t="s">
        <v>79</v>
      </c>
      <c r="M514" s="1" t="s">
        <v>57</v>
      </c>
      <c r="N514" s="1" t="s">
        <v>340</v>
      </c>
      <c r="O514" s="1" t="s">
        <v>19</v>
      </c>
      <c r="P514" s="9">
        <v>44943</v>
      </c>
      <c r="Q514" s="1" t="s">
        <v>478</v>
      </c>
      <c r="R514" s="1" t="s">
        <v>50</v>
      </c>
      <c r="S514" s="1">
        <v>1</v>
      </c>
      <c r="T514" s="12">
        <v>0.39583333333333331</v>
      </c>
      <c r="U514" s="12">
        <v>0.47916666666666669</v>
      </c>
      <c r="V514" s="1">
        <v>2</v>
      </c>
      <c r="W514" s="1">
        <v>2</v>
      </c>
      <c r="X514" s="1">
        <f t="shared" si="20"/>
        <v>2</v>
      </c>
      <c r="Y514" s="5" t="str">
        <f t="shared" si="19"/>
        <v>C</v>
      </c>
    </row>
    <row r="515" spans="2:25" x14ac:dyDescent="0.25">
      <c r="B515" s="11">
        <v>44938</v>
      </c>
      <c r="C515" s="7">
        <v>600004112555</v>
      </c>
      <c r="D515" s="5">
        <v>1</v>
      </c>
      <c r="E515" t="s">
        <v>893</v>
      </c>
      <c r="F515" t="s">
        <v>598</v>
      </c>
      <c r="G515" t="s">
        <v>705</v>
      </c>
      <c r="H515" t="s">
        <v>740</v>
      </c>
      <c r="I515" t="s">
        <v>826</v>
      </c>
      <c r="J515" s="27" t="s">
        <v>524</v>
      </c>
      <c r="K515" s="5" t="s">
        <v>127</v>
      </c>
      <c r="L515" s="1" t="s">
        <v>148</v>
      </c>
      <c r="M515" s="1" t="s">
        <v>57</v>
      </c>
      <c r="N515" s="1" t="s">
        <v>346</v>
      </c>
      <c r="O515" s="1" t="s">
        <v>19</v>
      </c>
      <c r="P515" s="9">
        <v>44938</v>
      </c>
      <c r="Q515" s="1" t="s">
        <v>481</v>
      </c>
      <c r="R515" s="1" t="s">
        <v>63</v>
      </c>
      <c r="S515" s="1">
        <v>1</v>
      </c>
      <c r="T515" s="12">
        <v>0.39583333333333331</v>
      </c>
      <c r="U515" s="12">
        <v>0.5</v>
      </c>
      <c r="V515" s="1">
        <v>2.5</v>
      </c>
      <c r="W515" s="1">
        <v>2.5</v>
      </c>
      <c r="X515" s="1">
        <f t="shared" ref="X515:X532" si="21">PRODUCT(S515,V515)</f>
        <v>2.5</v>
      </c>
      <c r="Y515" s="5" t="str">
        <f t="shared" si="19"/>
        <v>B</v>
      </c>
    </row>
    <row r="516" spans="2:25" x14ac:dyDescent="0.25">
      <c r="B516" s="11">
        <v>44942</v>
      </c>
      <c r="C516" s="7">
        <v>600004113774</v>
      </c>
      <c r="D516" s="5">
        <v>1</v>
      </c>
      <c r="E516" t="s">
        <v>900</v>
      </c>
      <c r="F516" t="s">
        <v>605</v>
      </c>
      <c r="G516" t="s">
        <v>712</v>
      </c>
      <c r="H516" t="s">
        <v>745</v>
      </c>
      <c r="I516" t="s">
        <v>833</v>
      </c>
      <c r="J516" s="27" t="s">
        <v>525</v>
      </c>
      <c r="K516" s="5" t="s">
        <v>88</v>
      </c>
      <c r="L516" s="1" t="s">
        <v>89</v>
      </c>
      <c r="M516" s="1" t="s">
        <v>57</v>
      </c>
      <c r="N516" s="1" t="s">
        <v>67</v>
      </c>
      <c r="O516" s="1" t="s">
        <v>19</v>
      </c>
      <c r="P516" s="9">
        <v>44942</v>
      </c>
      <c r="Q516" s="1" t="s">
        <v>475</v>
      </c>
      <c r="R516" s="1" t="s">
        <v>63</v>
      </c>
      <c r="S516" s="1">
        <v>1</v>
      </c>
      <c r="T516" s="12">
        <v>0.3125</v>
      </c>
      <c r="U516" s="12">
        <v>0.35416666666666669</v>
      </c>
      <c r="V516" s="1">
        <v>1</v>
      </c>
      <c r="W516" s="1">
        <v>1</v>
      </c>
      <c r="X516" s="1">
        <f t="shared" si="21"/>
        <v>1</v>
      </c>
      <c r="Y516" s="5" t="str">
        <f t="shared" si="19"/>
        <v>C</v>
      </c>
    </row>
    <row r="517" spans="2:25" x14ac:dyDescent="0.25">
      <c r="B517" s="11">
        <v>44942</v>
      </c>
      <c r="C517" s="7">
        <v>600004113776</v>
      </c>
      <c r="D517" s="5">
        <v>1</v>
      </c>
      <c r="E517" t="s">
        <v>506</v>
      </c>
      <c r="F517" t="s">
        <v>550</v>
      </c>
      <c r="G517" t="s">
        <v>655</v>
      </c>
      <c r="H517" t="s">
        <v>745</v>
      </c>
      <c r="I517" t="s">
        <v>776</v>
      </c>
      <c r="J517" s="26" t="s">
        <v>525</v>
      </c>
      <c r="K517" s="5" t="s">
        <v>15</v>
      </c>
      <c r="L517" s="1" t="s">
        <v>16</v>
      </c>
      <c r="M517" s="1" t="s">
        <v>137</v>
      </c>
      <c r="N517" s="1" t="s">
        <v>253</v>
      </c>
      <c r="O517" s="1" t="s">
        <v>176</v>
      </c>
      <c r="P517" s="9">
        <v>44942</v>
      </c>
      <c r="Q517" s="1" t="s">
        <v>475</v>
      </c>
      <c r="R517" s="1" t="s">
        <v>63</v>
      </c>
      <c r="S517" s="1">
        <v>1</v>
      </c>
      <c r="T517" s="12">
        <v>0.41666666666666669</v>
      </c>
      <c r="U517" s="12">
        <v>0.47916666666666669</v>
      </c>
      <c r="V517" s="1">
        <v>1.5</v>
      </c>
      <c r="W517" s="1">
        <v>1.5</v>
      </c>
      <c r="X517" s="1">
        <f t="shared" si="21"/>
        <v>1.5</v>
      </c>
      <c r="Y517" s="5" t="str">
        <f t="shared" si="19"/>
        <v>C</v>
      </c>
    </row>
    <row r="518" spans="2:25" x14ac:dyDescent="0.25">
      <c r="B518" s="11">
        <v>44942</v>
      </c>
      <c r="C518" s="7">
        <v>600004113632</v>
      </c>
      <c r="D518" s="5">
        <v>1</v>
      </c>
      <c r="E518" t="s">
        <v>866</v>
      </c>
      <c r="F518" t="s">
        <v>573</v>
      </c>
      <c r="G518" t="s">
        <v>678</v>
      </c>
      <c r="H518" t="s">
        <v>745</v>
      </c>
      <c r="I518" t="s">
        <v>799</v>
      </c>
      <c r="J518" s="26" t="s">
        <v>524</v>
      </c>
      <c r="K518" s="5" t="s">
        <v>15</v>
      </c>
      <c r="L518" s="1" t="s">
        <v>79</v>
      </c>
      <c r="M518" s="1" t="s">
        <v>148</v>
      </c>
      <c r="N518" s="1" t="s">
        <v>253</v>
      </c>
      <c r="O518" s="1" t="s">
        <v>176</v>
      </c>
      <c r="P518" s="9">
        <v>44942</v>
      </c>
      <c r="Q518" s="1" t="s">
        <v>478</v>
      </c>
      <c r="R518" s="1" t="s">
        <v>50</v>
      </c>
      <c r="S518" s="1">
        <v>1</v>
      </c>
      <c r="T518" s="12">
        <v>0.4375</v>
      </c>
      <c r="U518" s="12">
        <v>0.47916666666666669</v>
      </c>
      <c r="V518" s="1">
        <v>1</v>
      </c>
      <c r="W518" s="1">
        <v>1</v>
      </c>
      <c r="X518" s="1">
        <f t="shared" si="21"/>
        <v>1</v>
      </c>
      <c r="Y518" s="5" t="str">
        <f t="shared" si="19"/>
        <v>C</v>
      </c>
    </row>
    <row r="519" spans="2:25" x14ac:dyDescent="0.25">
      <c r="B519" s="11">
        <v>44943</v>
      </c>
      <c r="C519" s="7">
        <v>600004114023</v>
      </c>
      <c r="D519" s="5">
        <v>1</v>
      </c>
      <c r="E519" t="s">
        <v>512</v>
      </c>
      <c r="F519" t="s">
        <v>556</v>
      </c>
      <c r="G519" t="s">
        <v>661</v>
      </c>
      <c r="H519" t="s">
        <v>745</v>
      </c>
      <c r="I519" t="s">
        <v>782</v>
      </c>
      <c r="J519" s="27" t="s">
        <v>525</v>
      </c>
      <c r="K519" s="5" t="s">
        <v>88</v>
      </c>
      <c r="L519" s="1" t="s">
        <v>36</v>
      </c>
      <c r="M519" s="1" t="s">
        <v>129</v>
      </c>
      <c r="N519" s="1" t="s">
        <v>130</v>
      </c>
      <c r="O519" s="1" t="s">
        <v>176</v>
      </c>
      <c r="P519" s="9">
        <v>44943</v>
      </c>
      <c r="Q519" s="1" t="s">
        <v>477</v>
      </c>
      <c r="R519" s="1" t="s">
        <v>63</v>
      </c>
      <c r="S519" s="1">
        <v>1</v>
      </c>
      <c r="T519" s="12">
        <v>0.58333333333333337</v>
      </c>
      <c r="U519" s="12">
        <v>0.625</v>
      </c>
      <c r="V519" s="1">
        <v>1</v>
      </c>
      <c r="W519" s="1">
        <v>1</v>
      </c>
      <c r="X519" s="1">
        <f t="shared" si="21"/>
        <v>1</v>
      </c>
      <c r="Y519" s="5" t="str">
        <f t="shared" si="19"/>
        <v>C</v>
      </c>
    </row>
    <row r="520" spans="2:25" x14ac:dyDescent="0.25">
      <c r="B520" s="11">
        <v>44943</v>
      </c>
      <c r="C520" s="7">
        <v>600004114027</v>
      </c>
      <c r="D520" s="5">
        <v>1</v>
      </c>
      <c r="E520" t="s">
        <v>862</v>
      </c>
      <c r="F520" t="s">
        <v>569</v>
      </c>
      <c r="G520" t="s">
        <v>674</v>
      </c>
      <c r="H520" t="s">
        <v>745</v>
      </c>
      <c r="I520" t="s">
        <v>795</v>
      </c>
      <c r="J520" s="27" t="s">
        <v>525</v>
      </c>
      <c r="K520" s="5" t="s">
        <v>140</v>
      </c>
      <c r="L520" s="1" t="s">
        <v>89</v>
      </c>
      <c r="M520" s="1" t="s">
        <v>57</v>
      </c>
      <c r="N520" s="1" t="s">
        <v>67</v>
      </c>
      <c r="O520" s="1" t="s">
        <v>176</v>
      </c>
      <c r="P520" s="9">
        <v>44943</v>
      </c>
      <c r="Q520" s="1" t="s">
        <v>479</v>
      </c>
      <c r="R520" s="1" t="s">
        <v>63</v>
      </c>
      <c r="S520" s="1">
        <v>2</v>
      </c>
      <c r="T520" s="12">
        <v>0.52083333333333337</v>
      </c>
      <c r="U520" s="12">
        <v>0.5625</v>
      </c>
      <c r="V520" s="1">
        <v>1</v>
      </c>
      <c r="W520" s="1">
        <v>1</v>
      </c>
      <c r="X520" s="1">
        <f t="shared" si="21"/>
        <v>2</v>
      </c>
      <c r="Y520" s="5" t="str">
        <f t="shared" si="19"/>
        <v>C</v>
      </c>
    </row>
    <row r="521" spans="2:25" x14ac:dyDescent="0.25">
      <c r="B521" s="11">
        <v>44943</v>
      </c>
      <c r="C521" s="7">
        <v>600004114063</v>
      </c>
      <c r="D521" s="5">
        <v>1</v>
      </c>
      <c r="E521" t="s">
        <v>511</v>
      </c>
      <c r="F521" t="s">
        <v>555</v>
      </c>
      <c r="G521" t="s">
        <v>660</v>
      </c>
      <c r="H521" t="s">
        <v>745</v>
      </c>
      <c r="I521" t="s">
        <v>781</v>
      </c>
      <c r="J521" s="27" t="s">
        <v>525</v>
      </c>
      <c r="K521" s="5" t="s">
        <v>15</v>
      </c>
      <c r="L521" s="1" t="s">
        <v>71</v>
      </c>
      <c r="M521" s="1" t="s">
        <v>60</v>
      </c>
      <c r="N521" s="1" t="s">
        <v>84</v>
      </c>
      <c r="O521" s="1" t="s">
        <v>176</v>
      </c>
      <c r="P521" s="9">
        <v>44945</v>
      </c>
      <c r="Q521" s="1" t="s">
        <v>479</v>
      </c>
      <c r="R521" s="1" t="s">
        <v>63</v>
      </c>
      <c r="S521" s="1">
        <v>2</v>
      </c>
      <c r="T521" s="12">
        <v>0.625</v>
      </c>
      <c r="U521" s="12">
        <v>0.66666666666666663</v>
      </c>
      <c r="V521" s="1">
        <v>1</v>
      </c>
      <c r="W521" s="1">
        <v>1</v>
      </c>
      <c r="X521" s="1">
        <f t="shared" si="21"/>
        <v>2</v>
      </c>
      <c r="Y521" s="5" t="str">
        <f t="shared" si="19"/>
        <v>C</v>
      </c>
    </row>
    <row r="522" spans="2:25" x14ac:dyDescent="0.25">
      <c r="B522" s="11">
        <v>44943</v>
      </c>
      <c r="C522" s="7">
        <v>600004114064</v>
      </c>
      <c r="D522" s="5">
        <v>1</v>
      </c>
      <c r="E522" t="s">
        <v>489</v>
      </c>
      <c r="F522" t="s">
        <v>533</v>
      </c>
      <c r="G522" t="s">
        <v>638</v>
      </c>
      <c r="H522" t="s">
        <v>745</v>
      </c>
      <c r="I522" t="s">
        <v>759</v>
      </c>
      <c r="J522" s="27" t="s">
        <v>525</v>
      </c>
      <c r="K522" s="5" t="s">
        <v>15</v>
      </c>
      <c r="L522" s="1" t="s">
        <v>71</v>
      </c>
      <c r="M522" s="1" t="s">
        <v>60</v>
      </c>
      <c r="N522" s="1" t="s">
        <v>194</v>
      </c>
      <c r="O522" s="1" t="s">
        <v>176</v>
      </c>
      <c r="P522" s="9">
        <v>44943</v>
      </c>
      <c r="Q522" s="1" t="s">
        <v>477</v>
      </c>
      <c r="R522" s="1" t="s">
        <v>63</v>
      </c>
      <c r="S522" s="1">
        <v>1</v>
      </c>
      <c r="T522" s="12">
        <v>0.52083333333333337</v>
      </c>
      <c r="U522" s="12">
        <v>0.5625</v>
      </c>
      <c r="V522" s="1">
        <v>1</v>
      </c>
      <c r="W522" s="1">
        <v>1</v>
      </c>
      <c r="X522" s="1">
        <f t="shared" si="21"/>
        <v>1</v>
      </c>
      <c r="Y522" s="5" t="str">
        <f t="shared" si="19"/>
        <v>C</v>
      </c>
    </row>
    <row r="523" spans="2:25" x14ac:dyDescent="0.25">
      <c r="B523" s="11">
        <v>44944</v>
      </c>
      <c r="C523" s="7">
        <v>600004114348</v>
      </c>
      <c r="D523" s="5">
        <v>1</v>
      </c>
      <c r="E523" t="s">
        <v>505</v>
      </c>
      <c r="F523" t="s">
        <v>549</v>
      </c>
      <c r="G523" t="s">
        <v>654</v>
      </c>
      <c r="H523" t="s">
        <v>745</v>
      </c>
      <c r="I523" t="s">
        <v>775</v>
      </c>
      <c r="J523" s="26" t="s">
        <v>525</v>
      </c>
      <c r="K523" s="5" t="s">
        <v>15</v>
      </c>
      <c r="L523" s="1" t="s">
        <v>16</v>
      </c>
      <c r="M523" s="1" t="s">
        <v>57</v>
      </c>
      <c r="N523" s="1" t="s">
        <v>67</v>
      </c>
      <c r="O523" s="1" t="s">
        <v>176</v>
      </c>
      <c r="P523" s="9">
        <v>44946</v>
      </c>
      <c r="Q523" s="1" t="s">
        <v>479</v>
      </c>
      <c r="R523" s="1" t="s">
        <v>63</v>
      </c>
      <c r="S523" s="1">
        <v>2</v>
      </c>
      <c r="T523" s="12">
        <v>0.41666666666666669</v>
      </c>
      <c r="U523" s="12">
        <v>0.45833333333333331</v>
      </c>
      <c r="V523" s="1">
        <v>1</v>
      </c>
      <c r="W523" s="1">
        <v>1</v>
      </c>
      <c r="X523" s="1">
        <f t="shared" si="21"/>
        <v>2</v>
      </c>
      <c r="Y523" s="5" t="str">
        <f t="shared" si="19"/>
        <v>C</v>
      </c>
    </row>
    <row r="524" spans="2:25" x14ac:dyDescent="0.25">
      <c r="B524" s="11">
        <v>44944</v>
      </c>
      <c r="C524" s="7">
        <v>600004114349</v>
      </c>
      <c r="D524" s="5">
        <v>1</v>
      </c>
      <c r="E524" t="s">
        <v>512</v>
      </c>
      <c r="F524" t="s">
        <v>556</v>
      </c>
      <c r="G524" t="s">
        <v>661</v>
      </c>
      <c r="H524" t="s">
        <v>745</v>
      </c>
      <c r="I524" t="s">
        <v>782</v>
      </c>
      <c r="J524" s="27" t="s">
        <v>525</v>
      </c>
      <c r="K524" s="5" t="s">
        <v>88</v>
      </c>
      <c r="L524" s="1" t="s">
        <v>89</v>
      </c>
      <c r="M524" s="1" t="s">
        <v>167</v>
      </c>
      <c r="N524" s="1" t="s">
        <v>253</v>
      </c>
      <c r="O524" s="1" t="s">
        <v>176</v>
      </c>
      <c r="P524" s="9">
        <v>44944</v>
      </c>
      <c r="Q524" s="1" t="s">
        <v>477</v>
      </c>
      <c r="R524" s="1" t="s">
        <v>63</v>
      </c>
      <c r="S524" s="1">
        <v>2</v>
      </c>
      <c r="T524" s="12">
        <v>0.54166666666666663</v>
      </c>
      <c r="U524" s="12">
        <v>0.5625</v>
      </c>
      <c r="V524" s="1">
        <v>0.5</v>
      </c>
      <c r="W524" s="1">
        <v>0.5</v>
      </c>
      <c r="X524" s="1">
        <f t="shared" si="21"/>
        <v>1</v>
      </c>
      <c r="Y524" s="5" t="str">
        <f t="shared" si="19"/>
        <v>C</v>
      </c>
    </row>
    <row r="525" spans="2:25" x14ac:dyDescent="0.25">
      <c r="B525" s="11">
        <v>44945</v>
      </c>
      <c r="C525" s="7">
        <v>600004114497</v>
      </c>
      <c r="D525" s="1">
        <v>1</v>
      </c>
      <c r="E525" t="s">
        <v>500</v>
      </c>
      <c r="F525" t="s">
        <v>544</v>
      </c>
      <c r="G525" t="s">
        <v>649</v>
      </c>
      <c r="H525" t="s">
        <v>745</v>
      </c>
      <c r="I525" t="s">
        <v>770</v>
      </c>
      <c r="J525" s="26" t="s">
        <v>525</v>
      </c>
      <c r="K525" s="1" t="s">
        <v>15</v>
      </c>
      <c r="L525" s="1" t="s">
        <v>71</v>
      </c>
      <c r="M525" s="1" t="s">
        <v>126</v>
      </c>
      <c r="N525" s="1" t="s">
        <v>116</v>
      </c>
      <c r="O525" s="1" t="s">
        <v>176</v>
      </c>
      <c r="P525" s="9">
        <v>44945</v>
      </c>
      <c r="Q525" s="1" t="s">
        <v>477</v>
      </c>
      <c r="R525" s="1" t="s">
        <v>63</v>
      </c>
      <c r="S525" s="1">
        <v>2</v>
      </c>
      <c r="T525" s="12">
        <v>0.41666666666666669</v>
      </c>
      <c r="U525" s="12">
        <v>0.45833333333333331</v>
      </c>
      <c r="V525" s="1">
        <v>1</v>
      </c>
      <c r="W525" s="1">
        <v>1</v>
      </c>
      <c r="X525" s="1">
        <f t="shared" si="21"/>
        <v>2</v>
      </c>
      <c r="Y525" s="5" t="str">
        <f t="shared" si="19"/>
        <v>C</v>
      </c>
    </row>
    <row r="526" spans="2:25" x14ac:dyDescent="0.25">
      <c r="B526" s="11">
        <v>44945</v>
      </c>
      <c r="C526" s="7">
        <v>600004114509</v>
      </c>
      <c r="D526" s="5">
        <v>1</v>
      </c>
      <c r="E526" t="s">
        <v>884</v>
      </c>
      <c r="F526" t="s">
        <v>590</v>
      </c>
      <c r="G526" t="s">
        <v>696</v>
      </c>
      <c r="H526" t="s">
        <v>745</v>
      </c>
      <c r="I526" t="s">
        <v>817</v>
      </c>
      <c r="J526" s="27" t="s">
        <v>525</v>
      </c>
      <c r="K526" s="5" t="s">
        <v>44</v>
      </c>
      <c r="L526" s="1" t="s">
        <v>79</v>
      </c>
      <c r="M526" s="1" t="s">
        <v>57</v>
      </c>
      <c r="N526" s="1" t="s">
        <v>341</v>
      </c>
      <c r="O526" s="1" t="s">
        <v>176</v>
      </c>
      <c r="P526" s="9">
        <v>44945</v>
      </c>
      <c r="Q526" s="1" t="s">
        <v>475</v>
      </c>
      <c r="R526" s="1" t="s">
        <v>50</v>
      </c>
      <c r="S526" s="1">
        <v>1</v>
      </c>
      <c r="T526" s="12">
        <v>0.33333333333333331</v>
      </c>
      <c r="U526" s="12">
        <v>0.375</v>
      </c>
      <c r="V526" s="1">
        <v>1</v>
      </c>
      <c r="W526" s="1">
        <v>1</v>
      </c>
      <c r="X526" s="1">
        <f t="shared" si="21"/>
        <v>1</v>
      </c>
      <c r="Y526" s="5" t="str">
        <f t="shared" si="19"/>
        <v>C</v>
      </c>
    </row>
    <row r="527" spans="2:25" x14ac:dyDescent="0.25">
      <c r="B527" s="11">
        <v>44945</v>
      </c>
      <c r="C527" s="7">
        <v>600004114496</v>
      </c>
      <c r="D527" s="1">
        <v>1</v>
      </c>
      <c r="E527" t="s">
        <v>865</v>
      </c>
      <c r="F527" t="s">
        <v>572</v>
      </c>
      <c r="G527" t="s">
        <v>677</v>
      </c>
      <c r="H527" t="s">
        <v>745</v>
      </c>
      <c r="I527" t="s">
        <v>798</v>
      </c>
      <c r="J527" s="26" t="s">
        <v>525</v>
      </c>
      <c r="K527" s="1" t="s">
        <v>168</v>
      </c>
      <c r="L527" s="1" t="s">
        <v>57</v>
      </c>
      <c r="M527" s="1" t="s">
        <v>342</v>
      </c>
      <c r="N527" s="1" t="s">
        <v>343</v>
      </c>
      <c r="O527" s="1" t="s">
        <v>176</v>
      </c>
      <c r="P527" s="9">
        <v>44945</v>
      </c>
      <c r="Q527" s="1" t="s">
        <v>477</v>
      </c>
      <c r="R527" s="1" t="s">
        <v>63</v>
      </c>
      <c r="S527" s="1">
        <v>4</v>
      </c>
      <c r="T527" s="12">
        <v>0.5</v>
      </c>
      <c r="U527" s="12">
        <v>0.625</v>
      </c>
      <c r="V527" s="1">
        <v>3</v>
      </c>
      <c r="W527" s="1">
        <v>3</v>
      </c>
      <c r="X527" s="1">
        <f t="shared" si="21"/>
        <v>12</v>
      </c>
      <c r="Y527" s="5" t="str">
        <f t="shared" si="19"/>
        <v>B</v>
      </c>
    </row>
    <row r="528" spans="2:25" x14ac:dyDescent="0.25">
      <c r="B528" s="11">
        <v>44946</v>
      </c>
      <c r="C528" s="7">
        <v>600004114650</v>
      </c>
      <c r="D528" s="5">
        <v>1</v>
      </c>
      <c r="E528" t="s">
        <v>872</v>
      </c>
      <c r="F528" t="s">
        <v>579</v>
      </c>
      <c r="G528" t="s">
        <v>684</v>
      </c>
      <c r="H528" t="s">
        <v>746</v>
      </c>
      <c r="I528" t="s">
        <v>805</v>
      </c>
      <c r="J528" s="27" t="s">
        <v>525</v>
      </c>
      <c r="K528" s="5" t="s">
        <v>76</v>
      </c>
      <c r="L528" s="1" t="s">
        <v>57</v>
      </c>
      <c r="M528" s="1" t="s">
        <v>349</v>
      </c>
      <c r="N528" s="1" t="s">
        <v>349</v>
      </c>
      <c r="O528" s="1" t="s">
        <v>176</v>
      </c>
      <c r="P528" s="9">
        <v>44946</v>
      </c>
      <c r="Q528" s="1" t="s">
        <v>475</v>
      </c>
      <c r="R528" s="1" t="s">
        <v>63</v>
      </c>
      <c r="S528" s="1">
        <v>1</v>
      </c>
      <c r="T528" s="12">
        <v>0.375</v>
      </c>
      <c r="U528" s="12">
        <v>0.39583333333333331</v>
      </c>
      <c r="V528" s="1">
        <v>0.5</v>
      </c>
      <c r="W528" s="1">
        <v>0.5</v>
      </c>
      <c r="X528" s="1">
        <f t="shared" si="21"/>
        <v>0.5</v>
      </c>
      <c r="Y528" s="5" t="str">
        <f t="shared" si="19"/>
        <v>C</v>
      </c>
    </row>
    <row r="529" spans="2:25" x14ac:dyDescent="0.25">
      <c r="B529" s="11">
        <v>44949</v>
      </c>
      <c r="C529" s="7">
        <v>600004115082</v>
      </c>
      <c r="D529" s="5">
        <v>1</v>
      </c>
      <c r="E529" t="s">
        <v>499</v>
      </c>
      <c r="F529" t="s">
        <v>543</v>
      </c>
      <c r="G529" t="s">
        <v>648</v>
      </c>
      <c r="H529" t="s">
        <v>745</v>
      </c>
      <c r="I529" t="s">
        <v>769</v>
      </c>
      <c r="J529" s="27" t="s">
        <v>525</v>
      </c>
      <c r="K529" s="5" t="s">
        <v>15</v>
      </c>
      <c r="L529" s="1" t="s">
        <v>121</v>
      </c>
      <c r="M529" s="1" t="s">
        <v>57</v>
      </c>
      <c r="N529" s="1" t="s">
        <v>134</v>
      </c>
      <c r="O529" s="1" t="s">
        <v>19</v>
      </c>
      <c r="P529" s="9">
        <v>44947</v>
      </c>
      <c r="Q529" s="1" t="s">
        <v>479</v>
      </c>
      <c r="R529" s="1" t="s">
        <v>63</v>
      </c>
      <c r="S529" s="1">
        <v>2</v>
      </c>
      <c r="T529" s="12">
        <v>0.375</v>
      </c>
      <c r="U529" s="12">
        <v>0.41666666666666669</v>
      </c>
      <c r="V529" s="1">
        <v>1</v>
      </c>
      <c r="W529" s="1">
        <v>1</v>
      </c>
      <c r="X529" s="1">
        <f t="shared" si="21"/>
        <v>2</v>
      </c>
      <c r="Y529" s="5" t="str">
        <f t="shared" si="19"/>
        <v>C</v>
      </c>
    </row>
    <row r="530" spans="2:25" x14ac:dyDescent="0.25">
      <c r="B530" s="11">
        <v>44950</v>
      </c>
      <c r="C530" s="7">
        <v>600004115316</v>
      </c>
      <c r="D530" s="5">
        <v>1</v>
      </c>
      <c r="E530" t="s">
        <v>884</v>
      </c>
      <c r="F530" t="s">
        <v>590</v>
      </c>
      <c r="G530" t="s">
        <v>696</v>
      </c>
      <c r="H530" t="s">
        <v>745</v>
      </c>
      <c r="I530" t="s">
        <v>817</v>
      </c>
      <c r="J530" s="27" t="s">
        <v>525</v>
      </c>
      <c r="K530" s="5" t="s">
        <v>44</v>
      </c>
      <c r="L530" s="1" t="s">
        <v>197</v>
      </c>
      <c r="M530" s="1" t="s">
        <v>348</v>
      </c>
      <c r="N530" s="1" t="s">
        <v>134</v>
      </c>
      <c r="O530" s="1" t="s">
        <v>19</v>
      </c>
      <c r="P530" s="9">
        <v>44950</v>
      </c>
      <c r="Q530" s="1" t="s">
        <v>479</v>
      </c>
      <c r="R530" s="1" t="s">
        <v>63</v>
      </c>
      <c r="S530" s="1">
        <v>2</v>
      </c>
      <c r="T530" s="12">
        <v>0.35416666666666669</v>
      </c>
      <c r="U530" s="12">
        <v>0.39583333333333331</v>
      </c>
      <c r="V530" s="1">
        <v>1</v>
      </c>
      <c r="W530" s="1">
        <v>1</v>
      </c>
      <c r="X530" s="1">
        <f t="shared" si="21"/>
        <v>2</v>
      </c>
      <c r="Y530" s="5" t="str">
        <f t="shared" si="19"/>
        <v>C</v>
      </c>
    </row>
    <row r="531" spans="2:25" x14ac:dyDescent="0.25">
      <c r="B531" s="11">
        <v>44951</v>
      </c>
      <c r="C531" s="7">
        <v>600004115502</v>
      </c>
      <c r="D531" s="5">
        <v>1</v>
      </c>
      <c r="E531" t="s">
        <v>885</v>
      </c>
      <c r="F531" t="s">
        <v>591</v>
      </c>
      <c r="G531" t="s">
        <v>697</v>
      </c>
      <c r="H531" t="s">
        <v>745</v>
      </c>
      <c r="I531" t="s">
        <v>818</v>
      </c>
      <c r="J531" s="27" t="s">
        <v>525</v>
      </c>
      <c r="K531" s="5" t="s">
        <v>15</v>
      </c>
      <c r="L531" s="1" t="s">
        <v>16</v>
      </c>
      <c r="M531" s="1" t="s">
        <v>137</v>
      </c>
      <c r="N531" s="1" t="s">
        <v>253</v>
      </c>
      <c r="O531" s="1" t="s">
        <v>19</v>
      </c>
      <c r="P531" s="9">
        <v>44951</v>
      </c>
      <c r="Q531" s="1" t="s">
        <v>477</v>
      </c>
      <c r="R531" s="1" t="s">
        <v>63</v>
      </c>
      <c r="S531" s="1">
        <v>2</v>
      </c>
      <c r="T531" s="12">
        <v>0.58333333333333337</v>
      </c>
      <c r="U531" s="12">
        <v>0.60416666666666663</v>
      </c>
      <c r="V531" s="1">
        <v>0.5</v>
      </c>
      <c r="W531" s="1">
        <v>0.5</v>
      </c>
      <c r="X531" s="1">
        <f t="shared" si="21"/>
        <v>1</v>
      </c>
      <c r="Y531" s="5" t="str">
        <f t="shared" si="19"/>
        <v>C</v>
      </c>
    </row>
    <row r="532" spans="2:25" x14ac:dyDescent="0.25">
      <c r="B532" s="11">
        <v>44951</v>
      </c>
      <c r="C532" s="7">
        <v>600004115513</v>
      </c>
      <c r="D532" s="5">
        <v>1</v>
      </c>
      <c r="E532" t="s">
        <v>489</v>
      </c>
      <c r="F532" t="s">
        <v>533</v>
      </c>
      <c r="G532" t="s">
        <v>638</v>
      </c>
      <c r="H532" t="s">
        <v>745</v>
      </c>
      <c r="I532" t="s">
        <v>759</v>
      </c>
      <c r="J532" s="27" t="s">
        <v>525</v>
      </c>
      <c r="K532" s="5" t="s">
        <v>15</v>
      </c>
      <c r="L532" s="1" t="s">
        <v>137</v>
      </c>
      <c r="M532" s="1" t="s">
        <v>65</v>
      </c>
      <c r="N532" s="1" t="s">
        <v>53</v>
      </c>
      <c r="O532" s="1" t="s">
        <v>19</v>
      </c>
      <c r="P532" s="9">
        <v>44951</v>
      </c>
      <c r="Q532" s="1" t="s">
        <v>479</v>
      </c>
      <c r="R532" s="1" t="s">
        <v>63</v>
      </c>
      <c r="S532" s="1">
        <v>2</v>
      </c>
      <c r="T532" s="12">
        <v>0.29166666666666669</v>
      </c>
      <c r="U532" s="12">
        <v>0.33333333333333331</v>
      </c>
      <c r="V532" s="1">
        <v>1</v>
      </c>
      <c r="W532" s="1">
        <v>1</v>
      </c>
      <c r="X532" s="1">
        <f t="shared" si="21"/>
        <v>2</v>
      </c>
      <c r="Y532" s="5" t="str">
        <f t="shared" si="19"/>
        <v>C</v>
      </c>
    </row>
    <row r="533" spans="2:25" x14ac:dyDescent="0.25">
      <c r="B533" s="11">
        <v>44952</v>
      </c>
      <c r="C533" s="7">
        <v>600004115785</v>
      </c>
      <c r="D533" s="5">
        <v>1</v>
      </c>
      <c r="E533" t="s">
        <v>500</v>
      </c>
      <c r="F533" t="s">
        <v>544</v>
      </c>
      <c r="G533" t="s">
        <v>649</v>
      </c>
      <c r="H533" t="s">
        <v>745</v>
      </c>
      <c r="I533" t="s">
        <v>770</v>
      </c>
      <c r="J533" s="26" t="s">
        <v>525</v>
      </c>
      <c r="K533" s="5" t="s">
        <v>15</v>
      </c>
      <c r="L533" s="1" t="s">
        <v>71</v>
      </c>
      <c r="M533" s="1" t="s">
        <v>302</v>
      </c>
      <c r="N533" s="1" t="s">
        <v>116</v>
      </c>
      <c r="O533" s="1" t="s">
        <v>19</v>
      </c>
      <c r="P533" s="9">
        <v>44952</v>
      </c>
      <c r="Q533" s="1" t="s">
        <v>477</v>
      </c>
      <c r="R533" s="1" t="s">
        <v>63</v>
      </c>
      <c r="S533" s="1">
        <v>2</v>
      </c>
      <c r="T533" s="12">
        <v>0.39583333333333331</v>
      </c>
      <c r="U533" s="12">
        <v>0.47916666666666669</v>
      </c>
      <c r="V533" s="1">
        <v>2</v>
      </c>
      <c r="W533" s="1">
        <v>2</v>
      </c>
      <c r="X533" s="1">
        <v>4</v>
      </c>
      <c r="Y533" s="5" t="str">
        <f t="shared" si="19"/>
        <v>C</v>
      </c>
    </row>
    <row r="534" spans="2:25" x14ac:dyDescent="0.25">
      <c r="B534" s="11">
        <v>44953</v>
      </c>
      <c r="C534" s="7">
        <v>600004116088</v>
      </c>
      <c r="D534" s="5">
        <v>1</v>
      </c>
      <c r="E534" t="s">
        <v>499</v>
      </c>
      <c r="F534" t="s">
        <v>543</v>
      </c>
      <c r="G534" t="s">
        <v>648</v>
      </c>
      <c r="H534" t="s">
        <v>745</v>
      </c>
      <c r="I534" t="s">
        <v>769</v>
      </c>
      <c r="J534" s="26" t="s">
        <v>525</v>
      </c>
      <c r="K534" s="5" t="s">
        <v>15</v>
      </c>
      <c r="L534" s="1" t="s">
        <v>137</v>
      </c>
      <c r="M534" s="1" t="s">
        <v>65</v>
      </c>
      <c r="N534" s="1" t="s">
        <v>53</v>
      </c>
      <c r="O534" s="1" t="s">
        <v>19</v>
      </c>
      <c r="P534" s="9">
        <v>44953</v>
      </c>
      <c r="Q534" s="1" t="s">
        <v>479</v>
      </c>
      <c r="R534" s="1" t="s">
        <v>63</v>
      </c>
      <c r="S534" s="1">
        <v>2</v>
      </c>
      <c r="T534" s="12">
        <v>0.375</v>
      </c>
      <c r="U534" s="12">
        <v>0.41666666666666669</v>
      </c>
      <c r="V534" s="1">
        <v>1</v>
      </c>
      <c r="W534" s="1">
        <v>1</v>
      </c>
      <c r="X534" s="1">
        <v>2</v>
      </c>
      <c r="Y534" s="5" t="s">
        <v>46</v>
      </c>
    </row>
    <row r="535" spans="2:25" x14ac:dyDescent="0.25">
      <c r="B535" s="11">
        <v>44960</v>
      </c>
      <c r="C535" s="7">
        <v>600004115195</v>
      </c>
      <c r="D535" s="5">
        <v>1</v>
      </c>
      <c r="E535" t="s">
        <v>511</v>
      </c>
      <c r="F535" t="s">
        <v>555</v>
      </c>
      <c r="G535" t="s">
        <v>660</v>
      </c>
      <c r="H535" t="s">
        <v>745</v>
      </c>
      <c r="I535" t="s">
        <v>781</v>
      </c>
      <c r="J535" s="26" t="s">
        <v>525</v>
      </c>
      <c r="K535" s="5" t="s">
        <v>15</v>
      </c>
      <c r="L535" s="1" t="s">
        <v>16</v>
      </c>
      <c r="M535" s="1" t="s">
        <v>65</v>
      </c>
      <c r="N535" s="1" t="s">
        <v>165</v>
      </c>
      <c r="O535" s="1" t="s">
        <v>176</v>
      </c>
      <c r="P535" s="9">
        <v>44963</v>
      </c>
      <c r="Q535" s="1" t="s">
        <v>474</v>
      </c>
      <c r="R535" s="1" t="s">
        <v>63</v>
      </c>
      <c r="S535" s="1">
        <v>2</v>
      </c>
      <c r="T535" s="12">
        <v>0.25</v>
      </c>
      <c r="U535" s="12">
        <v>0.58333333333333337</v>
      </c>
      <c r="V535" s="1">
        <v>8</v>
      </c>
      <c r="W535" s="1">
        <v>8</v>
      </c>
      <c r="X535" s="1">
        <v>16</v>
      </c>
      <c r="Y535" s="5" t="s">
        <v>98</v>
      </c>
    </row>
    <row r="536" spans="2:25" x14ac:dyDescent="0.25">
      <c r="B536" s="11">
        <v>44960</v>
      </c>
      <c r="C536" s="7">
        <v>600004117872</v>
      </c>
      <c r="D536" s="5">
        <v>1</v>
      </c>
      <c r="E536" t="s">
        <v>486</v>
      </c>
      <c r="F536" t="s">
        <v>530</v>
      </c>
      <c r="G536" t="s">
        <v>635</v>
      </c>
      <c r="H536" t="s">
        <v>740</v>
      </c>
      <c r="I536" t="s">
        <v>756</v>
      </c>
      <c r="J536" s="27" t="s">
        <v>525</v>
      </c>
      <c r="K536" s="5" t="s">
        <v>69</v>
      </c>
      <c r="L536" s="1" t="s">
        <v>16</v>
      </c>
      <c r="M536" s="1" t="s">
        <v>250</v>
      </c>
      <c r="N536" s="1" t="s">
        <v>219</v>
      </c>
      <c r="O536" s="1" t="s">
        <v>19</v>
      </c>
      <c r="P536" s="9">
        <v>44960</v>
      </c>
      <c r="Q536" s="1" t="s">
        <v>474</v>
      </c>
      <c r="R536" s="1" t="s">
        <v>63</v>
      </c>
      <c r="S536" s="1">
        <v>1</v>
      </c>
      <c r="T536" s="12">
        <v>0.25</v>
      </c>
      <c r="U536" s="12">
        <v>0.375</v>
      </c>
      <c r="V536" s="1">
        <v>3</v>
      </c>
      <c r="W536" s="1">
        <v>3</v>
      </c>
      <c r="X536" s="1">
        <v>3</v>
      </c>
      <c r="Y536" s="5" t="s">
        <v>98</v>
      </c>
    </row>
    <row r="537" spans="2:25" x14ac:dyDescent="0.25">
      <c r="B537" s="11">
        <v>44960</v>
      </c>
      <c r="C537" s="7">
        <v>600004117915</v>
      </c>
      <c r="D537" s="5">
        <v>1</v>
      </c>
      <c r="E537" t="s">
        <v>497</v>
      </c>
      <c r="F537" t="s">
        <v>541</v>
      </c>
      <c r="G537" t="s">
        <v>646</v>
      </c>
      <c r="H537" t="s">
        <v>746</v>
      </c>
      <c r="I537" t="s">
        <v>767</v>
      </c>
      <c r="J537" s="27" t="s">
        <v>525</v>
      </c>
      <c r="K537" s="5" t="s">
        <v>76</v>
      </c>
      <c r="L537" s="1" t="s">
        <v>79</v>
      </c>
      <c r="M537" s="1" t="s">
        <v>128</v>
      </c>
      <c r="N537" s="1" t="s">
        <v>256</v>
      </c>
      <c r="O537" s="1" t="s">
        <v>176</v>
      </c>
      <c r="P537" s="9">
        <v>44960</v>
      </c>
      <c r="Q537" s="1" t="s">
        <v>478</v>
      </c>
      <c r="R537" s="1" t="s">
        <v>50</v>
      </c>
      <c r="S537" s="1">
        <v>3</v>
      </c>
      <c r="T537" s="12">
        <v>0.27083333333333331</v>
      </c>
      <c r="U537" s="12">
        <v>0.60416666666666663</v>
      </c>
      <c r="V537" s="1">
        <v>8</v>
      </c>
      <c r="W537" s="1">
        <v>8</v>
      </c>
      <c r="X537" s="1">
        <v>24</v>
      </c>
      <c r="Y537" s="5" t="s">
        <v>98</v>
      </c>
    </row>
    <row r="538" spans="2:25" x14ac:dyDescent="0.25">
      <c r="B538" s="11">
        <v>44961</v>
      </c>
      <c r="C538" s="7">
        <v>600004118049</v>
      </c>
      <c r="D538" s="5">
        <v>1</v>
      </c>
      <c r="E538" t="s">
        <v>907</v>
      </c>
      <c r="F538" t="s">
        <v>612</v>
      </c>
      <c r="G538" t="s">
        <v>719</v>
      </c>
      <c r="H538" t="s">
        <v>746</v>
      </c>
      <c r="I538" t="s">
        <v>840</v>
      </c>
      <c r="J538" s="26" t="s">
        <v>525</v>
      </c>
      <c r="K538" s="5" t="s">
        <v>357</v>
      </c>
      <c r="L538" s="1" t="s">
        <v>358</v>
      </c>
      <c r="M538" s="1" t="s">
        <v>359</v>
      </c>
      <c r="N538" s="1" t="s">
        <v>360</v>
      </c>
      <c r="O538" s="1" t="s">
        <v>176</v>
      </c>
      <c r="P538" s="9">
        <v>44963</v>
      </c>
      <c r="Q538" s="1" t="s">
        <v>472</v>
      </c>
      <c r="R538" s="1" t="s">
        <v>20</v>
      </c>
      <c r="S538" s="1">
        <v>1</v>
      </c>
      <c r="T538" s="12">
        <v>0.29166666666666669</v>
      </c>
      <c r="U538" s="12">
        <v>0.58333333333333337</v>
      </c>
      <c r="V538" s="1">
        <v>7</v>
      </c>
      <c r="W538" s="1">
        <v>7</v>
      </c>
      <c r="X538" s="1">
        <v>7</v>
      </c>
      <c r="Y538" s="5" t="s">
        <v>98</v>
      </c>
    </row>
    <row r="539" spans="2:25" x14ac:dyDescent="0.25">
      <c r="B539" s="11">
        <v>44966</v>
      </c>
      <c r="C539" s="7">
        <v>600004119137</v>
      </c>
      <c r="D539" s="5">
        <v>1</v>
      </c>
      <c r="E539" t="s">
        <v>505</v>
      </c>
      <c r="F539" t="s">
        <v>549</v>
      </c>
      <c r="G539" t="s">
        <v>654</v>
      </c>
      <c r="H539" t="s">
        <v>745</v>
      </c>
      <c r="I539" t="s">
        <v>775</v>
      </c>
      <c r="J539" s="26" t="s">
        <v>525</v>
      </c>
      <c r="K539" s="5" t="s">
        <v>15</v>
      </c>
      <c r="L539" s="1" t="s">
        <v>16</v>
      </c>
      <c r="M539" s="1" t="s">
        <v>65</v>
      </c>
      <c r="N539" s="1" t="s">
        <v>53</v>
      </c>
      <c r="O539" s="1" t="s">
        <v>176</v>
      </c>
      <c r="P539" s="9">
        <v>44966</v>
      </c>
      <c r="Q539" s="1" t="s">
        <v>474</v>
      </c>
      <c r="R539" s="1" t="s">
        <v>63</v>
      </c>
      <c r="S539" s="1">
        <v>2</v>
      </c>
      <c r="T539" s="12">
        <v>0.29166666666666669</v>
      </c>
      <c r="U539" s="12">
        <v>0.52083333333333337</v>
      </c>
      <c r="V539" s="1">
        <v>5.5</v>
      </c>
      <c r="W539" s="1">
        <v>5.5</v>
      </c>
      <c r="X539" s="1">
        <v>11</v>
      </c>
      <c r="Y539" s="5" t="s">
        <v>98</v>
      </c>
    </row>
    <row r="540" spans="2:25" x14ac:dyDescent="0.25">
      <c r="B540" s="11">
        <v>44966</v>
      </c>
      <c r="C540" s="7">
        <v>600004119135</v>
      </c>
      <c r="D540" s="5">
        <v>1</v>
      </c>
      <c r="E540" t="s">
        <v>908</v>
      </c>
      <c r="F540" t="s">
        <v>613</v>
      </c>
      <c r="G540" t="s">
        <v>720</v>
      </c>
      <c r="H540" t="s">
        <v>749</v>
      </c>
      <c r="I540" t="s">
        <v>841</v>
      </c>
      <c r="J540" s="27" t="s">
        <v>524</v>
      </c>
      <c r="K540" s="5" t="s">
        <v>78</v>
      </c>
      <c r="L540" s="1" t="s">
        <v>57</v>
      </c>
      <c r="M540" s="1" t="s">
        <v>78</v>
      </c>
      <c r="N540" s="1" t="s">
        <v>362</v>
      </c>
      <c r="O540" s="1" t="s">
        <v>19</v>
      </c>
      <c r="P540" s="9">
        <v>44974</v>
      </c>
      <c r="Q540" s="1" t="s">
        <v>473</v>
      </c>
      <c r="R540" s="1" t="s">
        <v>63</v>
      </c>
      <c r="S540" s="1">
        <v>1</v>
      </c>
      <c r="T540" s="12">
        <v>0.25</v>
      </c>
      <c r="U540" s="12">
        <v>0.45833333333333331</v>
      </c>
      <c r="V540" s="1">
        <v>5</v>
      </c>
      <c r="W540" s="1">
        <v>5</v>
      </c>
      <c r="X540" s="1">
        <v>5</v>
      </c>
      <c r="Y540" s="5" t="s">
        <v>98</v>
      </c>
    </row>
    <row r="541" spans="2:25" x14ac:dyDescent="0.25">
      <c r="B541" s="11">
        <v>44968</v>
      </c>
      <c r="C541" s="7">
        <v>600004119621</v>
      </c>
      <c r="D541" s="5">
        <v>1</v>
      </c>
      <c r="E541" t="s">
        <v>517</v>
      </c>
      <c r="F541" t="s">
        <v>561</v>
      </c>
      <c r="G541" t="s">
        <v>666</v>
      </c>
      <c r="H541" t="s">
        <v>745</v>
      </c>
      <c r="I541" t="s">
        <v>787</v>
      </c>
      <c r="J541" s="27" t="s">
        <v>525</v>
      </c>
      <c r="K541" s="5" t="s">
        <v>15</v>
      </c>
      <c r="L541" s="1" t="s">
        <v>79</v>
      </c>
      <c r="M541" s="1" t="s">
        <v>57</v>
      </c>
      <c r="N541" s="1" t="s">
        <v>133</v>
      </c>
      <c r="O541" s="1" t="s">
        <v>176</v>
      </c>
      <c r="P541" s="9">
        <v>44969</v>
      </c>
      <c r="Q541" s="1" t="s">
        <v>478</v>
      </c>
      <c r="R541" s="1" t="s">
        <v>50</v>
      </c>
      <c r="S541" s="1">
        <v>2</v>
      </c>
      <c r="T541" s="12">
        <v>0.29166666666666669</v>
      </c>
      <c r="U541" s="12">
        <v>0.41666666666666669</v>
      </c>
      <c r="V541" s="1">
        <v>3</v>
      </c>
      <c r="W541" s="1">
        <v>3</v>
      </c>
      <c r="X541" s="1">
        <v>6</v>
      </c>
      <c r="Y541" s="5" t="s">
        <v>98</v>
      </c>
    </row>
    <row r="542" spans="2:25" x14ac:dyDescent="0.25">
      <c r="B542" s="11">
        <v>44968</v>
      </c>
      <c r="C542" s="7">
        <v>600004119622</v>
      </c>
      <c r="D542" s="4">
        <v>1</v>
      </c>
      <c r="E542" t="s">
        <v>496</v>
      </c>
      <c r="F542" t="s">
        <v>540</v>
      </c>
      <c r="G542" t="s">
        <v>645</v>
      </c>
      <c r="H542" t="s">
        <v>745</v>
      </c>
      <c r="I542" t="s">
        <v>766</v>
      </c>
      <c r="J542" s="29" t="s">
        <v>525</v>
      </c>
      <c r="K542" s="4" t="s">
        <v>15</v>
      </c>
      <c r="L542" s="1" t="s">
        <v>79</v>
      </c>
      <c r="M542" s="1" t="s">
        <v>57</v>
      </c>
      <c r="N542" s="1" t="s">
        <v>133</v>
      </c>
      <c r="O542" s="1" t="s">
        <v>176</v>
      </c>
      <c r="P542" s="9">
        <v>44969</v>
      </c>
      <c r="Q542" s="1" t="s">
        <v>478</v>
      </c>
      <c r="R542" s="1" t="s">
        <v>50</v>
      </c>
      <c r="S542" s="1">
        <v>2</v>
      </c>
      <c r="T542" s="12">
        <v>0.41666666666666669</v>
      </c>
      <c r="U542" s="12">
        <v>0.54166666666666663</v>
      </c>
      <c r="V542" s="1">
        <v>3</v>
      </c>
      <c r="W542" s="1">
        <v>3</v>
      </c>
      <c r="X542" s="1">
        <v>6</v>
      </c>
      <c r="Y542" s="5" t="s">
        <v>98</v>
      </c>
    </row>
    <row r="543" spans="2:25" x14ac:dyDescent="0.25">
      <c r="B543" s="11">
        <v>44970</v>
      </c>
      <c r="C543" s="7">
        <v>600004120043</v>
      </c>
      <c r="D543" s="5">
        <v>1</v>
      </c>
      <c r="E543" t="s">
        <v>909</v>
      </c>
      <c r="F543" t="s">
        <v>614</v>
      </c>
      <c r="G543" t="s">
        <v>721</v>
      </c>
      <c r="H543" t="s">
        <v>741</v>
      </c>
      <c r="I543" t="s">
        <v>842</v>
      </c>
      <c r="J543" s="27" t="s">
        <v>524</v>
      </c>
      <c r="K543" s="5" t="s">
        <v>90</v>
      </c>
      <c r="L543" s="1" t="s">
        <v>79</v>
      </c>
      <c r="M543" s="1" t="s">
        <v>57</v>
      </c>
      <c r="N543" s="1" t="s">
        <v>146</v>
      </c>
      <c r="O543" s="1" t="s">
        <v>176</v>
      </c>
      <c r="P543" s="9">
        <v>44970</v>
      </c>
      <c r="Q543" s="1" t="s">
        <v>478</v>
      </c>
      <c r="R543" s="1" t="s">
        <v>50</v>
      </c>
      <c r="S543" s="1">
        <v>2</v>
      </c>
      <c r="T543" s="12">
        <v>0.52083333333333337</v>
      </c>
      <c r="U543" s="12">
        <v>0.58333333333333337</v>
      </c>
      <c r="V543" s="1">
        <v>1.5</v>
      </c>
      <c r="W543" s="1">
        <v>1.5</v>
      </c>
      <c r="X543" s="1">
        <v>3</v>
      </c>
      <c r="Y543" s="5" t="s">
        <v>46</v>
      </c>
    </row>
    <row r="544" spans="2:25" x14ac:dyDescent="0.25">
      <c r="B544" s="11">
        <v>44979</v>
      </c>
      <c r="C544" s="7">
        <v>600004122226</v>
      </c>
      <c r="D544" s="5">
        <v>1</v>
      </c>
      <c r="E544" t="s">
        <v>885</v>
      </c>
      <c r="F544" t="s">
        <v>591</v>
      </c>
      <c r="G544" t="s">
        <v>697</v>
      </c>
      <c r="H544" t="s">
        <v>745</v>
      </c>
      <c r="I544" t="s">
        <v>818</v>
      </c>
      <c r="J544" s="27" t="s">
        <v>525</v>
      </c>
      <c r="K544" s="5" t="s">
        <v>15</v>
      </c>
      <c r="L544" s="1" t="s">
        <v>137</v>
      </c>
      <c r="M544" s="1" t="s">
        <v>52</v>
      </c>
      <c r="N544" s="1" t="s">
        <v>53</v>
      </c>
      <c r="O544" s="1" t="s">
        <v>176</v>
      </c>
      <c r="P544" s="9">
        <v>44979</v>
      </c>
      <c r="Q544" s="1" t="s">
        <v>476</v>
      </c>
      <c r="R544" s="1" t="s">
        <v>63</v>
      </c>
      <c r="S544" s="1">
        <v>3</v>
      </c>
      <c r="T544" s="12">
        <v>0.33333333333333331</v>
      </c>
      <c r="U544" s="12">
        <v>0.375</v>
      </c>
      <c r="V544" s="1">
        <v>1</v>
      </c>
      <c r="W544" s="1">
        <v>1</v>
      </c>
      <c r="X544" s="1">
        <v>3</v>
      </c>
      <c r="Y544" s="5" t="s">
        <v>46</v>
      </c>
    </row>
    <row r="545" spans="2:25" x14ac:dyDescent="0.25">
      <c r="B545" s="11">
        <v>44979</v>
      </c>
      <c r="C545" s="7">
        <v>600004122228</v>
      </c>
      <c r="D545" s="5">
        <v>1</v>
      </c>
      <c r="E545" t="s">
        <v>896</v>
      </c>
      <c r="F545" t="s">
        <v>601</v>
      </c>
      <c r="G545" t="s">
        <v>708</v>
      </c>
      <c r="H545" t="s">
        <v>743</v>
      </c>
      <c r="I545" t="s">
        <v>829</v>
      </c>
      <c r="J545" s="27" t="s">
        <v>525</v>
      </c>
      <c r="K545" s="5" t="s">
        <v>122</v>
      </c>
      <c r="L545" s="1" t="s">
        <v>36</v>
      </c>
      <c r="M545" s="1" t="s">
        <v>173</v>
      </c>
      <c r="N545" s="1" t="s">
        <v>184</v>
      </c>
      <c r="O545" s="1" t="s">
        <v>176</v>
      </c>
      <c r="P545" s="9">
        <v>44979</v>
      </c>
      <c r="Q545" s="1" t="s">
        <v>476</v>
      </c>
      <c r="R545" s="1" t="s">
        <v>63</v>
      </c>
      <c r="S545" s="1">
        <v>3</v>
      </c>
      <c r="T545" s="12">
        <v>0.39583333333333331</v>
      </c>
      <c r="U545" s="12">
        <v>0.45833333333333331</v>
      </c>
      <c r="V545" s="1">
        <v>1.5</v>
      </c>
      <c r="W545" s="1">
        <v>1.5</v>
      </c>
      <c r="X545" s="1">
        <v>4.5</v>
      </c>
      <c r="Y545" s="5" t="s">
        <v>46</v>
      </c>
    </row>
    <row r="546" spans="2:25" x14ac:dyDescent="0.25">
      <c r="B546" s="11">
        <v>44980</v>
      </c>
      <c r="C546" s="7">
        <v>600004122441</v>
      </c>
      <c r="D546" s="5">
        <v>1</v>
      </c>
      <c r="E546" t="s">
        <v>910</v>
      </c>
      <c r="F546" t="s">
        <v>615</v>
      </c>
      <c r="G546" t="s">
        <v>722</v>
      </c>
      <c r="H546" t="s">
        <v>750</v>
      </c>
      <c r="I546" t="s">
        <v>843</v>
      </c>
      <c r="J546" s="27" t="s">
        <v>525</v>
      </c>
      <c r="K546" s="5" t="s">
        <v>15</v>
      </c>
      <c r="L546" s="1" t="s">
        <v>57</v>
      </c>
      <c r="M546" s="1" t="s">
        <v>121</v>
      </c>
      <c r="N546" s="1" t="s">
        <v>361</v>
      </c>
      <c r="O546" s="1" t="s">
        <v>176</v>
      </c>
      <c r="P546" s="9">
        <v>44980</v>
      </c>
      <c r="Q546" s="1" t="s">
        <v>478</v>
      </c>
      <c r="R546" s="1" t="s">
        <v>50</v>
      </c>
      <c r="S546" s="1">
        <v>1</v>
      </c>
      <c r="T546" s="12">
        <v>0.29166666666666669</v>
      </c>
      <c r="U546" s="12">
        <v>0.47916666666666669</v>
      </c>
      <c r="V546" s="1">
        <v>4.5</v>
      </c>
      <c r="W546" s="1">
        <v>4.5</v>
      </c>
      <c r="X546" s="1">
        <v>4.5</v>
      </c>
      <c r="Y546" s="5" t="s">
        <v>98</v>
      </c>
    </row>
    <row r="547" spans="2:25" x14ac:dyDescent="0.25">
      <c r="B547" s="11">
        <v>44981</v>
      </c>
      <c r="C547" s="7">
        <v>600004122798</v>
      </c>
      <c r="D547" s="5">
        <v>1</v>
      </c>
      <c r="E547" t="s">
        <v>885</v>
      </c>
      <c r="F547" t="s">
        <v>591</v>
      </c>
      <c r="G547" t="s">
        <v>697</v>
      </c>
      <c r="H547" t="s">
        <v>745</v>
      </c>
      <c r="I547" t="s">
        <v>818</v>
      </c>
      <c r="J547" s="26" t="s">
        <v>525</v>
      </c>
      <c r="K547" s="5" t="s">
        <v>15</v>
      </c>
      <c r="L547" s="1" t="s">
        <v>16</v>
      </c>
      <c r="M547" s="1" t="s">
        <v>126</v>
      </c>
      <c r="N547" s="1" t="s">
        <v>53</v>
      </c>
      <c r="O547" s="1" t="s">
        <v>176</v>
      </c>
      <c r="P547" s="9">
        <v>44981</v>
      </c>
      <c r="Q547" s="1" t="s">
        <v>478</v>
      </c>
      <c r="R547" s="1" t="s">
        <v>63</v>
      </c>
      <c r="S547" s="1">
        <v>2</v>
      </c>
      <c r="T547" s="12">
        <v>0.41666666666666669</v>
      </c>
      <c r="U547" s="12">
        <v>0.625</v>
      </c>
      <c r="V547" s="1">
        <v>5</v>
      </c>
      <c r="W547" s="1">
        <v>5</v>
      </c>
      <c r="X547" s="1">
        <v>10</v>
      </c>
      <c r="Y547" s="5" t="s">
        <v>98</v>
      </c>
    </row>
    <row r="548" spans="2:25" x14ac:dyDescent="0.25">
      <c r="B548" s="11">
        <v>44984</v>
      </c>
      <c r="C548" s="7">
        <v>600004123531</v>
      </c>
      <c r="D548" s="5">
        <v>1</v>
      </c>
      <c r="E548" t="s">
        <v>507</v>
      </c>
      <c r="F548" t="s">
        <v>551</v>
      </c>
      <c r="G548" t="s">
        <v>656</v>
      </c>
      <c r="H548" t="s">
        <v>745</v>
      </c>
      <c r="I548" t="s">
        <v>777</v>
      </c>
      <c r="J548" s="26" t="s">
        <v>525</v>
      </c>
      <c r="K548" s="5" t="s">
        <v>15</v>
      </c>
      <c r="L548" s="1" t="s">
        <v>71</v>
      </c>
      <c r="M548" s="1" t="s">
        <v>336</v>
      </c>
      <c r="N548" s="1" t="s">
        <v>120</v>
      </c>
      <c r="O548" s="1" t="s">
        <v>19</v>
      </c>
      <c r="P548" s="9">
        <v>44984</v>
      </c>
      <c r="Q548" s="1" t="s">
        <v>479</v>
      </c>
      <c r="R548" s="1" t="s">
        <v>63</v>
      </c>
      <c r="S548" s="1">
        <v>2</v>
      </c>
      <c r="T548" s="12">
        <v>0.4375</v>
      </c>
      <c r="U548" s="12">
        <v>0.47916666666666669</v>
      </c>
      <c r="V548" s="1">
        <v>1</v>
      </c>
      <c r="W548" s="1">
        <v>1</v>
      </c>
      <c r="X548" s="1">
        <v>2</v>
      </c>
      <c r="Y548" s="5" t="s">
        <v>46</v>
      </c>
    </row>
    <row r="549" spans="2:25" x14ac:dyDescent="0.25">
      <c r="B549" s="11">
        <v>44984</v>
      </c>
      <c r="C549" s="7">
        <v>600004123533</v>
      </c>
      <c r="D549" s="5">
        <v>1</v>
      </c>
      <c r="E549" t="s">
        <v>866</v>
      </c>
      <c r="F549" t="s">
        <v>573</v>
      </c>
      <c r="G549" t="s">
        <v>678</v>
      </c>
      <c r="H549" t="s">
        <v>745</v>
      </c>
      <c r="I549" t="s">
        <v>799</v>
      </c>
      <c r="J549" s="26" t="s">
        <v>525</v>
      </c>
      <c r="K549" s="5" t="s">
        <v>15</v>
      </c>
      <c r="L549" s="1" t="s">
        <v>148</v>
      </c>
      <c r="M549" s="1" t="s">
        <v>197</v>
      </c>
      <c r="N549" s="1" t="s">
        <v>324</v>
      </c>
      <c r="O549" s="1" t="s">
        <v>19</v>
      </c>
      <c r="P549" s="9">
        <v>44987</v>
      </c>
      <c r="Q549" s="1" t="s">
        <v>476</v>
      </c>
      <c r="R549" s="1" t="s">
        <v>63</v>
      </c>
      <c r="S549" s="1">
        <v>1</v>
      </c>
      <c r="T549" s="12">
        <v>0.52083333333333337</v>
      </c>
      <c r="U549" s="12">
        <v>0.5625</v>
      </c>
      <c r="V549" s="1">
        <v>1</v>
      </c>
      <c r="W549" s="1">
        <v>1</v>
      </c>
      <c r="X549" s="1">
        <v>1</v>
      </c>
      <c r="Y549" s="5" t="s">
        <v>46</v>
      </c>
    </row>
    <row r="550" spans="2:25" x14ac:dyDescent="0.25">
      <c r="B550" s="11">
        <v>44986</v>
      </c>
      <c r="C550" s="7">
        <v>600004124235</v>
      </c>
      <c r="D550" s="5">
        <v>1</v>
      </c>
      <c r="E550" t="s">
        <v>512</v>
      </c>
      <c r="F550" t="s">
        <v>556</v>
      </c>
      <c r="G550" t="s">
        <v>661</v>
      </c>
      <c r="H550" t="s">
        <v>745</v>
      </c>
      <c r="I550" t="s">
        <v>782</v>
      </c>
      <c r="J550" s="27" t="s">
        <v>525</v>
      </c>
      <c r="K550" s="5" t="s">
        <v>88</v>
      </c>
      <c r="L550" s="1" t="s">
        <v>279</v>
      </c>
      <c r="M550" s="1" t="s">
        <v>363</v>
      </c>
      <c r="N550" s="1" t="s">
        <v>364</v>
      </c>
      <c r="O550" s="1" t="s">
        <v>19</v>
      </c>
      <c r="P550" s="9">
        <v>44986</v>
      </c>
      <c r="Q550" s="1" t="s">
        <v>479</v>
      </c>
      <c r="R550" s="1" t="s">
        <v>63</v>
      </c>
      <c r="S550" s="1">
        <v>2</v>
      </c>
      <c r="T550" s="12">
        <v>0.39583333333333331</v>
      </c>
      <c r="U550" s="12">
        <v>0.4375</v>
      </c>
      <c r="V550" s="1">
        <v>1</v>
      </c>
      <c r="W550" s="1">
        <v>1</v>
      </c>
      <c r="X550" s="1">
        <v>2</v>
      </c>
      <c r="Y550" s="5" t="s">
        <v>46</v>
      </c>
    </row>
    <row r="551" spans="2:25" x14ac:dyDescent="0.25">
      <c r="B551" s="11">
        <v>44986</v>
      </c>
      <c r="C551" s="7">
        <v>600004124228</v>
      </c>
      <c r="D551" s="5">
        <v>1</v>
      </c>
      <c r="E551" t="s">
        <v>864</v>
      </c>
      <c r="F551" t="s">
        <v>571</v>
      </c>
      <c r="G551" t="s">
        <v>676</v>
      </c>
      <c r="H551" t="s">
        <v>745</v>
      </c>
      <c r="I551" t="s">
        <v>797</v>
      </c>
      <c r="J551" s="27" t="s">
        <v>525</v>
      </c>
      <c r="K551" s="5" t="s">
        <v>15</v>
      </c>
      <c r="L551" s="1" t="s">
        <v>60</v>
      </c>
      <c r="M551" s="1" t="s">
        <v>62</v>
      </c>
      <c r="N551" s="1" t="s">
        <v>317</v>
      </c>
      <c r="O551" s="1" t="s">
        <v>19</v>
      </c>
      <c r="P551" s="9">
        <v>44986</v>
      </c>
      <c r="Q551" s="1" t="s">
        <v>475</v>
      </c>
      <c r="R551" s="1" t="s">
        <v>50</v>
      </c>
      <c r="S551" s="15">
        <v>1</v>
      </c>
      <c r="T551" s="12">
        <v>0.29166666666666669</v>
      </c>
      <c r="U551" s="12">
        <v>0.375</v>
      </c>
      <c r="V551" s="1">
        <v>2</v>
      </c>
      <c r="W551" s="1">
        <v>2</v>
      </c>
      <c r="X551" s="1">
        <v>2</v>
      </c>
      <c r="Y551" s="5" t="s">
        <v>46</v>
      </c>
    </row>
    <row r="552" spans="2:25" x14ac:dyDescent="0.25">
      <c r="B552" s="11">
        <v>44986</v>
      </c>
      <c r="C552" s="7">
        <v>600004124280</v>
      </c>
      <c r="D552" s="5">
        <v>1</v>
      </c>
      <c r="E552" t="s">
        <v>512</v>
      </c>
      <c r="F552" t="s">
        <v>556</v>
      </c>
      <c r="G552" t="s">
        <v>661</v>
      </c>
      <c r="H552" t="s">
        <v>745</v>
      </c>
      <c r="I552" t="s">
        <v>782</v>
      </c>
      <c r="J552" s="27" t="s">
        <v>525</v>
      </c>
      <c r="K552" s="5" t="s">
        <v>88</v>
      </c>
      <c r="L552" s="1" t="s">
        <v>57</v>
      </c>
      <c r="M552" s="1" t="s">
        <v>367</v>
      </c>
      <c r="N552" s="1" t="s">
        <v>136</v>
      </c>
      <c r="O552" s="1" t="s">
        <v>19</v>
      </c>
      <c r="P552" s="9">
        <v>44987</v>
      </c>
      <c r="Q552" s="1" t="s">
        <v>476</v>
      </c>
      <c r="R552" s="1" t="s">
        <v>63</v>
      </c>
      <c r="S552" s="1">
        <v>1</v>
      </c>
      <c r="T552" s="12">
        <v>0.3125</v>
      </c>
      <c r="U552" s="12">
        <v>0.35416666666666669</v>
      </c>
      <c r="V552" s="1">
        <v>1</v>
      </c>
      <c r="W552" s="1">
        <v>1</v>
      </c>
      <c r="X552" s="1">
        <v>1</v>
      </c>
      <c r="Y552" s="5" t="s">
        <v>46</v>
      </c>
    </row>
    <row r="553" spans="2:25" x14ac:dyDescent="0.25">
      <c r="B553" s="11">
        <v>44987</v>
      </c>
      <c r="C553" s="7">
        <v>600004124468</v>
      </c>
      <c r="D553" s="5">
        <v>1</v>
      </c>
      <c r="E553" t="s">
        <v>497</v>
      </c>
      <c r="F553" t="s">
        <v>541</v>
      </c>
      <c r="G553" t="s">
        <v>646</v>
      </c>
      <c r="H553" t="s">
        <v>746</v>
      </c>
      <c r="I553" t="s">
        <v>767</v>
      </c>
      <c r="J553" s="27" t="s">
        <v>525</v>
      </c>
      <c r="K553" s="5" t="s">
        <v>76</v>
      </c>
      <c r="L553" s="1" t="s">
        <v>365</v>
      </c>
      <c r="M553" s="1" t="s">
        <v>366</v>
      </c>
      <c r="N553" s="1" t="s">
        <v>59</v>
      </c>
      <c r="O553" s="1" t="s">
        <v>19</v>
      </c>
      <c r="P553" s="9">
        <v>44987</v>
      </c>
      <c r="Q553" s="1" t="s">
        <v>479</v>
      </c>
      <c r="R553" s="1" t="s">
        <v>63</v>
      </c>
      <c r="S553" s="1">
        <v>1</v>
      </c>
      <c r="T553" s="12">
        <v>0.625</v>
      </c>
      <c r="U553" s="12">
        <v>0.66666666666666663</v>
      </c>
      <c r="V553" s="1">
        <v>1</v>
      </c>
      <c r="W553" s="1">
        <v>1</v>
      </c>
      <c r="X553" s="1">
        <v>1</v>
      </c>
      <c r="Y553" s="5" t="s">
        <v>46</v>
      </c>
    </row>
    <row r="554" spans="2:25" x14ac:dyDescent="0.25">
      <c r="B554" s="11">
        <v>44988</v>
      </c>
      <c r="C554" s="7">
        <v>600004124699</v>
      </c>
      <c r="D554" s="5">
        <v>1</v>
      </c>
      <c r="E554" t="s">
        <v>507</v>
      </c>
      <c r="F554" t="s">
        <v>551</v>
      </c>
      <c r="G554" t="s">
        <v>656</v>
      </c>
      <c r="H554" t="s">
        <v>745</v>
      </c>
      <c r="I554" t="s">
        <v>777</v>
      </c>
      <c r="J554" s="27" t="s">
        <v>525</v>
      </c>
      <c r="K554" s="5" t="s">
        <v>15</v>
      </c>
      <c r="L554" s="1" t="s">
        <v>137</v>
      </c>
      <c r="M554" s="1" t="s">
        <v>52</v>
      </c>
      <c r="N554" s="1" t="s">
        <v>53</v>
      </c>
      <c r="O554" s="1" t="s">
        <v>19</v>
      </c>
      <c r="P554" s="9">
        <v>44988</v>
      </c>
      <c r="Q554" s="1" t="s">
        <v>479</v>
      </c>
      <c r="R554" s="1" t="s">
        <v>63</v>
      </c>
      <c r="S554" s="1">
        <v>2</v>
      </c>
      <c r="T554" s="12">
        <v>0.52083333333333337</v>
      </c>
      <c r="U554" s="12">
        <v>0.60416666666666663</v>
      </c>
      <c r="V554" s="1">
        <v>2</v>
      </c>
      <c r="W554" s="1">
        <v>2</v>
      </c>
      <c r="X554" s="1">
        <v>4</v>
      </c>
      <c r="Y554" s="5" t="s">
        <v>46</v>
      </c>
    </row>
    <row r="555" spans="2:25" x14ac:dyDescent="0.25">
      <c r="B555" s="11">
        <v>44991</v>
      </c>
      <c r="C555" s="7">
        <v>600004125305</v>
      </c>
      <c r="D555" s="1">
        <v>1</v>
      </c>
      <c r="E555" t="s">
        <v>885</v>
      </c>
      <c r="F555" t="s">
        <v>591</v>
      </c>
      <c r="G555" t="s">
        <v>697</v>
      </c>
      <c r="H555" t="s">
        <v>745</v>
      </c>
      <c r="I555" t="s">
        <v>818</v>
      </c>
      <c r="J555" s="26" t="s">
        <v>525</v>
      </c>
      <c r="K555" s="1" t="s">
        <v>15</v>
      </c>
      <c r="L555" s="1" t="s">
        <v>79</v>
      </c>
      <c r="M555" s="1" t="s">
        <v>57</v>
      </c>
      <c r="N555" s="1" t="s">
        <v>110</v>
      </c>
      <c r="O555" s="1" t="s">
        <v>19</v>
      </c>
      <c r="P555" s="9">
        <v>44991</v>
      </c>
      <c r="Q555" s="1" t="s">
        <v>475</v>
      </c>
      <c r="R555" s="1" t="s">
        <v>50</v>
      </c>
      <c r="S555" s="1">
        <v>1</v>
      </c>
      <c r="T555" s="12">
        <v>0.3125</v>
      </c>
      <c r="U555" s="12">
        <v>0.375</v>
      </c>
      <c r="V555" s="1">
        <v>1.5</v>
      </c>
      <c r="W555" s="1">
        <v>1.5</v>
      </c>
      <c r="X555" s="1">
        <v>1.5</v>
      </c>
      <c r="Y555" s="5" t="s">
        <v>46</v>
      </c>
    </row>
    <row r="556" spans="2:25" x14ac:dyDescent="0.25">
      <c r="B556" s="11">
        <v>44991</v>
      </c>
      <c r="C556" s="7">
        <v>600004125328</v>
      </c>
      <c r="D556" s="5">
        <v>1</v>
      </c>
      <c r="E556" t="s">
        <v>874</v>
      </c>
      <c r="F556" t="s">
        <v>572</v>
      </c>
      <c r="G556" t="s">
        <v>686</v>
      </c>
      <c r="H556" t="s">
        <v>745</v>
      </c>
      <c r="I556" t="s">
        <v>807</v>
      </c>
      <c r="J556" s="27" t="s">
        <v>525</v>
      </c>
      <c r="K556" s="5" t="s">
        <v>168</v>
      </c>
      <c r="L556" s="1" t="s">
        <v>79</v>
      </c>
      <c r="M556" s="1" t="s">
        <v>57</v>
      </c>
      <c r="N556" s="1" t="s">
        <v>112</v>
      </c>
      <c r="O556" s="1" t="s">
        <v>19</v>
      </c>
      <c r="P556" s="9">
        <v>44991</v>
      </c>
      <c r="Q556" s="1" t="s">
        <v>475</v>
      </c>
      <c r="R556" s="1" t="s">
        <v>50</v>
      </c>
      <c r="S556" s="1">
        <v>1</v>
      </c>
      <c r="T556" s="12">
        <v>0.29166666666666669</v>
      </c>
      <c r="U556" s="12">
        <v>0.33333333333333331</v>
      </c>
      <c r="V556" s="1">
        <v>1</v>
      </c>
      <c r="W556" s="1">
        <v>1</v>
      </c>
      <c r="X556" s="1">
        <v>1</v>
      </c>
      <c r="Y556" s="5" t="s">
        <v>46</v>
      </c>
    </row>
    <row r="557" spans="2:25" x14ac:dyDescent="0.25">
      <c r="B557" s="11">
        <v>44992</v>
      </c>
      <c r="C557" s="7">
        <v>600004125611</v>
      </c>
      <c r="D557" s="5">
        <v>1</v>
      </c>
      <c r="E557" t="s">
        <v>515</v>
      </c>
      <c r="F557" t="s">
        <v>559</v>
      </c>
      <c r="G557" t="s">
        <v>664</v>
      </c>
      <c r="H557" t="s">
        <v>745</v>
      </c>
      <c r="I557" t="s">
        <v>785</v>
      </c>
      <c r="J557" s="26" t="s">
        <v>525</v>
      </c>
      <c r="K557" s="5" t="s">
        <v>122</v>
      </c>
      <c r="L557" s="1" t="s">
        <v>148</v>
      </c>
      <c r="M557" s="1" t="s">
        <v>33</v>
      </c>
      <c r="N557" s="1" t="s">
        <v>346</v>
      </c>
      <c r="O557" s="1" t="s">
        <v>19</v>
      </c>
      <c r="P557" s="9">
        <v>44992</v>
      </c>
      <c r="Q557" s="1" t="s">
        <v>476</v>
      </c>
      <c r="R557" s="1" t="s">
        <v>63</v>
      </c>
      <c r="S557" s="1">
        <v>2</v>
      </c>
      <c r="T557" s="12">
        <v>0.625</v>
      </c>
      <c r="U557" s="12">
        <v>0.66666666666666663</v>
      </c>
      <c r="V557" s="1">
        <v>1</v>
      </c>
      <c r="W557" s="1">
        <v>0</v>
      </c>
      <c r="X557" s="1">
        <f t="shared" ref="X557:X562" si="22">PRODUCT(S557,V557)</f>
        <v>2</v>
      </c>
      <c r="Y557" s="5" t="str">
        <f t="shared" ref="Y557:Y620" si="23">IF(W557=0,"D",IF(W557&lt;=2,"C",IF(W557&lt;=8,"B",IF(W557&gt;8,"A"))))</f>
        <v>D</v>
      </c>
    </row>
    <row r="558" spans="2:25" x14ac:dyDescent="0.25">
      <c r="B558" s="11">
        <v>44992</v>
      </c>
      <c r="C558" s="7">
        <v>600004125530</v>
      </c>
      <c r="D558" s="5">
        <v>1</v>
      </c>
      <c r="E558" t="s">
        <v>493</v>
      </c>
      <c r="F558" t="s">
        <v>537</v>
      </c>
      <c r="G558" t="s">
        <v>642</v>
      </c>
      <c r="H558" t="s">
        <v>745</v>
      </c>
      <c r="I558" t="s">
        <v>763</v>
      </c>
      <c r="J558" s="27" t="s">
        <v>525</v>
      </c>
      <c r="K558" s="5" t="s">
        <v>15</v>
      </c>
      <c r="L558" s="1" t="s">
        <v>205</v>
      </c>
      <c r="M558" s="1" t="s">
        <v>65</v>
      </c>
      <c r="N558" s="1" t="s">
        <v>53</v>
      </c>
      <c r="O558" s="1" t="s">
        <v>19</v>
      </c>
      <c r="P558" s="9">
        <v>44992</v>
      </c>
      <c r="Q558" s="1" t="s">
        <v>479</v>
      </c>
      <c r="R558" s="1" t="s">
        <v>63</v>
      </c>
      <c r="S558" s="1">
        <v>3</v>
      </c>
      <c r="T558" s="12">
        <v>0.41666666666666669</v>
      </c>
      <c r="U558" s="12">
        <v>0.47916666666666669</v>
      </c>
      <c r="V558" s="1">
        <v>1.5</v>
      </c>
      <c r="W558" s="1">
        <v>1.5</v>
      </c>
      <c r="X558" s="1">
        <f t="shared" si="22"/>
        <v>4.5</v>
      </c>
      <c r="Y558" s="5" t="str">
        <f t="shared" si="23"/>
        <v>C</v>
      </c>
    </row>
    <row r="559" spans="2:25" x14ac:dyDescent="0.25">
      <c r="B559" s="11">
        <v>44992</v>
      </c>
      <c r="C559" s="7">
        <v>600004125519</v>
      </c>
      <c r="D559" s="5">
        <v>1</v>
      </c>
      <c r="E559" t="s">
        <v>500</v>
      </c>
      <c r="F559" t="s">
        <v>544</v>
      </c>
      <c r="G559" t="s">
        <v>649</v>
      </c>
      <c r="H559" t="s">
        <v>745</v>
      </c>
      <c r="I559" t="s">
        <v>770</v>
      </c>
      <c r="J559" s="27" t="s">
        <v>525</v>
      </c>
      <c r="K559" s="5" t="s">
        <v>15</v>
      </c>
      <c r="L559" s="1" t="s">
        <v>368</v>
      </c>
      <c r="M559" s="1" t="s">
        <v>126</v>
      </c>
      <c r="N559" s="1" t="s">
        <v>253</v>
      </c>
      <c r="O559" s="1" t="s">
        <v>19</v>
      </c>
      <c r="P559" s="9">
        <v>44992</v>
      </c>
      <c r="Q559" s="1" t="s">
        <v>479</v>
      </c>
      <c r="R559" s="1" t="s">
        <v>63</v>
      </c>
      <c r="S559" s="1">
        <v>2</v>
      </c>
      <c r="T559" s="12">
        <v>0.625</v>
      </c>
      <c r="U559" s="12">
        <v>0.66666666666666663</v>
      </c>
      <c r="V559" s="1">
        <v>1</v>
      </c>
      <c r="W559" s="1">
        <v>1</v>
      </c>
      <c r="X559" s="1">
        <f t="shared" si="22"/>
        <v>2</v>
      </c>
      <c r="Y559" s="5" t="str">
        <f t="shared" si="23"/>
        <v>C</v>
      </c>
    </row>
    <row r="560" spans="2:25" x14ac:dyDescent="0.25">
      <c r="B560" s="11">
        <v>44993</v>
      </c>
      <c r="C560" s="7">
        <v>600004125782</v>
      </c>
      <c r="D560" s="5">
        <v>1</v>
      </c>
      <c r="E560" t="s">
        <v>505</v>
      </c>
      <c r="F560" t="s">
        <v>549</v>
      </c>
      <c r="G560" t="s">
        <v>654</v>
      </c>
      <c r="H560" t="s">
        <v>745</v>
      </c>
      <c r="I560" t="s">
        <v>775</v>
      </c>
      <c r="J560" s="27" t="s">
        <v>525</v>
      </c>
      <c r="K560" s="5" t="s">
        <v>15</v>
      </c>
      <c r="L560" s="1" t="s">
        <v>269</v>
      </c>
      <c r="M560" s="1" t="s">
        <v>121</v>
      </c>
      <c r="N560" s="1" t="s">
        <v>67</v>
      </c>
      <c r="O560" s="1" t="s">
        <v>19</v>
      </c>
      <c r="P560" s="9">
        <v>44993</v>
      </c>
      <c r="Q560" s="1" t="s">
        <v>479</v>
      </c>
      <c r="R560" s="1" t="s">
        <v>63</v>
      </c>
      <c r="S560" s="1">
        <v>2</v>
      </c>
      <c r="T560" s="12">
        <v>0.39583333333333331</v>
      </c>
      <c r="U560" s="12">
        <v>0.47916666666666669</v>
      </c>
      <c r="V560" s="1">
        <v>2</v>
      </c>
      <c r="W560" s="1">
        <v>2</v>
      </c>
      <c r="X560" s="1">
        <f t="shared" si="22"/>
        <v>4</v>
      </c>
      <c r="Y560" s="5" t="str">
        <f t="shared" si="23"/>
        <v>C</v>
      </c>
    </row>
    <row r="561" spans="2:25" x14ac:dyDescent="0.25">
      <c r="B561" s="11">
        <v>44993</v>
      </c>
      <c r="C561" s="7">
        <v>600004125788</v>
      </c>
      <c r="D561" s="5">
        <v>1</v>
      </c>
      <c r="E561" t="s">
        <v>489</v>
      </c>
      <c r="F561" t="s">
        <v>533</v>
      </c>
      <c r="G561" t="s">
        <v>638</v>
      </c>
      <c r="H561" t="s">
        <v>745</v>
      </c>
      <c r="I561" t="s">
        <v>759</v>
      </c>
      <c r="J561" s="26" t="s">
        <v>525</v>
      </c>
      <c r="K561" s="5" t="s">
        <v>15</v>
      </c>
      <c r="L561" s="1" t="s">
        <v>137</v>
      </c>
      <c r="M561" s="1" t="s">
        <v>65</v>
      </c>
      <c r="N561" s="1" t="s">
        <v>67</v>
      </c>
      <c r="O561" s="1" t="s">
        <v>19</v>
      </c>
      <c r="P561" s="9">
        <v>44993</v>
      </c>
      <c r="Q561" s="1" t="s">
        <v>479</v>
      </c>
      <c r="R561" s="1" t="s">
        <v>63</v>
      </c>
      <c r="S561" s="1">
        <v>2</v>
      </c>
      <c r="T561" s="12">
        <v>0.29166666666666669</v>
      </c>
      <c r="U561" s="12">
        <v>0.33333333333333331</v>
      </c>
      <c r="V561" s="1">
        <v>1</v>
      </c>
      <c r="W561" s="1">
        <v>1</v>
      </c>
      <c r="X561" s="1">
        <f t="shared" si="22"/>
        <v>2</v>
      </c>
      <c r="Y561" s="5" t="str">
        <f t="shared" si="23"/>
        <v>C</v>
      </c>
    </row>
    <row r="562" spans="2:25" x14ac:dyDescent="0.25">
      <c r="B562" s="11">
        <v>44858</v>
      </c>
      <c r="C562" s="7">
        <v>600004069548</v>
      </c>
      <c r="D562" s="4">
        <v>1</v>
      </c>
      <c r="E562" t="s">
        <v>496</v>
      </c>
      <c r="F562" t="s">
        <v>540</v>
      </c>
      <c r="G562" t="s">
        <v>645</v>
      </c>
      <c r="H562" t="s">
        <v>745</v>
      </c>
      <c r="I562" t="s">
        <v>766</v>
      </c>
      <c r="J562" s="29" t="s">
        <v>525</v>
      </c>
      <c r="K562" s="4" t="s">
        <v>15</v>
      </c>
      <c r="L562" s="1" t="s">
        <v>16</v>
      </c>
      <c r="M562" s="1" t="s">
        <v>65</v>
      </c>
      <c r="N562" s="1" t="s">
        <v>53</v>
      </c>
      <c r="O562" s="1" t="s">
        <v>19</v>
      </c>
      <c r="P562" s="9">
        <v>45224</v>
      </c>
      <c r="Q562" s="1" t="s">
        <v>479</v>
      </c>
      <c r="R562" s="1" t="s">
        <v>63</v>
      </c>
      <c r="S562" s="1">
        <v>3</v>
      </c>
      <c r="T562" s="12">
        <v>0.375</v>
      </c>
      <c r="U562" s="12">
        <v>0.66666666666666663</v>
      </c>
      <c r="V562" s="1">
        <v>7</v>
      </c>
      <c r="W562" s="1">
        <v>7</v>
      </c>
      <c r="X562" s="1">
        <f t="shared" si="22"/>
        <v>21</v>
      </c>
      <c r="Y562" s="5" t="str">
        <f t="shared" si="23"/>
        <v>B</v>
      </c>
    </row>
    <row r="563" spans="2:25" x14ac:dyDescent="0.25">
      <c r="B563" s="11">
        <v>44957</v>
      </c>
      <c r="C563" s="7">
        <v>600004116866</v>
      </c>
      <c r="D563" s="5">
        <v>1</v>
      </c>
      <c r="E563" t="s">
        <v>893</v>
      </c>
      <c r="F563" t="s">
        <v>598</v>
      </c>
      <c r="G563" t="s">
        <v>705</v>
      </c>
      <c r="H563" t="s">
        <v>740</v>
      </c>
      <c r="I563" t="s">
        <v>826</v>
      </c>
      <c r="J563" s="27" t="s">
        <v>524</v>
      </c>
      <c r="K563" s="5" t="s">
        <v>127</v>
      </c>
      <c r="L563" s="1" t="s">
        <v>36</v>
      </c>
      <c r="M563" s="1" t="s">
        <v>96</v>
      </c>
      <c r="N563" s="1" t="s">
        <v>117</v>
      </c>
      <c r="O563" s="1" t="s">
        <v>19</v>
      </c>
      <c r="P563" s="9">
        <v>44985</v>
      </c>
      <c r="Q563" s="1" t="s">
        <v>473</v>
      </c>
      <c r="R563" s="1" t="s">
        <v>63</v>
      </c>
      <c r="S563" s="1">
        <v>3</v>
      </c>
      <c r="T563" s="12">
        <v>0.25</v>
      </c>
      <c r="U563" s="12">
        <v>0.66666666666666663</v>
      </c>
      <c r="V563" s="1">
        <v>10</v>
      </c>
      <c r="W563" s="1">
        <v>10</v>
      </c>
      <c r="X563" s="1">
        <f t="shared" ref="X563:X569" si="24">PRODUCT(S563,V563)</f>
        <v>30</v>
      </c>
      <c r="Y563" s="5" t="str">
        <f t="shared" si="23"/>
        <v>A</v>
      </c>
    </row>
    <row r="564" spans="2:25" x14ac:dyDescent="0.25">
      <c r="B564" s="11">
        <v>44998</v>
      </c>
      <c r="C564" s="7">
        <v>600004126698</v>
      </c>
      <c r="D564" s="5">
        <v>1</v>
      </c>
      <c r="E564" t="s">
        <v>875</v>
      </c>
      <c r="F564" t="s">
        <v>581</v>
      </c>
      <c r="G564" t="s">
        <v>687</v>
      </c>
      <c r="H564" t="s">
        <v>745</v>
      </c>
      <c r="I564" t="s">
        <v>808</v>
      </c>
      <c r="J564" s="27" t="s">
        <v>525</v>
      </c>
      <c r="K564" s="5" t="s">
        <v>15</v>
      </c>
      <c r="L564" s="1" t="s">
        <v>71</v>
      </c>
      <c r="M564" s="1" t="s">
        <v>334</v>
      </c>
      <c r="N564" s="1" t="s">
        <v>68</v>
      </c>
      <c r="O564" s="1" t="s">
        <v>19</v>
      </c>
      <c r="P564" s="9">
        <v>44996</v>
      </c>
      <c r="Q564" s="1" t="s">
        <v>479</v>
      </c>
      <c r="R564" s="1" t="s">
        <v>63</v>
      </c>
      <c r="S564" s="1">
        <v>2</v>
      </c>
      <c r="T564" s="12">
        <v>0.25</v>
      </c>
      <c r="U564" s="12">
        <v>0.29166666666666669</v>
      </c>
      <c r="V564" s="1">
        <v>1</v>
      </c>
      <c r="W564" s="1">
        <v>1</v>
      </c>
      <c r="X564" s="1">
        <f t="shared" si="24"/>
        <v>2</v>
      </c>
      <c r="Y564" s="5" t="str">
        <f t="shared" si="23"/>
        <v>C</v>
      </c>
    </row>
    <row r="565" spans="2:25" x14ac:dyDescent="0.25">
      <c r="B565" s="11">
        <v>44994</v>
      </c>
      <c r="C565" s="7">
        <v>600004126110</v>
      </c>
      <c r="D565" s="5">
        <v>1</v>
      </c>
      <c r="E565" t="s">
        <v>512</v>
      </c>
      <c r="F565" t="s">
        <v>556</v>
      </c>
      <c r="G565" t="s">
        <v>661</v>
      </c>
      <c r="H565" t="s">
        <v>745</v>
      </c>
      <c r="I565" t="s">
        <v>782</v>
      </c>
      <c r="J565" s="27" t="s">
        <v>525</v>
      </c>
      <c r="K565" s="5" t="s">
        <v>88</v>
      </c>
      <c r="L565" s="1" t="s">
        <v>36</v>
      </c>
      <c r="M565" s="1" t="s">
        <v>34</v>
      </c>
      <c r="N565" s="1" t="s">
        <v>159</v>
      </c>
      <c r="O565" s="1" t="s">
        <v>19</v>
      </c>
      <c r="P565" s="9">
        <v>44995</v>
      </c>
      <c r="Q565" s="1" t="s">
        <v>479</v>
      </c>
      <c r="R565" s="1" t="s">
        <v>63</v>
      </c>
      <c r="S565" s="1">
        <v>2</v>
      </c>
      <c r="T565" s="12">
        <v>0.625</v>
      </c>
      <c r="U565" s="12">
        <v>0.66666666666666663</v>
      </c>
      <c r="V565" s="1">
        <v>1</v>
      </c>
      <c r="W565" s="1">
        <v>1</v>
      </c>
      <c r="X565" s="1">
        <f t="shared" si="24"/>
        <v>2</v>
      </c>
      <c r="Y565" s="5" t="str">
        <f t="shared" si="23"/>
        <v>C</v>
      </c>
    </row>
    <row r="566" spans="2:25" x14ac:dyDescent="0.25">
      <c r="B566" s="11">
        <v>44998</v>
      </c>
      <c r="C566" s="7">
        <v>600004126754</v>
      </c>
      <c r="D566" s="5">
        <v>1</v>
      </c>
      <c r="E566" t="s">
        <v>874</v>
      </c>
      <c r="F566" t="s">
        <v>572</v>
      </c>
      <c r="G566" t="s">
        <v>686</v>
      </c>
      <c r="H566" t="s">
        <v>745</v>
      </c>
      <c r="I566" t="s">
        <v>807</v>
      </c>
      <c r="J566" s="27" t="s">
        <v>525</v>
      </c>
      <c r="K566" s="5" t="s">
        <v>168</v>
      </c>
      <c r="L566" s="1" t="s">
        <v>79</v>
      </c>
      <c r="M566" s="1" t="s">
        <v>112</v>
      </c>
      <c r="N566" s="1" t="s">
        <v>369</v>
      </c>
      <c r="O566" s="1" t="s">
        <v>19</v>
      </c>
      <c r="P566" s="9">
        <v>44998</v>
      </c>
      <c r="Q566" s="1" t="s">
        <v>475</v>
      </c>
      <c r="R566" s="1" t="s">
        <v>50</v>
      </c>
      <c r="S566" s="1">
        <v>1</v>
      </c>
      <c r="T566" s="12">
        <v>0.41666666666666669</v>
      </c>
      <c r="U566" s="12">
        <v>0.45833333333333331</v>
      </c>
      <c r="V566" s="1">
        <v>1</v>
      </c>
      <c r="W566" s="1">
        <v>11</v>
      </c>
      <c r="X566" s="1">
        <f t="shared" si="24"/>
        <v>1</v>
      </c>
      <c r="Y566" s="5" t="str">
        <f t="shared" si="23"/>
        <v>A</v>
      </c>
    </row>
    <row r="567" spans="2:25" x14ac:dyDescent="0.25">
      <c r="B567" s="11">
        <v>44995</v>
      </c>
      <c r="C567" s="7">
        <v>600004126258</v>
      </c>
      <c r="D567" s="5">
        <v>1</v>
      </c>
      <c r="E567" t="s">
        <v>869</v>
      </c>
      <c r="F567" t="s">
        <v>576</v>
      </c>
      <c r="G567" t="s">
        <v>681</v>
      </c>
      <c r="H567" t="s">
        <v>745</v>
      </c>
      <c r="I567" t="s">
        <v>802</v>
      </c>
      <c r="J567" s="27" t="s">
        <v>525</v>
      </c>
      <c r="K567" s="5" t="s">
        <v>15</v>
      </c>
      <c r="L567" s="1" t="s">
        <v>65</v>
      </c>
      <c r="M567" s="1" t="s">
        <v>180</v>
      </c>
      <c r="N567" s="1" t="s">
        <v>305</v>
      </c>
      <c r="O567" s="1" t="s">
        <v>19</v>
      </c>
      <c r="P567" s="9">
        <v>44995</v>
      </c>
      <c r="Q567" s="1" t="s">
        <v>479</v>
      </c>
      <c r="R567" s="1" t="s">
        <v>63</v>
      </c>
      <c r="S567" s="1">
        <v>2</v>
      </c>
      <c r="T567" s="12">
        <v>0.29166666666666669</v>
      </c>
      <c r="U567" s="12">
        <v>0.33333333333333331</v>
      </c>
      <c r="V567" s="1">
        <v>1</v>
      </c>
      <c r="W567" s="1">
        <v>1</v>
      </c>
      <c r="X567" s="1">
        <f t="shared" si="24"/>
        <v>2</v>
      </c>
      <c r="Y567" s="5" t="str">
        <f t="shared" si="23"/>
        <v>C</v>
      </c>
    </row>
    <row r="568" spans="2:25" x14ac:dyDescent="0.25">
      <c r="B568" s="11">
        <v>44994</v>
      </c>
      <c r="C568" s="7">
        <v>600004126082</v>
      </c>
      <c r="D568" s="5">
        <v>1</v>
      </c>
      <c r="E568" t="s">
        <v>500</v>
      </c>
      <c r="F568" t="s">
        <v>544</v>
      </c>
      <c r="G568" t="s">
        <v>649</v>
      </c>
      <c r="H568" t="s">
        <v>745</v>
      </c>
      <c r="I568" t="s">
        <v>770</v>
      </c>
      <c r="J568" s="27" t="s">
        <v>525</v>
      </c>
      <c r="K568" s="5" t="s">
        <v>15</v>
      </c>
      <c r="L568" s="1" t="s">
        <v>137</v>
      </c>
      <c r="M568" s="1" t="s">
        <v>52</v>
      </c>
      <c r="N568" s="1" t="s">
        <v>53</v>
      </c>
      <c r="O568" s="1" t="s">
        <v>19</v>
      </c>
      <c r="P568" s="9">
        <v>44994</v>
      </c>
      <c r="Q568" s="1" t="s">
        <v>479</v>
      </c>
      <c r="R568" s="1" t="s">
        <v>63</v>
      </c>
      <c r="S568" s="1">
        <v>2</v>
      </c>
      <c r="T568" s="12">
        <v>0.375</v>
      </c>
      <c r="U568" s="12">
        <v>0.41666666666666669</v>
      </c>
      <c r="V568" s="1">
        <v>1</v>
      </c>
      <c r="W568" s="1">
        <v>1</v>
      </c>
      <c r="X568" s="1">
        <f t="shared" si="24"/>
        <v>2</v>
      </c>
      <c r="Y568" s="5" t="str">
        <f t="shared" si="23"/>
        <v>C</v>
      </c>
    </row>
    <row r="569" spans="2:25" x14ac:dyDescent="0.25">
      <c r="B569" s="11">
        <v>44993</v>
      </c>
      <c r="C569" s="7">
        <v>600004125861</v>
      </c>
      <c r="D569" s="5">
        <v>1</v>
      </c>
      <c r="E569" t="s">
        <v>497</v>
      </c>
      <c r="F569" t="s">
        <v>541</v>
      </c>
      <c r="G569" t="s">
        <v>646</v>
      </c>
      <c r="H569" t="s">
        <v>746</v>
      </c>
      <c r="I569" t="s">
        <v>767</v>
      </c>
      <c r="J569" s="27" t="s">
        <v>525</v>
      </c>
      <c r="K569" s="5" t="s">
        <v>76</v>
      </c>
      <c r="L569" s="1" t="s">
        <v>370</v>
      </c>
      <c r="M569" s="1" t="s">
        <v>297</v>
      </c>
      <c r="N569" s="1" t="s">
        <v>371</v>
      </c>
      <c r="O569" s="1" t="s">
        <v>19</v>
      </c>
      <c r="P569" s="9">
        <v>44993</v>
      </c>
      <c r="Q569" s="1" t="s">
        <v>479</v>
      </c>
      <c r="R569" s="1" t="s">
        <v>63</v>
      </c>
      <c r="S569" s="1">
        <v>1</v>
      </c>
      <c r="T569" s="12">
        <v>0.625</v>
      </c>
      <c r="U569" s="12">
        <v>0.66666666666666663</v>
      </c>
      <c r="V569" s="1">
        <v>1</v>
      </c>
      <c r="W569" s="1">
        <v>1</v>
      </c>
      <c r="X569" s="1">
        <f t="shared" si="24"/>
        <v>1</v>
      </c>
      <c r="Y569" s="5" t="str">
        <f t="shared" si="23"/>
        <v>C</v>
      </c>
    </row>
    <row r="570" spans="2:25" x14ac:dyDescent="0.25">
      <c r="B570" s="11">
        <v>45000</v>
      </c>
      <c r="C570" s="7">
        <v>600004127282</v>
      </c>
      <c r="D570" s="5">
        <v>1</v>
      </c>
      <c r="E570" t="s">
        <v>875</v>
      </c>
      <c r="F570" t="s">
        <v>581</v>
      </c>
      <c r="G570" t="s">
        <v>687</v>
      </c>
      <c r="H570" t="s">
        <v>745</v>
      </c>
      <c r="I570" t="s">
        <v>808</v>
      </c>
      <c r="J570" s="27" t="s">
        <v>525</v>
      </c>
      <c r="K570" s="5" t="s">
        <v>15</v>
      </c>
      <c r="L570" s="1" t="s">
        <v>71</v>
      </c>
      <c r="M570" s="1" t="s">
        <v>334</v>
      </c>
      <c r="N570" s="1" t="s">
        <v>84</v>
      </c>
      <c r="O570" s="1" t="s">
        <v>176</v>
      </c>
      <c r="P570" s="9">
        <v>45000</v>
      </c>
      <c r="Q570" s="1" t="s">
        <v>477</v>
      </c>
      <c r="R570" s="1" t="s">
        <v>63</v>
      </c>
      <c r="S570" s="1">
        <v>1</v>
      </c>
      <c r="T570" s="12">
        <v>0.54166666666666663</v>
      </c>
      <c r="U570" s="12">
        <v>0.58333333333333337</v>
      </c>
      <c r="V570" s="1">
        <v>1</v>
      </c>
      <c r="W570" s="1">
        <v>1</v>
      </c>
      <c r="X570" s="1">
        <f t="shared" ref="X570:X580" si="25">PRODUCT(S570,V570)</f>
        <v>1</v>
      </c>
      <c r="Y570" s="5" t="str">
        <f t="shared" si="23"/>
        <v>C</v>
      </c>
    </row>
    <row r="571" spans="2:25" x14ac:dyDescent="0.25">
      <c r="B571" s="11">
        <v>44961</v>
      </c>
      <c r="C571" s="7">
        <v>600004118057</v>
      </c>
      <c r="D571" s="5">
        <v>1</v>
      </c>
      <c r="E571" t="s">
        <v>911</v>
      </c>
      <c r="F571" t="s">
        <v>616</v>
      </c>
      <c r="G571" t="s">
        <v>723</v>
      </c>
      <c r="H571" t="s">
        <v>746</v>
      </c>
      <c r="I571" t="s">
        <v>844</v>
      </c>
      <c r="J571" s="26" t="s">
        <v>525</v>
      </c>
      <c r="K571" s="5" t="s">
        <v>372</v>
      </c>
      <c r="L571" s="1" t="s">
        <v>36</v>
      </c>
      <c r="M571" s="1" t="s">
        <v>251</v>
      </c>
      <c r="N571" s="1" t="s">
        <v>75</v>
      </c>
      <c r="O571" s="1" t="s">
        <v>176</v>
      </c>
      <c r="P571" s="9">
        <v>44999</v>
      </c>
      <c r="Q571" s="1" t="s">
        <v>477</v>
      </c>
      <c r="R571" s="1" t="s">
        <v>63</v>
      </c>
      <c r="S571" s="1">
        <v>3</v>
      </c>
      <c r="T571" s="12">
        <v>0.33333333333333331</v>
      </c>
      <c r="U571" s="12">
        <v>0.66666666666666663</v>
      </c>
      <c r="V571" s="1">
        <v>8</v>
      </c>
      <c r="W571" s="1">
        <v>8</v>
      </c>
      <c r="X571" s="1">
        <f t="shared" si="25"/>
        <v>24</v>
      </c>
      <c r="Y571" s="5" t="str">
        <f t="shared" si="23"/>
        <v>B</v>
      </c>
    </row>
    <row r="572" spans="2:25" x14ac:dyDescent="0.25">
      <c r="B572" s="11">
        <v>45000</v>
      </c>
      <c r="C572" s="7">
        <v>600004127234</v>
      </c>
      <c r="D572" s="5">
        <v>1</v>
      </c>
      <c r="E572" t="s">
        <v>493</v>
      </c>
      <c r="F572" t="s">
        <v>537</v>
      </c>
      <c r="G572" t="s">
        <v>642</v>
      </c>
      <c r="H572" t="s">
        <v>745</v>
      </c>
      <c r="I572" t="s">
        <v>763</v>
      </c>
      <c r="J572" s="26" t="s">
        <v>525</v>
      </c>
      <c r="K572" s="5" t="s">
        <v>15</v>
      </c>
      <c r="L572" s="1" t="s">
        <v>16</v>
      </c>
      <c r="M572" s="1" t="s">
        <v>112</v>
      </c>
      <c r="N572" s="1" t="s">
        <v>347</v>
      </c>
      <c r="O572" s="1" t="s">
        <v>19</v>
      </c>
      <c r="P572" s="9">
        <v>45000</v>
      </c>
      <c r="Q572" s="1" t="s">
        <v>479</v>
      </c>
      <c r="R572" s="1" t="s">
        <v>63</v>
      </c>
      <c r="S572" s="1">
        <v>2</v>
      </c>
      <c r="T572" s="12">
        <v>0.29166666666666669</v>
      </c>
      <c r="U572" s="12">
        <v>0.33333333333333331</v>
      </c>
      <c r="V572" s="1">
        <v>1</v>
      </c>
      <c r="W572" s="1">
        <v>1</v>
      </c>
      <c r="X572" s="1">
        <f t="shared" si="25"/>
        <v>2</v>
      </c>
      <c r="Y572" s="5" t="str">
        <f t="shared" si="23"/>
        <v>C</v>
      </c>
    </row>
    <row r="573" spans="2:25" x14ac:dyDescent="0.25">
      <c r="B573" s="11">
        <v>45000</v>
      </c>
      <c r="C573" s="7">
        <v>600004127292</v>
      </c>
      <c r="D573" s="5">
        <v>1</v>
      </c>
      <c r="E573" t="s">
        <v>889</v>
      </c>
      <c r="F573" t="s">
        <v>594</v>
      </c>
      <c r="G573" t="s">
        <v>701</v>
      </c>
      <c r="H573" t="s">
        <v>747</v>
      </c>
      <c r="I573" t="s">
        <v>822</v>
      </c>
      <c r="J573" s="27" t="s">
        <v>524</v>
      </c>
      <c r="K573" s="5" t="s">
        <v>191</v>
      </c>
      <c r="L573" s="1" t="s">
        <v>79</v>
      </c>
      <c r="M573" s="1" t="s">
        <v>373</v>
      </c>
      <c r="N573" s="1" t="s">
        <v>80</v>
      </c>
      <c r="O573" s="1" t="s">
        <v>19</v>
      </c>
      <c r="P573" s="9">
        <v>45000</v>
      </c>
      <c r="Q573" s="1" t="s">
        <v>475</v>
      </c>
      <c r="R573" s="1" t="s">
        <v>50</v>
      </c>
      <c r="S573" s="1">
        <v>1</v>
      </c>
      <c r="T573" s="12">
        <v>0.29166666666666669</v>
      </c>
      <c r="U573" s="12">
        <v>0.41666666666666669</v>
      </c>
      <c r="V573" s="1">
        <v>3</v>
      </c>
      <c r="W573" s="1">
        <v>3</v>
      </c>
      <c r="X573" s="1">
        <f t="shared" si="25"/>
        <v>3</v>
      </c>
      <c r="Y573" s="5" t="str">
        <f t="shared" si="23"/>
        <v>B</v>
      </c>
    </row>
    <row r="574" spans="2:25" x14ac:dyDescent="0.25">
      <c r="B574" s="11">
        <v>45000</v>
      </c>
      <c r="C574" s="7">
        <v>600004127296</v>
      </c>
      <c r="D574" s="5">
        <v>1</v>
      </c>
      <c r="E574" t="s">
        <v>912</v>
      </c>
      <c r="F574" t="s">
        <v>617</v>
      </c>
      <c r="G574" t="s">
        <v>724</v>
      </c>
      <c r="H574" t="s">
        <v>745</v>
      </c>
      <c r="I574" t="s">
        <v>845</v>
      </c>
      <c r="J574" s="27" t="s">
        <v>525</v>
      </c>
      <c r="K574" s="5" t="s">
        <v>374</v>
      </c>
      <c r="L574" s="1" t="s">
        <v>36</v>
      </c>
      <c r="M574" s="1" t="s">
        <v>112</v>
      </c>
      <c r="N574" s="1" t="s">
        <v>375</v>
      </c>
      <c r="O574" s="1" t="s">
        <v>176</v>
      </c>
      <c r="P574" s="9">
        <v>45001</v>
      </c>
      <c r="Q574" s="1" t="s">
        <v>475</v>
      </c>
      <c r="R574" s="1" t="s">
        <v>50</v>
      </c>
      <c r="S574" s="1">
        <v>2</v>
      </c>
      <c r="T574" s="12">
        <v>0.40277777777777773</v>
      </c>
      <c r="U574" s="12">
        <v>0.44444444444444442</v>
      </c>
      <c r="V574" s="1">
        <v>1</v>
      </c>
      <c r="W574" s="1">
        <v>1</v>
      </c>
      <c r="X574" s="1">
        <f t="shared" si="25"/>
        <v>2</v>
      </c>
      <c r="Y574" s="5" t="str">
        <f t="shared" si="23"/>
        <v>C</v>
      </c>
    </row>
    <row r="575" spans="2:25" x14ac:dyDescent="0.25">
      <c r="B575" s="11">
        <v>45000</v>
      </c>
      <c r="C575" s="7">
        <v>600004127235</v>
      </c>
      <c r="D575" s="5">
        <v>1</v>
      </c>
      <c r="E575" t="s">
        <v>499</v>
      </c>
      <c r="F575" t="s">
        <v>543</v>
      </c>
      <c r="G575" t="s">
        <v>648</v>
      </c>
      <c r="H575" t="s">
        <v>745</v>
      </c>
      <c r="I575" t="s">
        <v>769</v>
      </c>
      <c r="J575" s="26" t="s">
        <v>525</v>
      </c>
      <c r="K575" s="5" t="s">
        <v>15</v>
      </c>
      <c r="L575" s="1" t="s">
        <v>71</v>
      </c>
      <c r="M575" s="1" t="s">
        <v>328</v>
      </c>
      <c r="N575" s="1" t="s">
        <v>45</v>
      </c>
      <c r="O575" s="1" t="s">
        <v>19</v>
      </c>
      <c r="P575" s="9">
        <v>45000</v>
      </c>
      <c r="Q575" s="1" t="s">
        <v>477</v>
      </c>
      <c r="R575" s="1" t="s">
        <v>63</v>
      </c>
      <c r="S575" s="1">
        <v>2</v>
      </c>
      <c r="T575" s="12">
        <v>0.39583333333333331</v>
      </c>
      <c r="U575" s="12">
        <v>0.4375</v>
      </c>
      <c r="V575" s="1">
        <v>1</v>
      </c>
      <c r="W575" s="1">
        <v>1</v>
      </c>
      <c r="X575" s="1">
        <f t="shared" si="25"/>
        <v>2</v>
      </c>
      <c r="Y575" s="5" t="str">
        <f t="shared" si="23"/>
        <v>C</v>
      </c>
    </row>
    <row r="576" spans="2:25" x14ac:dyDescent="0.25">
      <c r="B576" s="11">
        <v>44994</v>
      </c>
      <c r="C576" s="7">
        <v>600004126043</v>
      </c>
      <c r="D576" s="5">
        <v>1</v>
      </c>
      <c r="E576" t="s">
        <v>505</v>
      </c>
      <c r="F576" t="s">
        <v>549</v>
      </c>
      <c r="G576" t="s">
        <v>654</v>
      </c>
      <c r="H576" t="s">
        <v>745</v>
      </c>
      <c r="I576" t="s">
        <v>775</v>
      </c>
      <c r="J576" s="26" t="s">
        <v>525</v>
      </c>
      <c r="K576" s="5" t="s">
        <v>15</v>
      </c>
      <c r="L576" s="1" t="s">
        <v>137</v>
      </c>
      <c r="M576" s="1" t="s">
        <v>52</v>
      </c>
      <c r="N576" s="1" t="s">
        <v>53</v>
      </c>
      <c r="O576" s="1" t="s">
        <v>19</v>
      </c>
      <c r="P576" s="9">
        <v>44995</v>
      </c>
      <c r="Q576" s="1" t="s">
        <v>479</v>
      </c>
      <c r="R576" s="1" t="s">
        <v>63</v>
      </c>
      <c r="S576" s="1">
        <v>2</v>
      </c>
      <c r="T576" s="12">
        <v>0.5625</v>
      </c>
      <c r="U576" s="12">
        <v>0.625</v>
      </c>
      <c r="V576" s="1">
        <v>1.5</v>
      </c>
      <c r="W576" s="1">
        <v>1.5</v>
      </c>
      <c r="X576" s="1">
        <f t="shared" si="25"/>
        <v>3</v>
      </c>
      <c r="Y576" s="5" t="str">
        <f t="shared" si="23"/>
        <v>C</v>
      </c>
    </row>
    <row r="577" spans="2:25" x14ac:dyDescent="0.25">
      <c r="B577" s="11">
        <v>44998</v>
      </c>
      <c r="C577" s="7">
        <v>600004126776</v>
      </c>
      <c r="D577" s="5">
        <v>1</v>
      </c>
      <c r="E577" t="s">
        <v>872</v>
      </c>
      <c r="F577" t="s">
        <v>579</v>
      </c>
      <c r="G577" t="s">
        <v>684</v>
      </c>
      <c r="H577" t="s">
        <v>746</v>
      </c>
      <c r="I577" t="s">
        <v>805</v>
      </c>
      <c r="J577" s="27" t="s">
        <v>525</v>
      </c>
      <c r="K577" s="5" t="s">
        <v>76</v>
      </c>
      <c r="L577" s="1" t="s">
        <v>79</v>
      </c>
      <c r="M577" s="1" t="s">
        <v>101</v>
      </c>
      <c r="N577" s="1" t="s">
        <v>110</v>
      </c>
      <c r="O577" s="1" t="s">
        <v>19</v>
      </c>
      <c r="P577" s="9">
        <v>44998</v>
      </c>
      <c r="Q577" s="1" t="s">
        <v>475</v>
      </c>
      <c r="R577" s="1" t="s">
        <v>50</v>
      </c>
      <c r="S577" s="1">
        <v>2</v>
      </c>
      <c r="T577" s="12">
        <v>0.4375</v>
      </c>
      <c r="U577" s="12">
        <v>0.60416666666666663</v>
      </c>
      <c r="V577" s="1">
        <v>4</v>
      </c>
      <c r="W577" s="1">
        <v>4</v>
      </c>
      <c r="X577" s="1">
        <f t="shared" si="25"/>
        <v>8</v>
      </c>
      <c r="Y577" s="5" t="str">
        <f t="shared" si="23"/>
        <v>B</v>
      </c>
    </row>
    <row r="578" spans="2:25" x14ac:dyDescent="0.25">
      <c r="B578" s="11">
        <v>44999</v>
      </c>
      <c r="C578" s="7">
        <v>600004126985</v>
      </c>
      <c r="D578" s="1">
        <v>1</v>
      </c>
      <c r="E578" t="s">
        <v>884</v>
      </c>
      <c r="F578" t="s">
        <v>590</v>
      </c>
      <c r="G578" t="s">
        <v>696</v>
      </c>
      <c r="H578" t="s">
        <v>745</v>
      </c>
      <c r="I578" t="s">
        <v>817</v>
      </c>
      <c r="J578" s="27" t="s">
        <v>525</v>
      </c>
      <c r="K578" s="5" t="s">
        <v>44</v>
      </c>
      <c r="L578" s="1" t="s">
        <v>57</v>
      </c>
      <c r="M578" s="1" t="s">
        <v>197</v>
      </c>
      <c r="N578" s="1" t="s">
        <v>115</v>
      </c>
      <c r="O578" s="1" t="s">
        <v>19</v>
      </c>
      <c r="P578" s="9">
        <v>44999</v>
      </c>
      <c r="Q578" s="1" t="s">
        <v>477</v>
      </c>
      <c r="R578" s="1" t="s">
        <v>63</v>
      </c>
      <c r="S578" s="1">
        <v>2</v>
      </c>
      <c r="T578" s="12">
        <v>0.29166666666666669</v>
      </c>
      <c r="U578" s="12">
        <v>0.33333333333333331</v>
      </c>
      <c r="V578" s="1">
        <v>1</v>
      </c>
      <c r="W578" s="1">
        <v>1</v>
      </c>
      <c r="X578" s="1">
        <f t="shared" si="25"/>
        <v>2</v>
      </c>
      <c r="Y578" s="5" t="str">
        <f t="shared" si="23"/>
        <v>C</v>
      </c>
    </row>
    <row r="579" spans="2:25" x14ac:dyDescent="0.25">
      <c r="B579" s="11">
        <v>44995</v>
      </c>
      <c r="C579" s="7">
        <v>600004126346</v>
      </c>
      <c r="D579" s="5">
        <v>1</v>
      </c>
      <c r="E579" t="s">
        <v>497</v>
      </c>
      <c r="F579" t="s">
        <v>541</v>
      </c>
      <c r="G579" t="s">
        <v>646</v>
      </c>
      <c r="H579" t="s">
        <v>746</v>
      </c>
      <c r="I579" t="s">
        <v>767</v>
      </c>
      <c r="J579" s="27" t="s">
        <v>525</v>
      </c>
      <c r="K579" s="5" t="s">
        <v>76</v>
      </c>
      <c r="L579" s="1" t="s">
        <v>57</v>
      </c>
      <c r="M579" s="1" t="s">
        <v>370</v>
      </c>
      <c r="N579" s="1" t="s">
        <v>376</v>
      </c>
      <c r="O579" s="1" t="s">
        <v>19</v>
      </c>
      <c r="P579" s="9">
        <v>44998</v>
      </c>
      <c r="Q579" s="1" t="s">
        <v>477</v>
      </c>
      <c r="R579" s="1" t="s">
        <v>63</v>
      </c>
      <c r="S579" s="1">
        <v>1</v>
      </c>
      <c r="T579" s="12">
        <v>0.375</v>
      </c>
      <c r="U579" s="12">
        <v>0.39583333333333331</v>
      </c>
      <c r="V579" s="1">
        <v>0.5</v>
      </c>
      <c r="W579" s="1">
        <v>0.5</v>
      </c>
      <c r="X579" s="1">
        <f t="shared" si="25"/>
        <v>0.5</v>
      </c>
      <c r="Y579" s="5" t="str">
        <f t="shared" si="23"/>
        <v>C</v>
      </c>
    </row>
    <row r="580" spans="2:25" x14ac:dyDescent="0.25">
      <c r="B580" s="11">
        <v>45001</v>
      </c>
      <c r="C580" s="7">
        <v>600004127503</v>
      </c>
      <c r="D580" s="5">
        <v>1</v>
      </c>
      <c r="E580" t="s">
        <v>504</v>
      </c>
      <c r="F580" t="s">
        <v>548</v>
      </c>
      <c r="G580" t="s">
        <v>653</v>
      </c>
      <c r="H580" t="s">
        <v>745</v>
      </c>
      <c r="I580" t="s">
        <v>774</v>
      </c>
      <c r="J580" s="27" t="s">
        <v>525</v>
      </c>
      <c r="K580" s="5" t="s">
        <v>15</v>
      </c>
      <c r="L580" s="1" t="s">
        <v>79</v>
      </c>
      <c r="M580" s="1" t="s">
        <v>150</v>
      </c>
      <c r="N580" s="1" t="s">
        <v>256</v>
      </c>
      <c r="O580" s="1" t="s">
        <v>19</v>
      </c>
      <c r="P580" s="9">
        <v>45001</v>
      </c>
      <c r="Q580" s="1" t="s">
        <v>475</v>
      </c>
      <c r="R580" s="1" t="s">
        <v>50</v>
      </c>
      <c r="S580" s="1">
        <v>1</v>
      </c>
      <c r="T580" s="12">
        <v>0.58333333333333337</v>
      </c>
      <c r="U580" s="12">
        <v>0.64583333333333337</v>
      </c>
      <c r="V580" s="1">
        <v>1.5</v>
      </c>
      <c r="W580" s="1">
        <v>1.5</v>
      </c>
      <c r="X580" s="1">
        <f t="shared" si="25"/>
        <v>1.5</v>
      </c>
      <c r="Y580" s="5" t="str">
        <f t="shared" si="23"/>
        <v>C</v>
      </c>
    </row>
    <row r="581" spans="2:25" x14ac:dyDescent="0.25">
      <c r="B581" s="11">
        <v>44988</v>
      </c>
      <c r="C581" s="7">
        <v>600004124697</v>
      </c>
      <c r="D581" s="5">
        <v>1</v>
      </c>
      <c r="E581" t="s">
        <v>512</v>
      </c>
      <c r="F581" t="s">
        <v>556</v>
      </c>
      <c r="G581" t="s">
        <v>661</v>
      </c>
      <c r="H581" t="s">
        <v>745</v>
      </c>
      <c r="I581" t="s">
        <v>782</v>
      </c>
      <c r="J581" s="27" t="s">
        <v>525</v>
      </c>
      <c r="K581" s="5" t="s">
        <v>88</v>
      </c>
      <c r="L581" s="1" t="s">
        <v>89</v>
      </c>
      <c r="M581" s="1" t="s">
        <v>274</v>
      </c>
      <c r="N581" s="1" t="s">
        <v>120</v>
      </c>
      <c r="O581" s="1" t="s">
        <v>19</v>
      </c>
      <c r="P581" s="9">
        <v>44988</v>
      </c>
      <c r="Q581" s="1" t="s">
        <v>476</v>
      </c>
      <c r="R581" s="1" t="s">
        <v>63</v>
      </c>
      <c r="S581" s="1">
        <v>1</v>
      </c>
      <c r="T581" s="12">
        <v>0.64583333333333337</v>
      </c>
      <c r="U581" s="12">
        <v>0.66666666666666663</v>
      </c>
      <c r="V581" s="1">
        <v>0.5</v>
      </c>
      <c r="W581" s="1">
        <v>0.5</v>
      </c>
      <c r="X581" s="1">
        <f t="shared" ref="X581:X589" si="26">PRODUCT(S581,V581)</f>
        <v>0.5</v>
      </c>
      <c r="Y581" s="5" t="str">
        <f t="shared" si="23"/>
        <v>C</v>
      </c>
    </row>
    <row r="582" spans="2:25" x14ac:dyDescent="0.25">
      <c r="B582" s="11">
        <v>45002</v>
      </c>
      <c r="C582" s="7">
        <v>600004128067</v>
      </c>
      <c r="D582" s="5">
        <v>1</v>
      </c>
      <c r="E582" t="s">
        <v>865</v>
      </c>
      <c r="F582" t="s">
        <v>572</v>
      </c>
      <c r="G582" t="s">
        <v>677</v>
      </c>
      <c r="H582" t="s">
        <v>745</v>
      </c>
      <c r="I582" t="s">
        <v>798</v>
      </c>
      <c r="J582" s="27" t="s">
        <v>525</v>
      </c>
      <c r="K582" s="5" t="s">
        <v>168</v>
      </c>
      <c r="L582" s="1" t="s">
        <v>57</v>
      </c>
      <c r="M582" s="1" t="s">
        <v>342</v>
      </c>
      <c r="N582" s="1" t="s">
        <v>377</v>
      </c>
      <c r="O582" s="1" t="s">
        <v>176</v>
      </c>
      <c r="P582" s="9">
        <v>45003</v>
      </c>
      <c r="Q582" s="1" t="s">
        <v>477</v>
      </c>
      <c r="R582" s="1" t="s">
        <v>63</v>
      </c>
      <c r="S582" s="1">
        <v>2</v>
      </c>
      <c r="T582" s="12">
        <v>0.375</v>
      </c>
      <c r="U582" s="12">
        <v>0.41666666666666669</v>
      </c>
      <c r="V582" s="1">
        <v>1</v>
      </c>
      <c r="W582" s="1">
        <v>1</v>
      </c>
      <c r="X582" s="1">
        <f t="shared" si="26"/>
        <v>2</v>
      </c>
      <c r="Y582" s="5" t="str">
        <f t="shared" si="23"/>
        <v>C</v>
      </c>
    </row>
    <row r="583" spans="2:25" x14ac:dyDescent="0.25">
      <c r="B583" s="11">
        <v>45006</v>
      </c>
      <c r="C583" s="7">
        <v>600004128610</v>
      </c>
      <c r="D583" s="5">
        <v>1</v>
      </c>
      <c r="E583" t="s">
        <v>500</v>
      </c>
      <c r="F583" t="s">
        <v>544</v>
      </c>
      <c r="G583" t="s">
        <v>649</v>
      </c>
      <c r="H583" t="s">
        <v>745</v>
      </c>
      <c r="I583" t="s">
        <v>770</v>
      </c>
      <c r="J583" s="27" t="s">
        <v>525</v>
      </c>
      <c r="K583" s="5" t="s">
        <v>15</v>
      </c>
      <c r="L583" s="1" t="s">
        <v>137</v>
      </c>
      <c r="M583" s="1" t="s">
        <v>65</v>
      </c>
      <c r="N583" s="1" t="s">
        <v>67</v>
      </c>
      <c r="O583" s="1" t="s">
        <v>19</v>
      </c>
      <c r="P583" s="9">
        <v>45007</v>
      </c>
      <c r="Q583" s="1" t="s">
        <v>479</v>
      </c>
      <c r="R583" s="1" t="s">
        <v>63</v>
      </c>
      <c r="S583" s="1">
        <v>1</v>
      </c>
      <c r="T583" s="12">
        <v>0.29166666666666669</v>
      </c>
      <c r="U583" s="12">
        <v>0.33333333333333331</v>
      </c>
      <c r="V583" s="1">
        <v>1</v>
      </c>
      <c r="W583" s="1">
        <v>1</v>
      </c>
      <c r="X583" s="1">
        <f t="shared" si="26"/>
        <v>1</v>
      </c>
      <c r="Y583" s="5" t="str">
        <f t="shared" si="23"/>
        <v>C</v>
      </c>
    </row>
    <row r="584" spans="2:25" x14ac:dyDescent="0.25">
      <c r="B584" s="11">
        <v>45006</v>
      </c>
      <c r="C584" s="7">
        <v>600004128553</v>
      </c>
      <c r="D584" s="1">
        <v>1</v>
      </c>
      <c r="E584" t="s">
        <v>517</v>
      </c>
      <c r="F584" t="s">
        <v>561</v>
      </c>
      <c r="G584" t="s">
        <v>666</v>
      </c>
      <c r="H584" t="s">
        <v>745</v>
      </c>
      <c r="I584" t="s">
        <v>787</v>
      </c>
      <c r="J584" s="27" t="s">
        <v>525</v>
      </c>
      <c r="K584" s="5" t="s">
        <v>15</v>
      </c>
      <c r="L584" s="1" t="s">
        <v>16</v>
      </c>
      <c r="M584" s="1" t="s">
        <v>17</v>
      </c>
      <c r="N584" s="1" t="s">
        <v>67</v>
      </c>
      <c r="O584" s="1" t="s">
        <v>19</v>
      </c>
      <c r="P584" s="9">
        <v>45006</v>
      </c>
      <c r="Q584" s="1" t="s">
        <v>479</v>
      </c>
      <c r="R584" s="1" t="s">
        <v>63</v>
      </c>
      <c r="S584" s="1">
        <v>2</v>
      </c>
      <c r="T584" s="12">
        <v>0.4375</v>
      </c>
      <c r="U584" s="12">
        <v>0.47916666666666669</v>
      </c>
      <c r="V584" s="1">
        <v>1</v>
      </c>
      <c r="W584" s="1">
        <v>1</v>
      </c>
      <c r="X584" s="1">
        <f t="shared" si="26"/>
        <v>2</v>
      </c>
      <c r="Y584" s="5" t="str">
        <f t="shared" si="23"/>
        <v>C</v>
      </c>
    </row>
    <row r="585" spans="2:25" x14ac:dyDescent="0.25">
      <c r="B585" s="11">
        <v>45000</v>
      </c>
      <c r="C585" s="7">
        <v>600004127281</v>
      </c>
      <c r="D585" s="1">
        <v>1</v>
      </c>
      <c r="E585" t="s">
        <v>517</v>
      </c>
      <c r="F585" t="s">
        <v>561</v>
      </c>
      <c r="G585" t="s">
        <v>666</v>
      </c>
      <c r="H585" t="s">
        <v>745</v>
      </c>
      <c r="I585" t="s">
        <v>787</v>
      </c>
      <c r="J585" s="27" t="s">
        <v>525</v>
      </c>
      <c r="K585" s="5" t="s">
        <v>15</v>
      </c>
      <c r="L585" s="1" t="s">
        <v>71</v>
      </c>
      <c r="M585" s="1" t="s">
        <v>126</v>
      </c>
      <c r="N585" s="1" t="s">
        <v>84</v>
      </c>
      <c r="O585" s="1" t="s">
        <v>176</v>
      </c>
      <c r="P585" s="9">
        <v>45000</v>
      </c>
      <c r="Q585" s="1" t="s">
        <v>479</v>
      </c>
      <c r="R585" s="1" t="s">
        <v>63</v>
      </c>
      <c r="S585" s="1">
        <v>1</v>
      </c>
      <c r="T585" s="12">
        <v>0.625</v>
      </c>
      <c r="U585" s="12">
        <v>0.66666666666666663</v>
      </c>
      <c r="V585" s="1">
        <v>1</v>
      </c>
      <c r="W585" s="1">
        <v>1</v>
      </c>
      <c r="X585" s="1">
        <f t="shared" si="26"/>
        <v>1</v>
      </c>
      <c r="Y585" s="5" t="str">
        <f t="shared" si="23"/>
        <v>C</v>
      </c>
    </row>
    <row r="586" spans="2:25" x14ac:dyDescent="0.25">
      <c r="B586" s="11">
        <v>44974</v>
      </c>
      <c r="C586" s="7">
        <v>600004121551</v>
      </c>
      <c r="D586" s="5">
        <v>1</v>
      </c>
      <c r="E586" t="s">
        <v>895</v>
      </c>
      <c r="F586" t="s">
        <v>600</v>
      </c>
      <c r="G586" t="s">
        <v>707</v>
      </c>
      <c r="H586" t="s">
        <v>750</v>
      </c>
      <c r="I586" t="s">
        <v>828</v>
      </c>
      <c r="J586" s="26" t="s">
        <v>525</v>
      </c>
      <c r="K586" s="5" t="s">
        <v>15</v>
      </c>
      <c r="L586" s="1" t="s">
        <v>16</v>
      </c>
      <c r="M586" s="1" t="s">
        <v>65</v>
      </c>
      <c r="N586" s="1" t="s">
        <v>232</v>
      </c>
      <c r="O586" s="1" t="s">
        <v>176</v>
      </c>
      <c r="P586" s="9">
        <v>45002</v>
      </c>
      <c r="Q586" s="1" t="s">
        <v>479</v>
      </c>
      <c r="R586" s="1" t="s">
        <v>63</v>
      </c>
      <c r="S586" s="1">
        <v>2</v>
      </c>
      <c r="T586" s="12">
        <v>0.29166666666666669</v>
      </c>
      <c r="U586" s="12">
        <v>0.45833333333333331</v>
      </c>
      <c r="V586" s="1">
        <v>4</v>
      </c>
      <c r="W586" s="1">
        <v>4</v>
      </c>
      <c r="X586" s="1">
        <f t="shared" si="26"/>
        <v>8</v>
      </c>
      <c r="Y586" s="5" t="str">
        <f t="shared" si="23"/>
        <v>B</v>
      </c>
    </row>
    <row r="587" spans="2:25" x14ac:dyDescent="0.25">
      <c r="B587" s="11">
        <v>44998</v>
      </c>
      <c r="C587" s="7">
        <v>600004126701</v>
      </c>
      <c r="D587" s="5">
        <v>1</v>
      </c>
      <c r="E587" t="s">
        <v>885</v>
      </c>
      <c r="F587" t="s">
        <v>591</v>
      </c>
      <c r="G587" t="s">
        <v>697</v>
      </c>
      <c r="H587" t="s">
        <v>745</v>
      </c>
      <c r="I587" t="s">
        <v>818</v>
      </c>
      <c r="J587" s="27" t="s">
        <v>525</v>
      </c>
      <c r="K587" s="5" t="s">
        <v>15</v>
      </c>
      <c r="L587" s="1" t="s">
        <v>16</v>
      </c>
      <c r="M587" s="1" t="s">
        <v>378</v>
      </c>
      <c r="N587" s="1" t="s">
        <v>253</v>
      </c>
      <c r="O587" s="1" t="s">
        <v>19</v>
      </c>
      <c r="P587" s="9">
        <v>44998</v>
      </c>
      <c r="Q587" s="1" t="s">
        <v>479</v>
      </c>
      <c r="R587" s="1" t="s">
        <v>63</v>
      </c>
      <c r="S587" s="1">
        <v>1</v>
      </c>
      <c r="T587" s="12">
        <v>0.29166666666666669</v>
      </c>
      <c r="U587" s="12">
        <v>0.3125</v>
      </c>
      <c r="V587" s="1">
        <v>0.5</v>
      </c>
      <c r="W587" s="1">
        <v>0.5</v>
      </c>
      <c r="X587" s="1">
        <f t="shared" si="26"/>
        <v>0.5</v>
      </c>
      <c r="Y587" s="5" t="str">
        <f t="shared" si="23"/>
        <v>C</v>
      </c>
    </row>
    <row r="588" spans="2:25" x14ac:dyDescent="0.25">
      <c r="B588" s="11">
        <v>45002</v>
      </c>
      <c r="C588" s="7">
        <v>600004128006</v>
      </c>
      <c r="D588" s="5">
        <v>1</v>
      </c>
      <c r="E588" t="s">
        <v>493</v>
      </c>
      <c r="F588" t="s">
        <v>537</v>
      </c>
      <c r="G588" t="s">
        <v>642</v>
      </c>
      <c r="H588" t="s">
        <v>745</v>
      </c>
      <c r="I588" t="s">
        <v>763</v>
      </c>
      <c r="J588" s="27" t="s">
        <v>525</v>
      </c>
      <c r="K588" s="5" t="s">
        <v>15</v>
      </c>
      <c r="L588" s="1" t="s">
        <v>62</v>
      </c>
      <c r="M588" s="1" t="s">
        <v>52</v>
      </c>
      <c r="N588" s="1" t="s">
        <v>120</v>
      </c>
      <c r="O588" s="1" t="s">
        <v>19</v>
      </c>
      <c r="P588" s="9">
        <v>45002</v>
      </c>
      <c r="Q588" s="1" t="s">
        <v>476</v>
      </c>
      <c r="R588" s="1" t="s">
        <v>63</v>
      </c>
      <c r="S588" s="1">
        <v>1</v>
      </c>
      <c r="T588" s="12">
        <v>0.52083333333333337</v>
      </c>
      <c r="U588" s="12">
        <v>0.58333333333333337</v>
      </c>
      <c r="V588" s="1">
        <v>1.5</v>
      </c>
      <c r="W588" s="1">
        <v>1.5</v>
      </c>
      <c r="X588" s="1">
        <f t="shared" si="26"/>
        <v>1.5</v>
      </c>
      <c r="Y588" s="5" t="str">
        <f t="shared" si="23"/>
        <v>C</v>
      </c>
    </row>
    <row r="589" spans="2:25" x14ac:dyDescent="0.25">
      <c r="B589" s="11">
        <v>45002</v>
      </c>
      <c r="C589" s="7">
        <v>600004128007</v>
      </c>
      <c r="D589" s="5">
        <v>1</v>
      </c>
      <c r="E589" t="s">
        <v>515</v>
      </c>
      <c r="F589" t="s">
        <v>559</v>
      </c>
      <c r="G589" t="s">
        <v>664</v>
      </c>
      <c r="H589" t="s">
        <v>745</v>
      </c>
      <c r="I589" t="s">
        <v>785</v>
      </c>
      <c r="J589" s="26" t="s">
        <v>525</v>
      </c>
      <c r="K589" s="5" t="s">
        <v>122</v>
      </c>
      <c r="L589" s="1" t="s">
        <v>36</v>
      </c>
      <c r="M589" s="1" t="s">
        <v>184</v>
      </c>
      <c r="N589" s="1" t="s">
        <v>96</v>
      </c>
      <c r="O589" s="1" t="s">
        <v>19</v>
      </c>
      <c r="P589" s="9">
        <v>45002</v>
      </c>
      <c r="Q589" s="1" t="s">
        <v>476</v>
      </c>
      <c r="R589" s="1" t="s">
        <v>63</v>
      </c>
      <c r="S589" s="1">
        <v>3</v>
      </c>
      <c r="T589" s="12">
        <v>0.41666666666666669</v>
      </c>
      <c r="U589" s="12">
        <v>0.47916666666666669</v>
      </c>
      <c r="V589" s="1">
        <v>1.5</v>
      </c>
      <c r="W589" s="1">
        <v>1.5</v>
      </c>
      <c r="X589" s="1">
        <f t="shared" si="26"/>
        <v>4.5</v>
      </c>
      <c r="Y589" s="5" t="str">
        <f t="shared" si="23"/>
        <v>C</v>
      </c>
    </row>
    <row r="590" spans="2:25" x14ac:dyDescent="0.25">
      <c r="B590" s="11">
        <v>45007</v>
      </c>
      <c r="C590" s="7">
        <v>600004128720</v>
      </c>
      <c r="D590" s="5">
        <v>1</v>
      </c>
      <c r="E590" t="s">
        <v>883</v>
      </c>
      <c r="F590" t="s">
        <v>589</v>
      </c>
      <c r="G590" t="s">
        <v>695</v>
      </c>
      <c r="H590" t="s">
        <v>741</v>
      </c>
      <c r="I590" t="s">
        <v>816</v>
      </c>
      <c r="J590" s="27" t="s">
        <v>524</v>
      </c>
      <c r="K590" s="5" t="s">
        <v>127</v>
      </c>
      <c r="L590" s="1" t="s">
        <v>16</v>
      </c>
      <c r="M590" s="1" t="s">
        <v>52</v>
      </c>
      <c r="N590" s="1" t="s">
        <v>232</v>
      </c>
      <c r="O590" s="1" t="s">
        <v>19</v>
      </c>
      <c r="P590" s="9">
        <v>45012</v>
      </c>
      <c r="Q590" s="1" t="s">
        <v>481</v>
      </c>
      <c r="R590" s="1" t="s">
        <v>63</v>
      </c>
      <c r="S590" s="1">
        <v>1</v>
      </c>
      <c r="T590" s="12">
        <v>0.39583333333333331</v>
      </c>
      <c r="U590" s="12">
        <v>0.45833333333333331</v>
      </c>
      <c r="V590" s="1">
        <v>1.5</v>
      </c>
      <c r="W590" s="1">
        <v>1.5</v>
      </c>
      <c r="X590" s="1">
        <f t="shared" ref="X590:X600" si="27">PRODUCT(S590,V590)</f>
        <v>1.5</v>
      </c>
      <c r="Y590" s="5" t="str">
        <f t="shared" si="23"/>
        <v>C</v>
      </c>
    </row>
    <row r="591" spans="2:25" x14ac:dyDescent="0.25">
      <c r="B591" s="11">
        <v>45020</v>
      </c>
      <c r="C591" s="7">
        <v>600004132023</v>
      </c>
      <c r="D591" s="5">
        <v>1</v>
      </c>
      <c r="E591" t="s">
        <v>492</v>
      </c>
      <c r="F591" t="s">
        <v>536</v>
      </c>
      <c r="G591" t="s">
        <v>641</v>
      </c>
      <c r="H591" t="s">
        <v>740</v>
      </c>
      <c r="I591" t="s">
        <v>762</v>
      </c>
      <c r="J591" s="27" t="s">
        <v>524</v>
      </c>
      <c r="K591" s="5" t="s">
        <v>73</v>
      </c>
      <c r="L591" s="1" t="s">
        <v>57</v>
      </c>
      <c r="M591" s="1" t="s">
        <v>161</v>
      </c>
      <c r="N591" s="1" t="s">
        <v>73</v>
      </c>
      <c r="O591" s="1" t="s">
        <v>19</v>
      </c>
      <c r="P591" s="9">
        <v>45020</v>
      </c>
      <c r="Q591" s="1" t="s">
        <v>474</v>
      </c>
      <c r="R591" s="1" t="s">
        <v>63</v>
      </c>
      <c r="S591" s="1">
        <v>4</v>
      </c>
      <c r="T591" s="12">
        <v>0.29166666666666669</v>
      </c>
      <c r="U591" s="12">
        <v>0.4375</v>
      </c>
      <c r="V591" s="1">
        <v>3.5</v>
      </c>
      <c r="W591" s="1">
        <v>3.5</v>
      </c>
      <c r="X591" s="1">
        <f t="shared" si="27"/>
        <v>14</v>
      </c>
      <c r="Y591" s="5" t="str">
        <f t="shared" si="23"/>
        <v>B</v>
      </c>
    </row>
    <row r="592" spans="2:25" x14ac:dyDescent="0.25">
      <c r="B592" s="11">
        <v>45020</v>
      </c>
      <c r="C592" s="7">
        <v>600004132031</v>
      </c>
      <c r="D592" s="5">
        <v>1</v>
      </c>
      <c r="E592" t="s">
        <v>913</v>
      </c>
      <c r="F592" t="s">
        <v>618</v>
      </c>
      <c r="G592" t="s">
        <v>725</v>
      </c>
      <c r="H592" t="s">
        <v>743</v>
      </c>
      <c r="I592" t="s">
        <v>846</v>
      </c>
      <c r="J592" s="26" t="s">
        <v>525</v>
      </c>
      <c r="K592" s="5" t="s">
        <v>321</v>
      </c>
      <c r="L592" s="1" t="s">
        <v>79</v>
      </c>
      <c r="M592" s="1" t="s">
        <v>379</v>
      </c>
      <c r="N592" s="1" t="s">
        <v>110</v>
      </c>
      <c r="O592" s="1" t="s">
        <v>19</v>
      </c>
      <c r="P592" s="9">
        <v>45020</v>
      </c>
      <c r="Q592" s="1" t="s">
        <v>478</v>
      </c>
      <c r="R592" s="1" t="s">
        <v>50</v>
      </c>
      <c r="S592" s="1">
        <v>2</v>
      </c>
      <c r="T592" s="12">
        <v>0.375</v>
      </c>
      <c r="U592" s="12">
        <v>0.4375</v>
      </c>
      <c r="V592" s="1">
        <v>1.5</v>
      </c>
      <c r="W592" s="1">
        <v>1.5</v>
      </c>
      <c r="X592" s="1">
        <f t="shared" si="27"/>
        <v>3</v>
      </c>
      <c r="Y592" s="5" t="str">
        <f t="shared" si="23"/>
        <v>C</v>
      </c>
    </row>
    <row r="593" spans="2:25" x14ac:dyDescent="0.25">
      <c r="B593" s="11">
        <v>45020</v>
      </c>
      <c r="C593" s="7">
        <v>600004132060</v>
      </c>
      <c r="D593" s="5">
        <v>1</v>
      </c>
      <c r="E593" t="s">
        <v>906</v>
      </c>
      <c r="F593" t="s">
        <v>611</v>
      </c>
      <c r="G593" t="s">
        <v>718</v>
      </c>
      <c r="H593" t="s">
        <v>745</v>
      </c>
      <c r="I593" t="s">
        <v>839</v>
      </c>
      <c r="J593" s="27" t="s">
        <v>525</v>
      </c>
      <c r="K593" s="5" t="s">
        <v>339</v>
      </c>
      <c r="L593" s="1" t="s">
        <v>57</v>
      </c>
      <c r="M593" s="1" t="s">
        <v>44</v>
      </c>
      <c r="N593" s="1" t="s">
        <v>115</v>
      </c>
      <c r="O593" s="1" t="s">
        <v>19</v>
      </c>
      <c r="P593" s="9">
        <v>45020</v>
      </c>
      <c r="Q593" s="1" t="s">
        <v>479</v>
      </c>
      <c r="R593" s="1" t="s">
        <v>63</v>
      </c>
      <c r="S593" s="1">
        <v>2</v>
      </c>
      <c r="T593" s="12">
        <v>0.375</v>
      </c>
      <c r="U593" s="12">
        <v>0.41666666666666669</v>
      </c>
      <c r="V593" s="1">
        <v>1</v>
      </c>
      <c r="W593" s="1">
        <v>1</v>
      </c>
      <c r="X593" s="1">
        <f t="shared" si="27"/>
        <v>2</v>
      </c>
      <c r="Y593" s="5" t="str">
        <f t="shared" si="23"/>
        <v>C</v>
      </c>
    </row>
    <row r="594" spans="2:25" x14ac:dyDescent="0.25">
      <c r="B594" s="11">
        <v>45020</v>
      </c>
      <c r="C594" s="7">
        <v>600004132061</v>
      </c>
      <c r="D594" s="5">
        <v>1</v>
      </c>
      <c r="E594" t="s">
        <v>906</v>
      </c>
      <c r="F594" t="s">
        <v>611</v>
      </c>
      <c r="G594" t="s">
        <v>718</v>
      </c>
      <c r="H594" t="s">
        <v>745</v>
      </c>
      <c r="I594" t="s">
        <v>839</v>
      </c>
      <c r="J594" s="27" t="s">
        <v>525</v>
      </c>
      <c r="K594" s="5" t="s">
        <v>339</v>
      </c>
      <c r="L594" s="1" t="s">
        <v>57</v>
      </c>
      <c r="M594" s="1" t="s">
        <v>44</v>
      </c>
      <c r="N594" s="1" t="s">
        <v>114</v>
      </c>
      <c r="O594" s="1" t="s">
        <v>19</v>
      </c>
      <c r="P594" s="9">
        <v>45020</v>
      </c>
      <c r="Q594" s="1" t="s">
        <v>475</v>
      </c>
      <c r="R594" s="1" t="s">
        <v>63</v>
      </c>
      <c r="S594" s="1">
        <v>1</v>
      </c>
      <c r="T594" s="12">
        <v>0.375</v>
      </c>
      <c r="U594" s="12">
        <v>0.41666666666666669</v>
      </c>
      <c r="V594" s="1">
        <v>1</v>
      </c>
      <c r="W594" s="1">
        <v>1</v>
      </c>
      <c r="X594" s="1">
        <f t="shared" si="27"/>
        <v>1</v>
      </c>
      <c r="Y594" s="5" t="str">
        <f t="shared" si="23"/>
        <v>C</v>
      </c>
    </row>
    <row r="595" spans="2:25" x14ac:dyDescent="0.25">
      <c r="B595" s="11">
        <v>45020</v>
      </c>
      <c r="C595" s="7">
        <v>600004132025</v>
      </c>
      <c r="D595" s="5">
        <v>1</v>
      </c>
      <c r="E595" t="s">
        <v>512</v>
      </c>
      <c r="F595" t="s">
        <v>556</v>
      </c>
      <c r="G595" t="s">
        <v>661</v>
      </c>
      <c r="H595" t="s">
        <v>745</v>
      </c>
      <c r="I595" t="s">
        <v>782</v>
      </c>
      <c r="J595" s="26" t="s">
        <v>525</v>
      </c>
      <c r="K595" s="5" t="s">
        <v>88</v>
      </c>
      <c r="L595" s="1" t="s">
        <v>89</v>
      </c>
      <c r="M595" s="1" t="s">
        <v>45</v>
      </c>
      <c r="N595" s="1" t="s">
        <v>380</v>
      </c>
      <c r="O595" s="1" t="s">
        <v>19</v>
      </c>
      <c r="P595" s="9">
        <v>45019</v>
      </c>
      <c r="Q595" s="1" t="s">
        <v>477</v>
      </c>
      <c r="R595" s="1" t="s">
        <v>63</v>
      </c>
      <c r="S595" s="1">
        <v>2</v>
      </c>
      <c r="T595" s="12">
        <v>0.60416666666666663</v>
      </c>
      <c r="U595" s="12">
        <v>0.625</v>
      </c>
      <c r="V595" s="1">
        <v>0.5</v>
      </c>
      <c r="W595" s="1">
        <v>0.5</v>
      </c>
      <c r="X595" s="1">
        <f t="shared" si="27"/>
        <v>1</v>
      </c>
      <c r="Y595" s="5" t="str">
        <f t="shared" si="23"/>
        <v>C</v>
      </c>
    </row>
    <row r="596" spans="2:25" x14ac:dyDescent="0.25">
      <c r="B596" s="11">
        <v>45026</v>
      </c>
      <c r="C596" s="7">
        <v>600004132936</v>
      </c>
      <c r="D596" s="5">
        <v>1</v>
      </c>
      <c r="E596" t="s">
        <v>507</v>
      </c>
      <c r="F596" t="s">
        <v>551</v>
      </c>
      <c r="G596" t="s">
        <v>656</v>
      </c>
      <c r="H596" t="s">
        <v>745</v>
      </c>
      <c r="I596" t="s">
        <v>777</v>
      </c>
      <c r="J596" s="27" t="s">
        <v>525</v>
      </c>
      <c r="K596" s="5" t="s">
        <v>15</v>
      </c>
      <c r="L596" s="1" t="s">
        <v>71</v>
      </c>
      <c r="M596" s="1" t="s">
        <v>55</v>
      </c>
      <c r="N596" s="1" t="s">
        <v>328</v>
      </c>
      <c r="O596" s="1" t="s">
        <v>19</v>
      </c>
      <c r="P596" s="9">
        <v>45026</v>
      </c>
      <c r="Q596" s="1" t="s">
        <v>476</v>
      </c>
      <c r="R596" s="1" t="s">
        <v>63</v>
      </c>
      <c r="S596" s="1">
        <v>1</v>
      </c>
      <c r="T596" s="12">
        <v>0.4375</v>
      </c>
      <c r="U596" s="12">
        <v>0.47916666666666669</v>
      </c>
      <c r="V596" s="1">
        <v>1</v>
      </c>
      <c r="W596" s="1">
        <v>1</v>
      </c>
      <c r="X596" s="1">
        <f t="shared" si="27"/>
        <v>1</v>
      </c>
      <c r="Y596" s="5" t="str">
        <f t="shared" si="23"/>
        <v>C</v>
      </c>
    </row>
    <row r="597" spans="2:25" x14ac:dyDescent="0.25">
      <c r="B597" s="11">
        <v>45026</v>
      </c>
      <c r="C597" s="7">
        <v>600004132937</v>
      </c>
      <c r="D597" s="5">
        <v>1</v>
      </c>
      <c r="E597" t="s">
        <v>865</v>
      </c>
      <c r="F597" t="s">
        <v>572</v>
      </c>
      <c r="G597" t="s">
        <v>677</v>
      </c>
      <c r="H597" t="s">
        <v>745</v>
      </c>
      <c r="I597" t="s">
        <v>798</v>
      </c>
      <c r="J597" s="27" t="s">
        <v>525</v>
      </c>
      <c r="K597" s="5" t="s">
        <v>168</v>
      </c>
      <c r="L597" s="1" t="s">
        <v>57</v>
      </c>
      <c r="M597" s="1" t="s">
        <v>342</v>
      </c>
      <c r="N597" s="1" t="s">
        <v>343</v>
      </c>
      <c r="O597" s="1" t="s">
        <v>19</v>
      </c>
      <c r="P597" s="9">
        <v>45027</v>
      </c>
      <c r="Q597" s="1" t="s">
        <v>479</v>
      </c>
      <c r="R597" s="1" t="s">
        <v>63</v>
      </c>
      <c r="S597" s="1">
        <v>3</v>
      </c>
      <c r="T597" s="12">
        <v>0.33333333333333331</v>
      </c>
      <c r="U597" s="12">
        <v>0.45833333333333331</v>
      </c>
      <c r="V597" s="1">
        <v>3</v>
      </c>
      <c r="W597" s="1">
        <v>3</v>
      </c>
      <c r="X597" s="1">
        <f t="shared" si="27"/>
        <v>9</v>
      </c>
      <c r="Y597" s="5" t="str">
        <f t="shared" si="23"/>
        <v>B</v>
      </c>
    </row>
    <row r="598" spans="2:25" x14ac:dyDescent="0.25">
      <c r="B598" s="11">
        <v>45028</v>
      </c>
      <c r="C598" s="7">
        <v>600004133337</v>
      </c>
      <c r="D598" s="5">
        <v>1</v>
      </c>
      <c r="E598" t="s">
        <v>515</v>
      </c>
      <c r="F598" t="s">
        <v>559</v>
      </c>
      <c r="G598" t="s">
        <v>664</v>
      </c>
      <c r="H598" t="s">
        <v>745</v>
      </c>
      <c r="I598" t="s">
        <v>785</v>
      </c>
      <c r="J598" s="27" t="s">
        <v>525</v>
      </c>
      <c r="K598" s="5" t="s">
        <v>122</v>
      </c>
      <c r="L598" s="1" t="s">
        <v>36</v>
      </c>
      <c r="M598" s="1" t="s">
        <v>184</v>
      </c>
      <c r="N598" s="1" t="s">
        <v>381</v>
      </c>
      <c r="O598" s="1" t="s">
        <v>19</v>
      </c>
      <c r="P598" s="9">
        <v>45028</v>
      </c>
      <c r="Q598" s="1" t="s">
        <v>479</v>
      </c>
      <c r="R598" s="1" t="s">
        <v>63</v>
      </c>
      <c r="S598" s="1">
        <v>3</v>
      </c>
      <c r="T598" s="12">
        <v>0.54166666666666663</v>
      </c>
      <c r="U598" s="12">
        <v>0.625</v>
      </c>
      <c r="V598" s="1">
        <v>2</v>
      </c>
      <c r="W598" s="1">
        <v>2</v>
      </c>
      <c r="X598" s="1">
        <f t="shared" si="27"/>
        <v>6</v>
      </c>
      <c r="Y598" s="5" t="str">
        <f t="shared" si="23"/>
        <v>C</v>
      </c>
    </row>
    <row r="599" spans="2:25" x14ac:dyDescent="0.25">
      <c r="B599" s="11">
        <v>45029</v>
      </c>
      <c r="C599" s="7">
        <v>600004133693</v>
      </c>
      <c r="D599" s="5">
        <v>1</v>
      </c>
      <c r="E599" t="s">
        <v>896</v>
      </c>
      <c r="F599" t="s">
        <v>601</v>
      </c>
      <c r="G599" t="s">
        <v>708</v>
      </c>
      <c r="H599" t="s">
        <v>743</v>
      </c>
      <c r="I599" t="s">
        <v>829</v>
      </c>
      <c r="J599" s="27" t="s">
        <v>525</v>
      </c>
      <c r="K599" s="5" t="s">
        <v>122</v>
      </c>
      <c r="L599" s="1" t="s">
        <v>89</v>
      </c>
      <c r="M599" s="1" t="s">
        <v>55</v>
      </c>
      <c r="N599" s="1" t="s">
        <v>235</v>
      </c>
      <c r="O599" s="1" t="s">
        <v>19</v>
      </c>
      <c r="P599" s="9">
        <v>45029</v>
      </c>
      <c r="Q599" s="1" t="s">
        <v>475</v>
      </c>
      <c r="R599" s="1" t="s">
        <v>63</v>
      </c>
      <c r="S599" s="1">
        <v>1</v>
      </c>
      <c r="T599" s="12">
        <v>0.27083333333333331</v>
      </c>
      <c r="U599" s="12">
        <v>0.35416666666666669</v>
      </c>
      <c r="V599" s="1">
        <v>2</v>
      </c>
      <c r="W599" s="1">
        <v>2</v>
      </c>
      <c r="X599" s="1">
        <f t="shared" si="27"/>
        <v>2</v>
      </c>
      <c r="Y599" s="5" t="str">
        <f t="shared" si="23"/>
        <v>C</v>
      </c>
    </row>
    <row r="600" spans="2:25" x14ac:dyDescent="0.25">
      <c r="B600" s="11">
        <v>45028</v>
      </c>
      <c r="C600" s="7">
        <v>600004133282</v>
      </c>
      <c r="D600" s="5">
        <v>1</v>
      </c>
      <c r="E600" t="s">
        <v>493</v>
      </c>
      <c r="F600" t="s">
        <v>537</v>
      </c>
      <c r="G600" t="s">
        <v>642</v>
      </c>
      <c r="H600" t="s">
        <v>745</v>
      </c>
      <c r="I600" t="s">
        <v>763</v>
      </c>
      <c r="J600" s="27" t="s">
        <v>525</v>
      </c>
      <c r="K600" s="5" t="s">
        <v>15</v>
      </c>
      <c r="L600" s="1" t="s">
        <v>16</v>
      </c>
      <c r="M600" s="1" t="s">
        <v>121</v>
      </c>
      <c r="N600" s="1" t="s">
        <v>52</v>
      </c>
      <c r="O600" s="1" t="s">
        <v>19</v>
      </c>
      <c r="P600" s="9">
        <v>45028</v>
      </c>
      <c r="Q600" s="1" t="s">
        <v>477</v>
      </c>
      <c r="R600" s="1" t="s">
        <v>63</v>
      </c>
      <c r="S600" s="1">
        <v>2</v>
      </c>
      <c r="T600" s="12">
        <v>0.3125</v>
      </c>
      <c r="U600" s="12">
        <v>0.45833333333333331</v>
      </c>
      <c r="V600" s="1">
        <v>3.5</v>
      </c>
      <c r="W600" s="1">
        <v>3.5</v>
      </c>
      <c r="X600" s="1">
        <f t="shared" si="27"/>
        <v>7</v>
      </c>
      <c r="Y600" s="5" t="str">
        <f t="shared" si="23"/>
        <v>B</v>
      </c>
    </row>
    <row r="601" spans="2:25" x14ac:dyDescent="0.25">
      <c r="B601" s="11">
        <v>45030</v>
      </c>
      <c r="C601" s="7">
        <v>600004133898</v>
      </c>
      <c r="D601" s="5">
        <v>1</v>
      </c>
      <c r="E601" t="s">
        <v>486</v>
      </c>
      <c r="F601" t="s">
        <v>530</v>
      </c>
      <c r="G601" t="s">
        <v>635</v>
      </c>
      <c r="H601" t="s">
        <v>740</v>
      </c>
      <c r="I601" t="s">
        <v>756</v>
      </c>
      <c r="J601" s="27" t="s">
        <v>525</v>
      </c>
      <c r="K601" s="5" t="s">
        <v>69</v>
      </c>
      <c r="L601" s="1" t="s">
        <v>40</v>
      </c>
      <c r="M601" s="1" t="s">
        <v>34</v>
      </c>
      <c r="N601" s="1" t="s">
        <v>75</v>
      </c>
      <c r="O601" s="1" t="s">
        <v>19</v>
      </c>
      <c r="P601" s="9">
        <v>45037</v>
      </c>
      <c r="Q601" s="1" t="s">
        <v>474</v>
      </c>
      <c r="R601" s="1" t="s">
        <v>63</v>
      </c>
      <c r="S601" s="1">
        <v>3</v>
      </c>
      <c r="T601" s="12">
        <v>0.25</v>
      </c>
      <c r="U601" s="12">
        <v>0.625</v>
      </c>
      <c r="V601" s="1">
        <v>9</v>
      </c>
      <c r="W601" s="1">
        <v>9</v>
      </c>
      <c r="X601" s="1">
        <f t="shared" ref="X601:X615" si="28">PRODUCT(S601,V601)</f>
        <v>27</v>
      </c>
      <c r="Y601" s="5" t="str">
        <f t="shared" si="23"/>
        <v>A</v>
      </c>
    </row>
    <row r="602" spans="2:25" x14ac:dyDescent="0.25">
      <c r="B602" s="11">
        <v>45035</v>
      </c>
      <c r="C602" s="7">
        <v>600004135182</v>
      </c>
      <c r="D602" s="5">
        <v>1</v>
      </c>
      <c r="E602" t="s">
        <v>882</v>
      </c>
      <c r="F602" t="s">
        <v>588</v>
      </c>
      <c r="G602" t="s">
        <v>694</v>
      </c>
      <c r="H602" t="s">
        <v>745</v>
      </c>
      <c r="I602" t="s">
        <v>815</v>
      </c>
      <c r="J602" s="27" t="s">
        <v>525</v>
      </c>
      <c r="K602" s="5" t="s">
        <v>15</v>
      </c>
      <c r="L602" s="1" t="s">
        <v>126</v>
      </c>
      <c r="M602" s="1" t="s">
        <v>302</v>
      </c>
      <c r="N602" s="1" t="s">
        <v>204</v>
      </c>
      <c r="O602" s="1" t="s">
        <v>19</v>
      </c>
      <c r="P602" s="9">
        <v>45035</v>
      </c>
      <c r="Q602" s="1" t="s">
        <v>479</v>
      </c>
      <c r="R602" s="1" t="s">
        <v>63</v>
      </c>
      <c r="S602" s="1">
        <v>1</v>
      </c>
      <c r="T602" s="12">
        <v>0.5</v>
      </c>
      <c r="U602" s="12">
        <v>0.58333333333333337</v>
      </c>
      <c r="V602" s="1">
        <v>2</v>
      </c>
      <c r="W602" s="1">
        <v>2</v>
      </c>
      <c r="X602" s="1">
        <f t="shared" si="28"/>
        <v>2</v>
      </c>
      <c r="Y602" s="5" t="str">
        <f t="shared" si="23"/>
        <v>C</v>
      </c>
    </row>
    <row r="603" spans="2:25" x14ac:dyDescent="0.25">
      <c r="B603" s="11">
        <v>45040</v>
      </c>
      <c r="C603" s="7">
        <v>600004135965</v>
      </c>
      <c r="D603" s="5">
        <v>1</v>
      </c>
      <c r="E603" t="s">
        <v>882</v>
      </c>
      <c r="F603" t="s">
        <v>588</v>
      </c>
      <c r="G603" t="s">
        <v>694</v>
      </c>
      <c r="H603" t="s">
        <v>745</v>
      </c>
      <c r="I603" t="s">
        <v>815</v>
      </c>
      <c r="J603" s="27" t="s">
        <v>525</v>
      </c>
      <c r="K603" s="5" t="s">
        <v>15</v>
      </c>
      <c r="L603" s="1" t="s">
        <v>126</v>
      </c>
      <c r="M603" s="1" t="s">
        <v>213</v>
      </c>
      <c r="N603" s="1" t="s">
        <v>53</v>
      </c>
      <c r="O603" s="1" t="s">
        <v>19</v>
      </c>
      <c r="P603" s="9">
        <v>45040</v>
      </c>
      <c r="Q603" s="1" t="s">
        <v>479</v>
      </c>
      <c r="R603" s="1" t="s">
        <v>63</v>
      </c>
      <c r="S603" s="1">
        <v>3</v>
      </c>
      <c r="T603" s="12">
        <v>0.29166666666666669</v>
      </c>
      <c r="U603" s="12">
        <v>0.375</v>
      </c>
      <c r="V603" s="1">
        <v>2</v>
      </c>
      <c r="W603" s="1">
        <v>2</v>
      </c>
      <c r="X603" s="1">
        <f t="shared" si="28"/>
        <v>6</v>
      </c>
      <c r="Y603" s="5" t="str">
        <f t="shared" si="23"/>
        <v>C</v>
      </c>
    </row>
    <row r="604" spans="2:25" x14ac:dyDescent="0.25">
      <c r="B604" s="11">
        <v>45041</v>
      </c>
      <c r="C604" s="7">
        <v>600004136302</v>
      </c>
      <c r="D604" s="5">
        <v>1</v>
      </c>
      <c r="E604" t="s">
        <v>864</v>
      </c>
      <c r="F604" t="s">
        <v>571</v>
      </c>
      <c r="G604" t="s">
        <v>676</v>
      </c>
      <c r="H604" t="s">
        <v>745</v>
      </c>
      <c r="I604" t="s">
        <v>797</v>
      </c>
      <c r="J604" s="27" t="s">
        <v>525</v>
      </c>
      <c r="K604" s="5" t="s">
        <v>15</v>
      </c>
      <c r="L604" s="1" t="s">
        <v>382</v>
      </c>
      <c r="M604" s="1" t="s">
        <v>112</v>
      </c>
      <c r="N604" s="1" t="s">
        <v>112</v>
      </c>
      <c r="O604" s="1" t="s">
        <v>176</v>
      </c>
      <c r="P604" s="9">
        <v>45041</v>
      </c>
      <c r="Q604" s="1" t="s">
        <v>479</v>
      </c>
      <c r="R604" s="1" t="s">
        <v>63</v>
      </c>
      <c r="S604" s="1">
        <v>3</v>
      </c>
      <c r="T604" s="12">
        <v>0.52083333333333337</v>
      </c>
      <c r="U604" s="12">
        <v>0.5625</v>
      </c>
      <c r="V604" s="1">
        <v>1</v>
      </c>
      <c r="W604" s="1">
        <v>1</v>
      </c>
      <c r="X604" s="1">
        <f t="shared" si="28"/>
        <v>3</v>
      </c>
      <c r="Y604" s="5" t="str">
        <f t="shared" si="23"/>
        <v>C</v>
      </c>
    </row>
    <row r="605" spans="2:25" x14ac:dyDescent="0.25">
      <c r="B605" s="11">
        <v>45034</v>
      </c>
      <c r="C605" s="7">
        <v>600004134881</v>
      </c>
      <c r="D605" s="5">
        <v>1</v>
      </c>
      <c r="E605" t="s">
        <v>504</v>
      </c>
      <c r="F605" t="s">
        <v>548</v>
      </c>
      <c r="G605" t="s">
        <v>653</v>
      </c>
      <c r="H605" t="s">
        <v>745</v>
      </c>
      <c r="I605" t="s">
        <v>774</v>
      </c>
      <c r="J605" s="27" t="s">
        <v>525</v>
      </c>
      <c r="K605" s="5" t="s">
        <v>15</v>
      </c>
      <c r="L605" s="1" t="s">
        <v>71</v>
      </c>
      <c r="M605" s="1" t="s">
        <v>60</v>
      </c>
      <c r="N605" s="1" t="s">
        <v>194</v>
      </c>
      <c r="O605" s="1" t="s">
        <v>176</v>
      </c>
      <c r="P605" s="9">
        <v>45035</v>
      </c>
      <c r="Q605" s="1" t="s">
        <v>476</v>
      </c>
      <c r="R605" s="1" t="s">
        <v>63</v>
      </c>
      <c r="S605" s="1">
        <v>1</v>
      </c>
      <c r="T605" s="12">
        <v>0.52083333333333337</v>
      </c>
      <c r="U605" s="12">
        <v>0.5625</v>
      </c>
      <c r="V605" s="1">
        <v>1</v>
      </c>
      <c r="W605" s="1">
        <v>1</v>
      </c>
      <c r="X605" s="1">
        <f t="shared" si="28"/>
        <v>1</v>
      </c>
      <c r="Y605" s="5" t="str">
        <f t="shared" si="23"/>
        <v>C</v>
      </c>
    </row>
    <row r="606" spans="2:25" x14ac:dyDescent="0.25">
      <c r="B606" s="11">
        <v>45033</v>
      </c>
      <c r="C606" s="7">
        <v>600004134598</v>
      </c>
      <c r="D606" s="5">
        <v>1</v>
      </c>
      <c r="E606" t="s">
        <v>866</v>
      </c>
      <c r="F606" t="s">
        <v>573</v>
      </c>
      <c r="G606" t="s">
        <v>678</v>
      </c>
      <c r="H606" t="s">
        <v>745</v>
      </c>
      <c r="I606" t="s">
        <v>799</v>
      </c>
      <c r="J606" s="27" t="s">
        <v>524</v>
      </c>
      <c r="K606" s="5" t="s">
        <v>15</v>
      </c>
      <c r="L606" s="1" t="s">
        <v>79</v>
      </c>
      <c r="M606" s="1" t="s">
        <v>80</v>
      </c>
      <c r="N606" s="1" t="s">
        <v>108</v>
      </c>
      <c r="O606" s="1" t="s">
        <v>19</v>
      </c>
      <c r="P606" s="9">
        <v>45036</v>
      </c>
      <c r="Q606" s="1" t="s">
        <v>475</v>
      </c>
      <c r="R606" s="1" t="s">
        <v>50</v>
      </c>
      <c r="S606" s="1">
        <v>2</v>
      </c>
      <c r="T606" s="12">
        <v>0.5</v>
      </c>
      <c r="U606" s="12">
        <v>0.64583333333333337</v>
      </c>
      <c r="V606" s="1">
        <v>3.5</v>
      </c>
      <c r="W606" s="1">
        <v>3.5</v>
      </c>
      <c r="X606" s="1">
        <f t="shared" si="28"/>
        <v>7</v>
      </c>
      <c r="Y606" s="5" t="str">
        <f t="shared" si="23"/>
        <v>B</v>
      </c>
    </row>
    <row r="607" spans="2:25" x14ac:dyDescent="0.25">
      <c r="B607" s="11">
        <v>45035</v>
      </c>
      <c r="C607" s="7">
        <v>600004135183</v>
      </c>
      <c r="D607" s="4">
        <v>1</v>
      </c>
      <c r="E607" t="s">
        <v>499</v>
      </c>
      <c r="F607" t="s">
        <v>543</v>
      </c>
      <c r="G607" t="s">
        <v>648</v>
      </c>
      <c r="H607" t="s">
        <v>745</v>
      </c>
      <c r="I607" t="s">
        <v>769</v>
      </c>
      <c r="J607" s="28" t="s">
        <v>525</v>
      </c>
      <c r="K607" s="4" t="s">
        <v>15</v>
      </c>
      <c r="L607" s="1" t="s">
        <v>148</v>
      </c>
      <c r="M607" s="1" t="s">
        <v>57</v>
      </c>
      <c r="N607" s="1" t="s">
        <v>201</v>
      </c>
      <c r="O607" s="1" t="s">
        <v>19</v>
      </c>
      <c r="P607" s="9">
        <v>45035</v>
      </c>
      <c r="Q607" s="1" t="s">
        <v>476</v>
      </c>
      <c r="R607" s="1" t="s">
        <v>63</v>
      </c>
      <c r="S607" s="1">
        <v>2</v>
      </c>
      <c r="T607" s="12">
        <v>0.60416666666666663</v>
      </c>
      <c r="U607" s="12">
        <v>0.64583333333333337</v>
      </c>
      <c r="V607" s="1">
        <v>1</v>
      </c>
      <c r="W607" s="1">
        <v>1</v>
      </c>
      <c r="X607" s="1">
        <f t="shared" si="28"/>
        <v>2</v>
      </c>
      <c r="Y607" s="5" t="str">
        <f t="shared" si="23"/>
        <v>C</v>
      </c>
    </row>
    <row r="608" spans="2:25" x14ac:dyDescent="0.25">
      <c r="B608" s="11">
        <v>45040</v>
      </c>
      <c r="C608" s="7">
        <v>600004136024</v>
      </c>
      <c r="D608" s="5">
        <v>1</v>
      </c>
      <c r="E608" t="s">
        <v>507</v>
      </c>
      <c r="F608" t="s">
        <v>551</v>
      </c>
      <c r="G608" t="s">
        <v>656</v>
      </c>
      <c r="H608" t="s">
        <v>745</v>
      </c>
      <c r="I608" t="s">
        <v>777</v>
      </c>
      <c r="J608" s="27" t="s">
        <v>525</v>
      </c>
      <c r="K608" s="5" t="s">
        <v>15</v>
      </c>
      <c r="L608" s="1" t="s">
        <v>16</v>
      </c>
      <c r="M608" s="1" t="s">
        <v>205</v>
      </c>
      <c r="N608" s="1" t="s">
        <v>378</v>
      </c>
      <c r="O608" s="1" t="s">
        <v>19</v>
      </c>
      <c r="P608" s="9">
        <v>45040</v>
      </c>
      <c r="Q608" s="1" t="s">
        <v>477</v>
      </c>
      <c r="R608" s="1" t="s">
        <v>63</v>
      </c>
      <c r="S608" s="1">
        <v>1</v>
      </c>
      <c r="T608" s="12">
        <v>0.52083333333333337</v>
      </c>
      <c r="U608" s="12">
        <v>0.54166666666666663</v>
      </c>
      <c r="V608" s="1">
        <v>0.5</v>
      </c>
      <c r="W608" s="1">
        <v>0.5</v>
      </c>
      <c r="X608" s="1">
        <f t="shared" si="28"/>
        <v>0.5</v>
      </c>
      <c r="Y608" s="5" t="str">
        <f t="shared" si="23"/>
        <v>C</v>
      </c>
    </row>
    <row r="609" spans="2:25" x14ac:dyDescent="0.25">
      <c r="B609" s="11">
        <v>45041</v>
      </c>
      <c r="C609" s="7">
        <v>600004136236</v>
      </c>
      <c r="D609" s="4">
        <v>1</v>
      </c>
      <c r="E609" t="s">
        <v>499</v>
      </c>
      <c r="F609" t="s">
        <v>543</v>
      </c>
      <c r="G609" t="s">
        <v>648</v>
      </c>
      <c r="H609" t="s">
        <v>745</v>
      </c>
      <c r="I609" t="s">
        <v>769</v>
      </c>
      <c r="J609" s="28" t="s">
        <v>525</v>
      </c>
      <c r="K609" s="4" t="s">
        <v>15</v>
      </c>
      <c r="L609" s="1" t="s">
        <v>16</v>
      </c>
      <c r="M609" s="1" t="s">
        <v>112</v>
      </c>
      <c r="N609" s="1" t="s">
        <v>383</v>
      </c>
      <c r="O609" s="1" t="s">
        <v>19</v>
      </c>
      <c r="P609" s="9">
        <v>45041</v>
      </c>
      <c r="Q609" s="1" t="s">
        <v>478</v>
      </c>
      <c r="R609" s="1" t="s">
        <v>50</v>
      </c>
      <c r="S609" s="1">
        <v>1</v>
      </c>
      <c r="T609" s="12">
        <v>0.41666666666666669</v>
      </c>
      <c r="U609" s="12">
        <v>0.45833333333333331</v>
      </c>
      <c r="V609" s="1">
        <v>1</v>
      </c>
      <c r="W609" s="1">
        <v>1</v>
      </c>
      <c r="X609" s="1">
        <f t="shared" si="28"/>
        <v>1</v>
      </c>
      <c r="Y609" s="5" t="str">
        <f t="shared" si="23"/>
        <v>C</v>
      </c>
    </row>
    <row r="610" spans="2:25" x14ac:dyDescent="0.25">
      <c r="B610" s="11">
        <v>45042</v>
      </c>
      <c r="C610" s="7">
        <v>600004136565</v>
      </c>
      <c r="D610" s="5">
        <v>1</v>
      </c>
      <c r="E610" t="s">
        <v>507</v>
      </c>
      <c r="F610" t="s">
        <v>551</v>
      </c>
      <c r="G610" t="s">
        <v>656</v>
      </c>
      <c r="H610" t="s">
        <v>745</v>
      </c>
      <c r="I610" t="s">
        <v>777</v>
      </c>
      <c r="J610" s="27" t="s">
        <v>525</v>
      </c>
      <c r="K610" s="5" t="s">
        <v>15</v>
      </c>
      <c r="L610" s="1" t="s">
        <v>79</v>
      </c>
      <c r="M610" s="1" t="s">
        <v>263</v>
      </c>
      <c r="N610" s="1" t="s">
        <v>133</v>
      </c>
      <c r="O610" s="1" t="s">
        <v>19</v>
      </c>
      <c r="P610" s="9">
        <v>45042</v>
      </c>
      <c r="Q610" s="1" t="s">
        <v>478</v>
      </c>
      <c r="R610" s="1" t="s">
        <v>50</v>
      </c>
      <c r="S610" s="1">
        <v>1</v>
      </c>
      <c r="T610" s="12">
        <v>0.375</v>
      </c>
      <c r="U610" s="12">
        <v>0.45833333333333331</v>
      </c>
      <c r="V610" s="1">
        <v>2</v>
      </c>
      <c r="W610" s="1">
        <v>2</v>
      </c>
      <c r="X610" s="1">
        <f t="shared" si="28"/>
        <v>2</v>
      </c>
      <c r="Y610" s="5" t="str">
        <f t="shared" si="23"/>
        <v>C</v>
      </c>
    </row>
    <row r="611" spans="2:25" x14ac:dyDescent="0.25">
      <c r="B611" s="11">
        <v>45041</v>
      </c>
      <c r="C611" s="7">
        <v>600004136237</v>
      </c>
      <c r="D611" s="5">
        <v>1</v>
      </c>
      <c r="E611" t="s">
        <v>914</v>
      </c>
      <c r="F611" t="s">
        <v>619</v>
      </c>
      <c r="G611" t="s">
        <v>726</v>
      </c>
      <c r="H611" t="s">
        <v>746</v>
      </c>
      <c r="I611" t="s">
        <v>847</v>
      </c>
      <c r="J611" s="26" t="s">
        <v>525</v>
      </c>
      <c r="K611" s="5" t="s">
        <v>185</v>
      </c>
      <c r="L611" s="1" t="s">
        <v>79</v>
      </c>
      <c r="M611" s="1" t="s">
        <v>384</v>
      </c>
      <c r="N611" s="1" t="s">
        <v>67</v>
      </c>
      <c r="O611" s="1" t="s">
        <v>176</v>
      </c>
      <c r="P611" s="9">
        <v>45041</v>
      </c>
      <c r="Q611" s="1" t="s">
        <v>475</v>
      </c>
      <c r="R611" s="1" t="s">
        <v>50</v>
      </c>
      <c r="S611" s="1">
        <v>1</v>
      </c>
      <c r="T611" s="12">
        <v>0.3125</v>
      </c>
      <c r="U611" s="12">
        <v>0.39583333333333331</v>
      </c>
      <c r="V611" s="1">
        <v>2</v>
      </c>
      <c r="W611" s="1">
        <v>2</v>
      </c>
      <c r="X611" s="1">
        <f t="shared" si="28"/>
        <v>2</v>
      </c>
      <c r="Y611" s="5" t="str">
        <f t="shared" si="23"/>
        <v>C</v>
      </c>
    </row>
    <row r="612" spans="2:25" x14ac:dyDescent="0.25">
      <c r="B612" s="11">
        <v>45034</v>
      </c>
      <c r="C612" s="7">
        <v>600004134884</v>
      </c>
      <c r="D612" s="5">
        <v>1</v>
      </c>
      <c r="E612" t="s">
        <v>882</v>
      </c>
      <c r="F612" t="s">
        <v>588</v>
      </c>
      <c r="G612" t="s">
        <v>694</v>
      </c>
      <c r="H612" t="s">
        <v>745</v>
      </c>
      <c r="I612" t="s">
        <v>815</v>
      </c>
      <c r="J612" s="27" t="s">
        <v>525</v>
      </c>
      <c r="K612" s="5" t="s">
        <v>15</v>
      </c>
      <c r="L612" s="1" t="s">
        <v>71</v>
      </c>
      <c r="M612" s="1" t="s">
        <v>126</v>
      </c>
      <c r="N612" s="1" t="s">
        <v>84</v>
      </c>
      <c r="O612" s="1" t="s">
        <v>176</v>
      </c>
      <c r="P612" s="9">
        <v>45035</v>
      </c>
      <c r="Q612" s="1" t="s">
        <v>476</v>
      </c>
      <c r="R612" s="1" t="s">
        <v>63</v>
      </c>
      <c r="S612" s="1">
        <v>2</v>
      </c>
      <c r="T612" s="12">
        <v>0.4375</v>
      </c>
      <c r="U612" s="12">
        <v>0.47916666666666669</v>
      </c>
      <c r="V612" s="1">
        <v>1</v>
      </c>
      <c r="W612" s="1">
        <v>1</v>
      </c>
      <c r="X612" s="1">
        <f t="shared" si="28"/>
        <v>2</v>
      </c>
      <c r="Y612" s="5" t="str">
        <f t="shared" si="23"/>
        <v>C</v>
      </c>
    </row>
    <row r="613" spans="2:25" x14ac:dyDescent="0.25">
      <c r="B613" s="11">
        <v>45030</v>
      </c>
      <c r="C613" s="7">
        <v>600004133881</v>
      </c>
      <c r="D613" s="5">
        <v>1</v>
      </c>
      <c r="E613" t="s">
        <v>866</v>
      </c>
      <c r="F613" t="s">
        <v>573</v>
      </c>
      <c r="G613" t="s">
        <v>678</v>
      </c>
      <c r="H613" t="s">
        <v>745</v>
      </c>
      <c r="I613" t="s">
        <v>799</v>
      </c>
      <c r="J613" s="27" t="s">
        <v>524</v>
      </c>
      <c r="K613" s="5" t="s">
        <v>15</v>
      </c>
      <c r="L613" s="1" t="s">
        <v>57</v>
      </c>
      <c r="M613" s="1" t="s">
        <v>121</v>
      </c>
      <c r="N613" s="1" t="s">
        <v>110</v>
      </c>
      <c r="O613" s="1" t="s">
        <v>19</v>
      </c>
      <c r="P613" s="9">
        <v>45030</v>
      </c>
      <c r="Q613" s="1" t="s">
        <v>478</v>
      </c>
      <c r="R613" s="1" t="s">
        <v>50</v>
      </c>
      <c r="S613" s="1">
        <v>1</v>
      </c>
      <c r="T613" s="12">
        <v>0.58333333333333337</v>
      </c>
      <c r="U613" s="12">
        <v>0.66666666666666663</v>
      </c>
      <c r="V613" s="1">
        <v>2</v>
      </c>
      <c r="W613" s="1">
        <v>2</v>
      </c>
      <c r="X613" s="1">
        <f t="shared" si="28"/>
        <v>2</v>
      </c>
      <c r="Y613" s="5" t="str">
        <f t="shared" si="23"/>
        <v>C</v>
      </c>
    </row>
    <row r="614" spans="2:25" x14ac:dyDescent="0.25">
      <c r="B614" s="11">
        <v>45029</v>
      </c>
      <c r="C614" s="7">
        <v>600004133711</v>
      </c>
      <c r="D614" s="5">
        <v>1</v>
      </c>
      <c r="E614" t="s">
        <v>504</v>
      </c>
      <c r="F614" t="s">
        <v>548</v>
      </c>
      <c r="G614" t="s">
        <v>653</v>
      </c>
      <c r="H614" t="s">
        <v>745</v>
      </c>
      <c r="I614" t="s">
        <v>774</v>
      </c>
      <c r="J614" s="27" t="s">
        <v>525</v>
      </c>
      <c r="K614" s="5" t="s">
        <v>15</v>
      </c>
      <c r="L614" s="1" t="s">
        <v>71</v>
      </c>
      <c r="M614" s="1" t="s">
        <v>302</v>
      </c>
      <c r="N614" s="1" t="s">
        <v>204</v>
      </c>
      <c r="O614" s="1" t="s">
        <v>19</v>
      </c>
      <c r="P614" s="9">
        <v>45029</v>
      </c>
      <c r="Q614" s="1" t="s">
        <v>478</v>
      </c>
      <c r="R614" s="1" t="s">
        <v>50</v>
      </c>
      <c r="S614" s="1">
        <v>2</v>
      </c>
      <c r="T614" s="12">
        <v>0.54166666666666663</v>
      </c>
      <c r="U614" s="12">
        <v>0.58333333333333337</v>
      </c>
      <c r="V614" s="1">
        <v>1</v>
      </c>
      <c r="W614" s="1">
        <v>1</v>
      </c>
      <c r="X614" s="1">
        <f t="shared" si="28"/>
        <v>2</v>
      </c>
      <c r="Y614" s="5" t="str">
        <f t="shared" si="23"/>
        <v>C</v>
      </c>
    </row>
    <row r="615" spans="2:25" x14ac:dyDescent="0.25">
      <c r="B615" s="11">
        <v>45033</v>
      </c>
      <c r="C615" s="7">
        <v>600004134628</v>
      </c>
      <c r="D615" s="5">
        <v>1</v>
      </c>
      <c r="E615" t="s">
        <v>504</v>
      </c>
      <c r="F615" t="s">
        <v>548</v>
      </c>
      <c r="G615" t="s">
        <v>653</v>
      </c>
      <c r="H615" t="s">
        <v>745</v>
      </c>
      <c r="I615" t="s">
        <v>774</v>
      </c>
      <c r="J615" s="27" t="s">
        <v>525</v>
      </c>
      <c r="K615" s="5" t="s">
        <v>15</v>
      </c>
      <c r="L615" s="1" t="s">
        <v>79</v>
      </c>
      <c r="M615" s="1" t="s">
        <v>57</v>
      </c>
      <c r="N615" s="1" t="s">
        <v>133</v>
      </c>
      <c r="O615" s="1" t="s">
        <v>19</v>
      </c>
      <c r="P615" s="9">
        <v>45033</v>
      </c>
      <c r="Q615" s="1" t="s">
        <v>478</v>
      </c>
      <c r="R615" s="1" t="s">
        <v>50</v>
      </c>
      <c r="S615" s="1">
        <v>2</v>
      </c>
      <c r="T615" s="12">
        <v>0.375</v>
      </c>
      <c r="U615" s="12">
        <v>0.41666666666666669</v>
      </c>
      <c r="V615" s="1">
        <v>1</v>
      </c>
      <c r="W615" s="1">
        <v>1</v>
      </c>
      <c r="X615" s="1">
        <f t="shared" si="28"/>
        <v>2</v>
      </c>
      <c r="Y615" s="5" t="str">
        <f t="shared" si="23"/>
        <v>C</v>
      </c>
    </row>
    <row r="616" spans="2:25" x14ac:dyDescent="0.25">
      <c r="B616" s="11">
        <v>45048</v>
      </c>
      <c r="C616" s="7">
        <v>600004137675</v>
      </c>
      <c r="D616" s="5">
        <v>1</v>
      </c>
      <c r="E616" t="s">
        <v>511</v>
      </c>
      <c r="F616" t="s">
        <v>555</v>
      </c>
      <c r="G616" t="s">
        <v>660</v>
      </c>
      <c r="H616" t="s">
        <v>745</v>
      </c>
      <c r="I616" t="s">
        <v>781</v>
      </c>
      <c r="J616" s="27" t="s">
        <v>525</v>
      </c>
      <c r="K616" s="5" t="s">
        <v>15</v>
      </c>
      <c r="L616" s="1" t="s">
        <v>16</v>
      </c>
      <c r="M616" s="1" t="s">
        <v>65</v>
      </c>
      <c r="N616" s="1" t="s">
        <v>385</v>
      </c>
      <c r="O616" s="1" t="s">
        <v>19</v>
      </c>
      <c r="P616" s="9">
        <v>45048</v>
      </c>
      <c r="Q616" s="1" t="s">
        <v>479</v>
      </c>
      <c r="R616" s="1" t="s">
        <v>63</v>
      </c>
      <c r="S616" s="1">
        <v>2</v>
      </c>
      <c r="T616" s="12">
        <v>0.29166666666666669</v>
      </c>
      <c r="U616" s="12">
        <v>0.33333333333333331</v>
      </c>
      <c r="V616" s="1">
        <v>1</v>
      </c>
      <c r="W616" s="1">
        <v>1</v>
      </c>
      <c r="X616" s="1">
        <f t="shared" ref="X616:X622" si="29">PRODUCT(S616,V616)</f>
        <v>2</v>
      </c>
      <c r="Y616" s="5" t="str">
        <f t="shared" si="23"/>
        <v>C</v>
      </c>
    </row>
    <row r="617" spans="2:25" x14ac:dyDescent="0.25">
      <c r="B617" s="11">
        <v>45044</v>
      </c>
      <c r="C617" s="7">
        <v>600004137133</v>
      </c>
      <c r="D617" s="5">
        <v>1</v>
      </c>
      <c r="E617" t="s">
        <v>913</v>
      </c>
      <c r="F617" t="s">
        <v>618</v>
      </c>
      <c r="G617" t="s">
        <v>725</v>
      </c>
      <c r="H617" t="s">
        <v>743</v>
      </c>
      <c r="I617" t="s">
        <v>846</v>
      </c>
      <c r="J617" s="26" t="s">
        <v>525</v>
      </c>
      <c r="K617" s="5" t="s">
        <v>321</v>
      </c>
      <c r="L617" s="1" t="s">
        <v>89</v>
      </c>
      <c r="M617" s="1" t="s">
        <v>386</v>
      </c>
      <c r="N617" s="1" t="s">
        <v>293</v>
      </c>
      <c r="O617" s="1" t="s">
        <v>19</v>
      </c>
      <c r="P617" s="9">
        <v>45044</v>
      </c>
      <c r="Q617" s="1" t="s">
        <v>475</v>
      </c>
      <c r="R617" s="1" t="s">
        <v>63</v>
      </c>
      <c r="S617" s="1">
        <v>1</v>
      </c>
      <c r="T617" s="12">
        <v>0.29166666666666669</v>
      </c>
      <c r="U617" s="12">
        <v>0.39583333333333331</v>
      </c>
      <c r="V617" s="1">
        <v>2.5</v>
      </c>
      <c r="W617" s="1">
        <v>2.5</v>
      </c>
      <c r="X617" s="1">
        <f t="shared" si="29"/>
        <v>2.5</v>
      </c>
      <c r="Y617" s="5" t="str">
        <f t="shared" si="23"/>
        <v>B</v>
      </c>
    </row>
    <row r="618" spans="2:25" x14ac:dyDescent="0.25">
      <c r="B618" s="11">
        <v>45049</v>
      </c>
      <c r="C618" s="7">
        <v>600004137885</v>
      </c>
      <c r="D618" s="5">
        <v>1</v>
      </c>
      <c r="E618" t="s">
        <v>915</v>
      </c>
      <c r="F618" t="s">
        <v>620</v>
      </c>
      <c r="G618" t="s">
        <v>727</v>
      </c>
      <c r="H618" t="s">
        <v>746</v>
      </c>
      <c r="I618" t="s">
        <v>848</v>
      </c>
      <c r="J618" s="26" t="s">
        <v>525</v>
      </c>
      <c r="K618" s="5" t="s">
        <v>387</v>
      </c>
      <c r="L618" s="1" t="s">
        <v>89</v>
      </c>
      <c r="M618" s="1" t="s">
        <v>57</v>
      </c>
      <c r="N618" s="1" t="s">
        <v>67</v>
      </c>
      <c r="O618" s="1" t="s">
        <v>176</v>
      </c>
      <c r="P618" s="9">
        <v>45049</v>
      </c>
      <c r="Q618" s="1" t="s">
        <v>475</v>
      </c>
      <c r="R618" s="1" t="s">
        <v>63</v>
      </c>
      <c r="S618" s="1">
        <v>2</v>
      </c>
      <c r="T618" s="12">
        <v>0.54166666666666663</v>
      </c>
      <c r="U618" s="12">
        <v>0.58333333333333337</v>
      </c>
      <c r="V618" s="1">
        <v>1</v>
      </c>
      <c r="W618" s="1">
        <v>1</v>
      </c>
      <c r="X618" s="1">
        <f t="shared" si="29"/>
        <v>2</v>
      </c>
      <c r="Y618" s="5" t="str">
        <f t="shared" si="23"/>
        <v>C</v>
      </c>
    </row>
    <row r="619" spans="2:25" x14ac:dyDescent="0.25">
      <c r="B619" s="11">
        <v>45042</v>
      </c>
      <c r="C619" s="7">
        <v>600004136649</v>
      </c>
      <c r="D619" s="5">
        <v>1</v>
      </c>
      <c r="E619" t="s">
        <v>507</v>
      </c>
      <c r="F619" t="s">
        <v>551</v>
      </c>
      <c r="G619" t="s">
        <v>656</v>
      </c>
      <c r="H619" t="s">
        <v>745</v>
      </c>
      <c r="I619" t="s">
        <v>777</v>
      </c>
      <c r="J619" s="27" t="s">
        <v>525</v>
      </c>
      <c r="K619" s="5" t="s">
        <v>15</v>
      </c>
      <c r="L619" s="1" t="s">
        <v>16</v>
      </c>
      <c r="M619" s="1" t="s">
        <v>137</v>
      </c>
      <c r="N619" s="1" t="s">
        <v>67</v>
      </c>
      <c r="O619" s="1" t="s">
        <v>19</v>
      </c>
      <c r="P619" s="9">
        <v>45043</v>
      </c>
      <c r="Q619" s="1" t="s">
        <v>477</v>
      </c>
      <c r="R619" s="1" t="s">
        <v>63</v>
      </c>
      <c r="S619" s="1">
        <v>3</v>
      </c>
      <c r="T619" s="12">
        <v>0.35416666666666669</v>
      </c>
      <c r="U619" s="12">
        <v>0.41666666666666669</v>
      </c>
      <c r="V619" s="1">
        <v>1.5</v>
      </c>
      <c r="W619" s="1">
        <v>1.5</v>
      </c>
      <c r="X619" s="1">
        <f t="shared" si="29"/>
        <v>4.5</v>
      </c>
      <c r="Y619" s="5" t="str">
        <f t="shared" si="23"/>
        <v>C</v>
      </c>
    </row>
    <row r="620" spans="2:25" x14ac:dyDescent="0.25">
      <c r="B620" s="11">
        <v>45042</v>
      </c>
      <c r="C620" s="7">
        <v>600004136564</v>
      </c>
      <c r="D620" s="5">
        <v>1</v>
      </c>
      <c r="E620" t="s">
        <v>493</v>
      </c>
      <c r="F620" t="s">
        <v>537</v>
      </c>
      <c r="G620" t="s">
        <v>642</v>
      </c>
      <c r="H620" t="s">
        <v>745</v>
      </c>
      <c r="I620" t="s">
        <v>763</v>
      </c>
      <c r="J620" s="27" t="s">
        <v>525</v>
      </c>
      <c r="K620" s="5" t="s">
        <v>15</v>
      </c>
      <c r="L620" s="1" t="s">
        <v>89</v>
      </c>
      <c r="M620" s="1" t="s">
        <v>57</v>
      </c>
      <c r="N620" s="1" t="s">
        <v>88</v>
      </c>
      <c r="O620" s="1" t="s">
        <v>19</v>
      </c>
      <c r="P620" s="9">
        <v>45042</v>
      </c>
      <c r="Q620" s="1" t="s">
        <v>477</v>
      </c>
      <c r="R620" s="1" t="s">
        <v>63</v>
      </c>
      <c r="S620" s="1">
        <v>1</v>
      </c>
      <c r="T620" s="12">
        <v>0.29166666666666669</v>
      </c>
      <c r="U620" s="12">
        <v>0.3125</v>
      </c>
      <c r="V620" s="1">
        <v>0.5</v>
      </c>
      <c r="W620" s="1">
        <v>0.5</v>
      </c>
      <c r="X620" s="1">
        <f t="shared" si="29"/>
        <v>0.5</v>
      </c>
      <c r="Y620" s="5" t="str">
        <f t="shared" si="23"/>
        <v>C</v>
      </c>
    </row>
    <row r="621" spans="2:25" x14ac:dyDescent="0.25">
      <c r="B621" s="11">
        <v>45049</v>
      </c>
      <c r="C621" s="7">
        <v>600004137859</v>
      </c>
      <c r="D621" s="5">
        <v>1</v>
      </c>
      <c r="E621" t="s">
        <v>875</v>
      </c>
      <c r="F621" t="s">
        <v>581</v>
      </c>
      <c r="G621" t="s">
        <v>687</v>
      </c>
      <c r="H621" t="s">
        <v>745</v>
      </c>
      <c r="I621" t="s">
        <v>808</v>
      </c>
      <c r="J621" s="27" t="s">
        <v>525</v>
      </c>
      <c r="K621" s="5" t="s">
        <v>15</v>
      </c>
      <c r="L621" s="1" t="s">
        <v>57</v>
      </c>
      <c r="M621" s="1" t="s">
        <v>68</v>
      </c>
      <c r="N621" s="1" t="s">
        <v>306</v>
      </c>
      <c r="O621" s="1" t="s">
        <v>19</v>
      </c>
      <c r="P621" s="9">
        <v>45049</v>
      </c>
      <c r="Q621" s="1" t="s">
        <v>475</v>
      </c>
      <c r="R621" s="1" t="s">
        <v>63</v>
      </c>
      <c r="S621" s="1">
        <v>3</v>
      </c>
      <c r="T621" s="12">
        <v>0.29166666666666669</v>
      </c>
      <c r="U621" s="12">
        <v>0.4375</v>
      </c>
      <c r="V621" s="1">
        <v>3.5</v>
      </c>
      <c r="W621" s="1">
        <v>3.5</v>
      </c>
      <c r="X621" s="1">
        <f t="shared" si="29"/>
        <v>10.5</v>
      </c>
      <c r="Y621" s="5" t="str">
        <f t="shared" ref="Y621:Y684" si="30">IF(W621=0,"D",IF(W621&lt;=2,"C",IF(W621&lt;=8,"B",IF(W621&gt;8,"A"))))</f>
        <v>B</v>
      </c>
    </row>
    <row r="622" spans="2:25" x14ac:dyDescent="0.25">
      <c r="B622" s="11">
        <v>45049</v>
      </c>
      <c r="C622" s="7">
        <v>600004137858</v>
      </c>
      <c r="D622" s="5">
        <v>1</v>
      </c>
      <c r="E622" t="s">
        <v>493</v>
      </c>
      <c r="F622" t="s">
        <v>537</v>
      </c>
      <c r="G622" t="s">
        <v>642</v>
      </c>
      <c r="H622" t="s">
        <v>745</v>
      </c>
      <c r="I622" t="s">
        <v>763</v>
      </c>
      <c r="J622" s="27" t="s">
        <v>525</v>
      </c>
      <c r="K622" s="5" t="s">
        <v>15</v>
      </c>
      <c r="L622" s="1" t="s">
        <v>16</v>
      </c>
      <c r="M622" s="1" t="s">
        <v>205</v>
      </c>
      <c r="N622" s="1" t="s">
        <v>52</v>
      </c>
      <c r="O622" s="1" t="s">
        <v>19</v>
      </c>
      <c r="P622" s="9">
        <v>45049</v>
      </c>
      <c r="Q622" s="1" t="s">
        <v>477</v>
      </c>
      <c r="R622" s="1" t="s">
        <v>63</v>
      </c>
      <c r="S622" s="1">
        <v>3</v>
      </c>
      <c r="T622" s="12">
        <v>0.29166666666666669</v>
      </c>
      <c r="U622" s="12">
        <v>0.375</v>
      </c>
      <c r="V622" s="1">
        <v>2</v>
      </c>
      <c r="W622" s="1">
        <v>2</v>
      </c>
      <c r="X622" s="1">
        <f t="shared" si="29"/>
        <v>6</v>
      </c>
      <c r="Y622" s="5" t="str">
        <f t="shared" si="30"/>
        <v>C</v>
      </c>
    </row>
    <row r="623" spans="2:25" x14ac:dyDescent="0.25">
      <c r="B623" s="11">
        <v>45057</v>
      </c>
      <c r="C623" s="7">
        <v>600004139931</v>
      </c>
      <c r="D623" s="5">
        <v>1</v>
      </c>
      <c r="E623" t="s">
        <v>497</v>
      </c>
      <c r="F623" t="s">
        <v>541</v>
      </c>
      <c r="G623" t="s">
        <v>646</v>
      </c>
      <c r="H623" t="s">
        <v>746</v>
      </c>
      <c r="I623" t="s">
        <v>767</v>
      </c>
      <c r="J623" s="27" t="s">
        <v>525</v>
      </c>
      <c r="K623" s="5" t="s">
        <v>76</v>
      </c>
      <c r="L623" s="1" t="s">
        <v>79</v>
      </c>
      <c r="M623" s="1" t="s">
        <v>263</v>
      </c>
      <c r="N623" s="1" t="s">
        <v>388</v>
      </c>
      <c r="O623" s="1" t="s">
        <v>19</v>
      </c>
      <c r="P623" s="9">
        <v>45058</v>
      </c>
      <c r="Q623" s="1" t="s">
        <v>475</v>
      </c>
      <c r="R623" s="1" t="s">
        <v>50</v>
      </c>
      <c r="S623" s="1">
        <v>2</v>
      </c>
      <c r="T623" s="12">
        <v>0.29166666666666669</v>
      </c>
      <c r="U623" s="12">
        <v>0.35416666666666669</v>
      </c>
      <c r="V623" s="1">
        <v>1.5</v>
      </c>
      <c r="W623" s="1">
        <v>1.5</v>
      </c>
      <c r="X623" s="1">
        <f t="shared" ref="X623:X636" si="31">PRODUCT(S623,V623)</f>
        <v>3</v>
      </c>
      <c r="Y623" s="5" t="str">
        <f t="shared" si="30"/>
        <v>C</v>
      </c>
    </row>
    <row r="624" spans="2:25" x14ac:dyDescent="0.25">
      <c r="B624" s="11">
        <v>45056</v>
      </c>
      <c r="C624" s="7">
        <v>600004139735</v>
      </c>
      <c r="D624" s="5">
        <v>1</v>
      </c>
      <c r="E624" t="s">
        <v>482</v>
      </c>
      <c r="F624" t="s">
        <v>526</v>
      </c>
      <c r="G624" t="s">
        <v>631</v>
      </c>
      <c r="H624" t="s">
        <v>740</v>
      </c>
      <c r="I624" t="s">
        <v>752</v>
      </c>
      <c r="J624" s="27" t="s">
        <v>524</v>
      </c>
      <c r="K624" s="5" t="s">
        <v>70</v>
      </c>
      <c r="L624" s="1" t="s">
        <v>79</v>
      </c>
      <c r="M624" s="1" t="s">
        <v>80</v>
      </c>
      <c r="N624" s="1" t="s">
        <v>256</v>
      </c>
      <c r="O624" s="1" t="s">
        <v>19</v>
      </c>
      <c r="P624" s="9">
        <v>45056</v>
      </c>
      <c r="Q624" s="1" t="s">
        <v>474</v>
      </c>
      <c r="R624" s="1" t="s">
        <v>50</v>
      </c>
      <c r="S624" s="1">
        <v>1</v>
      </c>
      <c r="T624" s="12">
        <v>0.58333333333333337</v>
      </c>
      <c r="U624" s="12">
        <v>0.625</v>
      </c>
      <c r="V624" s="1">
        <v>1</v>
      </c>
      <c r="W624" s="1">
        <v>1</v>
      </c>
      <c r="X624" s="1">
        <f t="shared" si="31"/>
        <v>1</v>
      </c>
      <c r="Y624" s="5" t="str">
        <f t="shared" si="30"/>
        <v>C</v>
      </c>
    </row>
    <row r="625" spans="2:25" x14ac:dyDescent="0.25">
      <c r="B625" s="11">
        <v>45055</v>
      </c>
      <c r="C625" s="7">
        <v>600004139418</v>
      </c>
      <c r="D625" s="5">
        <v>1</v>
      </c>
      <c r="E625" t="s">
        <v>867</v>
      </c>
      <c r="F625" t="s">
        <v>574</v>
      </c>
      <c r="G625" t="s">
        <v>679</v>
      </c>
      <c r="H625" t="s">
        <v>745</v>
      </c>
      <c r="I625" t="s">
        <v>800</v>
      </c>
      <c r="J625" s="27" t="s">
        <v>525</v>
      </c>
      <c r="K625" s="5" t="s">
        <v>171</v>
      </c>
      <c r="L625" s="1" t="s">
        <v>57</v>
      </c>
      <c r="M625" s="1" t="s">
        <v>359</v>
      </c>
      <c r="N625" s="1" t="s">
        <v>194</v>
      </c>
      <c r="O625" s="1" t="s">
        <v>19</v>
      </c>
      <c r="P625" s="9">
        <v>45055</v>
      </c>
      <c r="Q625" s="1" t="s">
        <v>477</v>
      </c>
      <c r="R625" s="1" t="s">
        <v>63</v>
      </c>
      <c r="S625" s="1">
        <v>1</v>
      </c>
      <c r="T625" s="12">
        <v>0.60416666666666663</v>
      </c>
      <c r="U625" s="12">
        <v>0.64583333333333337</v>
      </c>
      <c r="V625" s="1">
        <v>1</v>
      </c>
      <c r="W625" s="1">
        <v>1</v>
      </c>
      <c r="X625" s="1">
        <f t="shared" si="31"/>
        <v>1</v>
      </c>
      <c r="Y625" s="5" t="str">
        <f t="shared" si="30"/>
        <v>C</v>
      </c>
    </row>
    <row r="626" spans="2:25" x14ac:dyDescent="0.25">
      <c r="B626" s="11">
        <v>45054</v>
      </c>
      <c r="C626" s="7">
        <v>600004139119</v>
      </c>
      <c r="D626" s="5">
        <v>1</v>
      </c>
      <c r="E626" t="s">
        <v>507</v>
      </c>
      <c r="F626" t="s">
        <v>551</v>
      </c>
      <c r="G626" t="s">
        <v>656</v>
      </c>
      <c r="H626" t="s">
        <v>745</v>
      </c>
      <c r="I626" t="s">
        <v>777</v>
      </c>
      <c r="J626" s="27" t="s">
        <v>525</v>
      </c>
      <c r="K626" s="5" t="s">
        <v>15</v>
      </c>
      <c r="L626" s="1" t="s">
        <v>16</v>
      </c>
      <c r="M626" s="1" t="s">
        <v>137</v>
      </c>
      <c r="N626" s="1" t="s">
        <v>67</v>
      </c>
      <c r="O626" s="1" t="s">
        <v>19</v>
      </c>
      <c r="P626" s="9">
        <v>45054</v>
      </c>
      <c r="Q626" s="1" t="s">
        <v>477</v>
      </c>
      <c r="R626" s="1" t="s">
        <v>63</v>
      </c>
      <c r="S626" s="1">
        <v>2</v>
      </c>
      <c r="T626" s="12">
        <v>0.3125</v>
      </c>
      <c r="U626" s="12">
        <v>0.375</v>
      </c>
      <c r="V626" s="1">
        <v>1.5</v>
      </c>
      <c r="W626" s="1">
        <v>1.5</v>
      </c>
      <c r="X626" s="1">
        <f t="shared" si="31"/>
        <v>3</v>
      </c>
      <c r="Y626" s="5" t="str">
        <f t="shared" si="30"/>
        <v>C</v>
      </c>
    </row>
    <row r="627" spans="2:25" x14ac:dyDescent="0.25">
      <c r="B627" s="11">
        <v>45048</v>
      </c>
      <c r="C627" s="7">
        <v>600004137677</v>
      </c>
      <c r="D627" s="4">
        <v>1</v>
      </c>
      <c r="E627" t="s">
        <v>496</v>
      </c>
      <c r="F627" t="s">
        <v>540</v>
      </c>
      <c r="G627" t="s">
        <v>645</v>
      </c>
      <c r="H627" t="s">
        <v>745</v>
      </c>
      <c r="I627" t="s">
        <v>766</v>
      </c>
      <c r="J627" s="29" t="s">
        <v>525</v>
      </c>
      <c r="K627" s="4" t="s">
        <v>15</v>
      </c>
      <c r="L627" s="1" t="s">
        <v>79</v>
      </c>
      <c r="M627" s="1" t="s">
        <v>62</v>
      </c>
      <c r="N627" s="1" t="s">
        <v>110</v>
      </c>
      <c r="O627" s="1" t="s">
        <v>19</v>
      </c>
      <c r="P627" s="9">
        <v>45048</v>
      </c>
      <c r="Q627" s="1" t="s">
        <v>478</v>
      </c>
      <c r="R627" s="1" t="s">
        <v>50</v>
      </c>
      <c r="S627" s="1">
        <v>1</v>
      </c>
      <c r="T627" s="12">
        <v>0.33333333333333331</v>
      </c>
      <c r="U627" s="12">
        <v>0.41666666666666669</v>
      </c>
      <c r="V627" s="1">
        <v>2</v>
      </c>
      <c r="W627" s="1">
        <v>2</v>
      </c>
      <c r="X627" s="1">
        <f t="shared" si="31"/>
        <v>2</v>
      </c>
      <c r="Y627" s="5" t="str">
        <f t="shared" si="30"/>
        <v>C</v>
      </c>
    </row>
    <row r="628" spans="2:25" x14ac:dyDescent="0.25">
      <c r="B628" s="11">
        <v>45048</v>
      </c>
      <c r="C628" s="7">
        <v>600004137676</v>
      </c>
      <c r="D628" s="5">
        <v>1</v>
      </c>
      <c r="E628" t="s">
        <v>507</v>
      </c>
      <c r="F628" t="s">
        <v>551</v>
      </c>
      <c r="G628" t="s">
        <v>656</v>
      </c>
      <c r="H628" t="s">
        <v>745</v>
      </c>
      <c r="I628" t="s">
        <v>777</v>
      </c>
      <c r="J628" s="27" t="s">
        <v>525</v>
      </c>
      <c r="K628" s="5" t="s">
        <v>15</v>
      </c>
      <c r="L628" s="1" t="s">
        <v>57</v>
      </c>
      <c r="M628" s="1" t="s">
        <v>384</v>
      </c>
      <c r="N628" s="1" t="s">
        <v>293</v>
      </c>
      <c r="O628" s="1" t="s">
        <v>19</v>
      </c>
      <c r="P628" s="9">
        <v>45048</v>
      </c>
      <c r="Q628" s="1" t="s">
        <v>476</v>
      </c>
      <c r="R628" s="1" t="s">
        <v>63</v>
      </c>
      <c r="S628" s="1">
        <v>1</v>
      </c>
      <c r="T628" s="12">
        <v>0.375</v>
      </c>
      <c r="U628" s="12">
        <v>0.41666666666666669</v>
      </c>
      <c r="V628" s="1">
        <v>1</v>
      </c>
      <c r="W628" s="1">
        <v>1</v>
      </c>
      <c r="X628" s="1">
        <f t="shared" si="31"/>
        <v>1</v>
      </c>
      <c r="Y628" s="5" t="str">
        <f t="shared" si="30"/>
        <v>C</v>
      </c>
    </row>
    <row r="629" spans="2:25" x14ac:dyDescent="0.25">
      <c r="B629" s="11">
        <v>45050</v>
      </c>
      <c r="C629" s="7">
        <v>600004138078</v>
      </c>
      <c r="D629" s="5">
        <v>1</v>
      </c>
      <c r="E629" t="s">
        <v>494</v>
      </c>
      <c r="F629" t="s">
        <v>538</v>
      </c>
      <c r="G629" t="s">
        <v>643</v>
      </c>
      <c r="H629" t="s">
        <v>745</v>
      </c>
      <c r="I629" t="s">
        <v>764</v>
      </c>
      <c r="J629" s="29" t="s">
        <v>525</v>
      </c>
      <c r="K629" s="4" t="s">
        <v>15</v>
      </c>
      <c r="L629" s="1" t="s">
        <v>57</v>
      </c>
      <c r="M629" s="1" t="s">
        <v>34</v>
      </c>
      <c r="N629" s="1" t="s">
        <v>68</v>
      </c>
      <c r="O629" s="1" t="s">
        <v>19</v>
      </c>
      <c r="P629" s="9">
        <v>45050</v>
      </c>
      <c r="Q629" s="1" t="s">
        <v>477</v>
      </c>
      <c r="R629" s="1" t="s">
        <v>63</v>
      </c>
      <c r="S629" s="1">
        <v>1</v>
      </c>
      <c r="T629" s="12">
        <v>0.29166666666666669</v>
      </c>
      <c r="U629" s="12">
        <v>0.33333333333333331</v>
      </c>
      <c r="V629" s="1">
        <v>1</v>
      </c>
      <c r="W629" s="1">
        <v>1</v>
      </c>
      <c r="X629" s="1">
        <f t="shared" si="31"/>
        <v>1</v>
      </c>
      <c r="Y629" s="5" t="str">
        <f t="shared" si="30"/>
        <v>C</v>
      </c>
    </row>
    <row r="630" spans="2:25" x14ac:dyDescent="0.25">
      <c r="B630" s="11">
        <v>45056</v>
      </c>
      <c r="C630" s="7">
        <v>600004139720</v>
      </c>
      <c r="D630" s="5">
        <v>1</v>
      </c>
      <c r="E630" t="s">
        <v>512</v>
      </c>
      <c r="F630" t="s">
        <v>556</v>
      </c>
      <c r="G630" t="s">
        <v>661</v>
      </c>
      <c r="H630" t="s">
        <v>745</v>
      </c>
      <c r="I630" t="s">
        <v>782</v>
      </c>
      <c r="J630" s="26" t="s">
        <v>525</v>
      </c>
      <c r="K630" s="5" t="s">
        <v>88</v>
      </c>
      <c r="L630" s="1" t="s">
        <v>57</v>
      </c>
      <c r="M630" s="1" t="s">
        <v>172</v>
      </c>
      <c r="N630" s="1" t="s">
        <v>59</v>
      </c>
      <c r="O630" s="1" t="s">
        <v>176</v>
      </c>
      <c r="P630" s="9">
        <v>45056</v>
      </c>
      <c r="Q630" s="1" t="s">
        <v>475</v>
      </c>
      <c r="R630" s="1" t="s">
        <v>50</v>
      </c>
      <c r="S630" s="1">
        <v>1</v>
      </c>
      <c r="T630" s="12">
        <v>0.41666666666666669</v>
      </c>
      <c r="U630" s="12">
        <v>0.45833333333333331</v>
      </c>
      <c r="V630" s="1">
        <v>1</v>
      </c>
      <c r="W630" s="1">
        <v>1</v>
      </c>
      <c r="X630" s="1">
        <f t="shared" si="31"/>
        <v>1</v>
      </c>
      <c r="Y630" s="5" t="str">
        <f t="shared" si="30"/>
        <v>C</v>
      </c>
    </row>
    <row r="631" spans="2:25" x14ac:dyDescent="0.25">
      <c r="B631" s="11">
        <v>45062</v>
      </c>
      <c r="C631" s="7">
        <v>600004141048</v>
      </c>
      <c r="D631" s="5">
        <v>1</v>
      </c>
      <c r="E631" t="s">
        <v>865</v>
      </c>
      <c r="F631" t="s">
        <v>572</v>
      </c>
      <c r="G631" t="s">
        <v>677</v>
      </c>
      <c r="H631" t="s">
        <v>745</v>
      </c>
      <c r="I631" t="s">
        <v>798</v>
      </c>
      <c r="J631" s="27" t="s">
        <v>525</v>
      </c>
      <c r="K631" s="5" t="s">
        <v>168</v>
      </c>
      <c r="L631" s="1" t="s">
        <v>79</v>
      </c>
      <c r="M631" s="1" t="s">
        <v>57</v>
      </c>
      <c r="N631" s="1" t="s">
        <v>369</v>
      </c>
      <c r="O631" s="1" t="s">
        <v>176</v>
      </c>
      <c r="P631" s="9">
        <v>45062</v>
      </c>
      <c r="Q631" s="1" t="s">
        <v>475</v>
      </c>
      <c r="R631" s="1" t="s">
        <v>50</v>
      </c>
      <c r="S631" s="1">
        <v>1</v>
      </c>
      <c r="T631" s="12">
        <v>0.54166666666666663</v>
      </c>
      <c r="U631" s="12">
        <v>0.5625</v>
      </c>
      <c r="V631" s="1">
        <v>0.5</v>
      </c>
      <c r="W631" s="1">
        <v>0.5</v>
      </c>
      <c r="X631" s="1">
        <f t="shared" si="31"/>
        <v>0.5</v>
      </c>
      <c r="Y631" s="5" t="str">
        <f t="shared" si="30"/>
        <v>C</v>
      </c>
    </row>
    <row r="632" spans="2:25" x14ac:dyDescent="0.25">
      <c r="B632" s="11">
        <v>45051</v>
      </c>
      <c r="C632" s="7">
        <v>600004138469</v>
      </c>
      <c r="D632" s="5">
        <v>1</v>
      </c>
      <c r="E632" t="s">
        <v>515</v>
      </c>
      <c r="F632" t="s">
        <v>559</v>
      </c>
      <c r="G632" t="s">
        <v>664</v>
      </c>
      <c r="H632" t="s">
        <v>745</v>
      </c>
      <c r="I632" t="s">
        <v>785</v>
      </c>
      <c r="J632" s="26" t="s">
        <v>525</v>
      </c>
      <c r="K632" s="5" t="s">
        <v>122</v>
      </c>
      <c r="L632" s="1" t="s">
        <v>173</v>
      </c>
      <c r="M632" s="1" t="s">
        <v>389</v>
      </c>
      <c r="N632" s="1" t="s">
        <v>305</v>
      </c>
      <c r="O632" s="1" t="s">
        <v>19</v>
      </c>
      <c r="P632" s="9">
        <v>45051</v>
      </c>
      <c r="Q632" s="1" t="s">
        <v>479</v>
      </c>
      <c r="R632" s="1" t="s">
        <v>63</v>
      </c>
      <c r="S632" s="1">
        <v>3</v>
      </c>
      <c r="T632" s="12">
        <v>0.39583333333333331</v>
      </c>
      <c r="U632" s="12">
        <v>0.4375</v>
      </c>
      <c r="V632" s="1">
        <v>1</v>
      </c>
      <c r="W632" s="1">
        <v>1</v>
      </c>
      <c r="X632" s="1">
        <f t="shared" si="31"/>
        <v>3</v>
      </c>
      <c r="Y632" s="5" t="str">
        <f t="shared" si="30"/>
        <v>C</v>
      </c>
    </row>
    <row r="633" spans="2:25" x14ac:dyDescent="0.25">
      <c r="B633" s="11">
        <v>45062</v>
      </c>
      <c r="C633" s="7">
        <v>600004141047</v>
      </c>
      <c r="D633" s="5">
        <v>1</v>
      </c>
      <c r="E633" t="s">
        <v>522</v>
      </c>
      <c r="F633" t="s">
        <v>566</v>
      </c>
      <c r="G633" t="s">
        <v>671</v>
      </c>
      <c r="H633" t="s">
        <v>746</v>
      </c>
      <c r="I633" t="s">
        <v>792</v>
      </c>
      <c r="J633" s="26" t="s">
        <v>525</v>
      </c>
      <c r="K633" s="5" t="s">
        <v>185</v>
      </c>
      <c r="L633" s="1" t="s">
        <v>79</v>
      </c>
      <c r="M633" s="1" t="s">
        <v>128</v>
      </c>
      <c r="N633" s="1" t="s">
        <v>390</v>
      </c>
      <c r="O633" s="1" t="s">
        <v>19</v>
      </c>
      <c r="P633" s="9">
        <v>45062</v>
      </c>
      <c r="Q633" s="1" t="s">
        <v>475</v>
      </c>
      <c r="R633" s="1" t="s">
        <v>50</v>
      </c>
      <c r="S633" s="1">
        <v>2</v>
      </c>
      <c r="T633" s="12">
        <v>0.25</v>
      </c>
      <c r="U633" s="12">
        <v>0.29166666666666669</v>
      </c>
      <c r="V633" s="1">
        <v>1</v>
      </c>
      <c r="W633" s="1">
        <v>1</v>
      </c>
      <c r="X633" s="1">
        <f t="shared" si="31"/>
        <v>2</v>
      </c>
      <c r="Y633" s="5" t="str">
        <f t="shared" si="30"/>
        <v>C</v>
      </c>
    </row>
    <row r="634" spans="2:25" x14ac:dyDescent="0.25">
      <c r="B634" s="11">
        <v>45064</v>
      </c>
      <c r="C634" s="7">
        <v>600004141655</v>
      </c>
      <c r="D634" s="5">
        <v>1</v>
      </c>
      <c r="E634" t="s">
        <v>494</v>
      </c>
      <c r="F634" t="s">
        <v>538</v>
      </c>
      <c r="G634" t="s">
        <v>643</v>
      </c>
      <c r="H634" t="s">
        <v>745</v>
      </c>
      <c r="I634" t="s">
        <v>764</v>
      </c>
      <c r="J634" s="29" t="s">
        <v>525</v>
      </c>
      <c r="K634" s="4" t="s">
        <v>15</v>
      </c>
      <c r="L634" s="1" t="s">
        <v>79</v>
      </c>
      <c r="M634" s="1" t="s">
        <v>62</v>
      </c>
      <c r="N634" s="1" t="s">
        <v>110</v>
      </c>
      <c r="O634" s="1" t="s">
        <v>19</v>
      </c>
      <c r="P634" s="9">
        <v>45064</v>
      </c>
      <c r="Q634" s="1" t="s">
        <v>475</v>
      </c>
      <c r="R634" s="1" t="s">
        <v>50</v>
      </c>
      <c r="S634" s="1">
        <v>2</v>
      </c>
      <c r="T634" s="12">
        <v>0.54166666666666663</v>
      </c>
      <c r="U634" s="12">
        <v>0.58333333333333337</v>
      </c>
      <c r="V634" s="1">
        <v>1</v>
      </c>
      <c r="W634" s="1">
        <v>2</v>
      </c>
      <c r="X634" s="1">
        <f t="shared" si="31"/>
        <v>2</v>
      </c>
      <c r="Y634" s="5" t="str">
        <f t="shared" si="30"/>
        <v>C</v>
      </c>
    </row>
    <row r="635" spans="2:25" x14ac:dyDescent="0.25">
      <c r="B635" s="11">
        <v>45062</v>
      </c>
      <c r="C635" s="7">
        <v>600004141142</v>
      </c>
      <c r="D635" s="5">
        <v>1</v>
      </c>
      <c r="E635" t="s">
        <v>875</v>
      </c>
      <c r="F635" t="s">
        <v>581</v>
      </c>
      <c r="G635" t="s">
        <v>687</v>
      </c>
      <c r="H635" t="s">
        <v>745</v>
      </c>
      <c r="I635" t="s">
        <v>808</v>
      </c>
      <c r="J635" s="27" t="s">
        <v>525</v>
      </c>
      <c r="K635" s="5" t="s">
        <v>15</v>
      </c>
      <c r="L635" s="1" t="s">
        <v>71</v>
      </c>
      <c r="M635" s="1" t="s">
        <v>60</v>
      </c>
      <c r="N635" s="1" t="s">
        <v>84</v>
      </c>
      <c r="O635" s="1" t="s">
        <v>176</v>
      </c>
      <c r="P635" s="9">
        <v>45063</v>
      </c>
      <c r="Q635" s="1" t="s">
        <v>477</v>
      </c>
      <c r="R635" s="1" t="s">
        <v>63</v>
      </c>
      <c r="S635" s="1">
        <v>1</v>
      </c>
      <c r="T635" s="12">
        <v>0.375</v>
      </c>
      <c r="U635" s="12">
        <v>0.41666666666666669</v>
      </c>
      <c r="V635" s="1">
        <v>1</v>
      </c>
      <c r="W635" s="1">
        <v>1</v>
      </c>
      <c r="X635" s="1">
        <f t="shared" si="31"/>
        <v>1</v>
      </c>
      <c r="Y635" s="5" t="str">
        <f t="shared" si="30"/>
        <v>C</v>
      </c>
    </row>
    <row r="636" spans="2:25" x14ac:dyDescent="0.25">
      <c r="B636" s="11">
        <v>45056</v>
      </c>
      <c r="C636" s="7">
        <v>600004139736</v>
      </c>
      <c r="D636" s="5">
        <v>1</v>
      </c>
      <c r="E636" t="s">
        <v>501</v>
      </c>
      <c r="F636" t="s">
        <v>545</v>
      </c>
      <c r="G636" t="s">
        <v>650</v>
      </c>
      <c r="H636" t="s">
        <v>740</v>
      </c>
      <c r="I636" t="s">
        <v>771</v>
      </c>
      <c r="J636" s="27" t="s">
        <v>524</v>
      </c>
      <c r="K636" s="5" t="s">
        <v>70</v>
      </c>
      <c r="L636" s="1" t="s">
        <v>71</v>
      </c>
      <c r="M636" s="1" t="s">
        <v>259</v>
      </c>
      <c r="N636" s="1" t="s">
        <v>67</v>
      </c>
      <c r="O636" s="1" t="s">
        <v>176</v>
      </c>
      <c r="P636" s="9">
        <v>45056</v>
      </c>
      <c r="Q636" s="1" t="s">
        <v>481</v>
      </c>
      <c r="R636" s="1" t="s">
        <v>63</v>
      </c>
      <c r="S636" s="1">
        <v>1</v>
      </c>
      <c r="T636" s="12">
        <v>0.625</v>
      </c>
      <c r="U636" s="12">
        <v>0.66666666666666663</v>
      </c>
      <c r="V636" s="1">
        <v>1</v>
      </c>
      <c r="W636" s="1">
        <v>1</v>
      </c>
      <c r="X636" s="1">
        <f t="shared" si="31"/>
        <v>1</v>
      </c>
      <c r="Y636" s="5" t="str">
        <f t="shared" si="30"/>
        <v>C</v>
      </c>
    </row>
    <row r="637" spans="2:25" x14ac:dyDescent="0.25">
      <c r="B637" s="11">
        <v>45058</v>
      </c>
      <c r="C637" s="7">
        <v>600004140139</v>
      </c>
      <c r="D637" s="5">
        <v>1</v>
      </c>
      <c r="E637" t="s">
        <v>482</v>
      </c>
      <c r="F637" t="s">
        <v>526</v>
      </c>
      <c r="G637" t="s">
        <v>631</v>
      </c>
      <c r="H637" t="s">
        <v>740</v>
      </c>
      <c r="I637" t="s">
        <v>752</v>
      </c>
      <c r="J637" s="27" t="s">
        <v>524</v>
      </c>
      <c r="K637" s="5" t="s">
        <v>70</v>
      </c>
      <c r="L637" s="1" t="s">
        <v>36</v>
      </c>
      <c r="M637" s="1" t="s">
        <v>391</v>
      </c>
      <c r="N637" s="1" t="s">
        <v>112</v>
      </c>
      <c r="O637" s="1" t="s">
        <v>176</v>
      </c>
      <c r="P637" s="9">
        <v>45058</v>
      </c>
      <c r="Q637" s="1" t="s">
        <v>473</v>
      </c>
      <c r="R637" s="1" t="s">
        <v>63</v>
      </c>
      <c r="S637" s="1">
        <v>2</v>
      </c>
      <c r="T637" s="12">
        <v>0.25</v>
      </c>
      <c r="U637" s="12">
        <v>0.54166666666666663</v>
      </c>
      <c r="V637" s="1">
        <v>7</v>
      </c>
      <c r="W637" s="1">
        <v>7</v>
      </c>
      <c r="X637" s="1">
        <f t="shared" ref="X637:X644" si="32">PRODUCT(S637,V637)</f>
        <v>14</v>
      </c>
      <c r="Y637" s="5" t="str">
        <f t="shared" si="30"/>
        <v>B</v>
      </c>
    </row>
    <row r="638" spans="2:25" x14ac:dyDescent="0.25">
      <c r="B638" s="11">
        <v>45065</v>
      </c>
      <c r="C638" s="7">
        <v>600004141805</v>
      </c>
      <c r="D638" s="5">
        <v>1</v>
      </c>
      <c r="E638" t="s">
        <v>905</v>
      </c>
      <c r="F638" t="s">
        <v>610</v>
      </c>
      <c r="G638" t="s">
        <v>717</v>
      </c>
      <c r="H638" t="s">
        <v>749</v>
      </c>
      <c r="I638" t="s">
        <v>838</v>
      </c>
      <c r="J638" s="27" t="s">
        <v>524</v>
      </c>
      <c r="K638" s="5" t="s">
        <v>127</v>
      </c>
      <c r="L638" s="1" t="s">
        <v>36</v>
      </c>
      <c r="M638" s="1" t="s">
        <v>96</v>
      </c>
      <c r="N638" s="1" t="s">
        <v>227</v>
      </c>
      <c r="O638" s="1" t="s">
        <v>19</v>
      </c>
      <c r="P638" s="9">
        <v>45065</v>
      </c>
      <c r="Q638" s="1" t="s">
        <v>473</v>
      </c>
      <c r="R638" s="1" t="s">
        <v>63</v>
      </c>
      <c r="S638" s="1">
        <v>2</v>
      </c>
      <c r="T638" s="12">
        <v>0.54166666666666663</v>
      </c>
      <c r="U638" s="12">
        <v>0.66666666666666663</v>
      </c>
      <c r="V638" s="1">
        <v>3</v>
      </c>
      <c r="W638" s="1">
        <v>3</v>
      </c>
      <c r="X638" s="1">
        <f t="shared" si="32"/>
        <v>6</v>
      </c>
      <c r="Y638" s="5" t="str">
        <f t="shared" si="30"/>
        <v>B</v>
      </c>
    </row>
    <row r="639" spans="2:25" x14ac:dyDescent="0.25">
      <c r="B639" s="11">
        <v>45055</v>
      </c>
      <c r="C639" s="7">
        <v>600004139458</v>
      </c>
      <c r="D639" s="5">
        <v>1</v>
      </c>
      <c r="E639" t="s">
        <v>482</v>
      </c>
      <c r="F639" t="s">
        <v>526</v>
      </c>
      <c r="G639" t="s">
        <v>631</v>
      </c>
      <c r="H639" t="s">
        <v>740</v>
      </c>
      <c r="I639" t="s">
        <v>752</v>
      </c>
      <c r="J639" s="27" t="s">
        <v>524</v>
      </c>
      <c r="K639" s="5" t="s">
        <v>70</v>
      </c>
      <c r="L639" s="1" t="s">
        <v>36</v>
      </c>
      <c r="M639" s="1" t="s">
        <v>297</v>
      </c>
      <c r="N639" s="1" t="s">
        <v>55</v>
      </c>
      <c r="O639" s="1" t="s">
        <v>19</v>
      </c>
      <c r="P639" s="9">
        <v>45057</v>
      </c>
      <c r="Q639" s="1" t="s">
        <v>474</v>
      </c>
      <c r="R639" s="1" t="s">
        <v>63</v>
      </c>
      <c r="S639" s="1">
        <v>3</v>
      </c>
      <c r="T639" s="12">
        <v>0.5</v>
      </c>
      <c r="U639" s="12">
        <v>0.625</v>
      </c>
      <c r="V639" s="1">
        <v>3</v>
      </c>
      <c r="W639" s="1">
        <v>3</v>
      </c>
      <c r="X639" s="1">
        <f t="shared" si="32"/>
        <v>9</v>
      </c>
      <c r="Y639" s="5" t="str">
        <f t="shared" si="30"/>
        <v>B</v>
      </c>
    </row>
    <row r="640" spans="2:25" x14ac:dyDescent="0.25">
      <c r="B640" s="11">
        <v>45061</v>
      </c>
      <c r="C640" s="7">
        <v>600004140741</v>
      </c>
      <c r="D640" s="5">
        <v>1</v>
      </c>
      <c r="E640" t="s">
        <v>894</v>
      </c>
      <c r="F640" t="s">
        <v>599</v>
      </c>
      <c r="G640" t="s">
        <v>706</v>
      </c>
      <c r="H640" t="s">
        <v>741</v>
      </c>
      <c r="I640" t="s">
        <v>827</v>
      </c>
      <c r="J640" s="27" t="s">
        <v>524</v>
      </c>
      <c r="K640" s="5" t="s">
        <v>90</v>
      </c>
      <c r="L640" s="1" t="s">
        <v>36</v>
      </c>
      <c r="M640" s="1" t="s">
        <v>34</v>
      </c>
      <c r="N640" s="1" t="s">
        <v>389</v>
      </c>
      <c r="O640" s="1" t="s">
        <v>176</v>
      </c>
      <c r="P640" s="9">
        <v>45070</v>
      </c>
      <c r="Q640" s="1" t="s">
        <v>473</v>
      </c>
      <c r="R640" s="1" t="s">
        <v>63</v>
      </c>
      <c r="S640" s="1">
        <v>3</v>
      </c>
      <c r="T640" s="12">
        <v>0.25</v>
      </c>
      <c r="U640" s="12">
        <v>0.66666666666666663</v>
      </c>
      <c r="V640" s="1">
        <v>10</v>
      </c>
      <c r="W640" s="1">
        <v>10</v>
      </c>
      <c r="X640" s="1">
        <f t="shared" si="32"/>
        <v>30</v>
      </c>
      <c r="Y640" s="5" t="str">
        <f t="shared" si="30"/>
        <v>A</v>
      </c>
    </row>
    <row r="641" spans="2:25" x14ac:dyDescent="0.25">
      <c r="B641" s="11">
        <v>45069</v>
      </c>
      <c r="C641" s="7">
        <v>600004142460</v>
      </c>
      <c r="D641" s="5">
        <v>1</v>
      </c>
      <c r="E641" t="s">
        <v>864</v>
      </c>
      <c r="F641" t="s">
        <v>571</v>
      </c>
      <c r="G641" t="s">
        <v>676</v>
      </c>
      <c r="H641" t="s">
        <v>745</v>
      </c>
      <c r="I641" t="s">
        <v>797</v>
      </c>
      <c r="J641" s="27" t="s">
        <v>525</v>
      </c>
      <c r="K641" s="5" t="s">
        <v>15</v>
      </c>
      <c r="L641" s="1" t="s">
        <v>79</v>
      </c>
      <c r="M641" s="1" t="s">
        <v>57</v>
      </c>
      <c r="N641" s="1" t="s">
        <v>132</v>
      </c>
      <c r="O641" s="1" t="s">
        <v>19</v>
      </c>
      <c r="P641" s="9">
        <v>45069</v>
      </c>
      <c r="Q641" s="1" t="s">
        <v>475</v>
      </c>
      <c r="R641" s="1" t="s">
        <v>50</v>
      </c>
      <c r="S641" s="1">
        <v>1</v>
      </c>
      <c r="T641" s="12">
        <v>0.41666666666666669</v>
      </c>
      <c r="U641" s="12">
        <v>0.45833333333333331</v>
      </c>
      <c r="V641" s="1">
        <v>1</v>
      </c>
      <c r="W641" s="1">
        <v>1</v>
      </c>
      <c r="X641" s="1">
        <f t="shared" si="32"/>
        <v>1</v>
      </c>
      <c r="Y641" s="5" t="str">
        <f t="shared" si="30"/>
        <v>C</v>
      </c>
    </row>
    <row r="642" spans="2:25" x14ac:dyDescent="0.25">
      <c r="B642" s="11">
        <v>45069</v>
      </c>
      <c r="C642" s="7">
        <v>600004142511</v>
      </c>
      <c r="D642" s="5">
        <v>1</v>
      </c>
      <c r="E642" t="s">
        <v>518</v>
      </c>
      <c r="F642" t="s">
        <v>562</v>
      </c>
      <c r="G642" t="s">
        <v>667</v>
      </c>
      <c r="H642" t="s">
        <v>745</v>
      </c>
      <c r="I642" t="s">
        <v>788</v>
      </c>
      <c r="J642" s="27" t="s">
        <v>525</v>
      </c>
      <c r="K642" s="5" t="s">
        <v>44</v>
      </c>
      <c r="L642" s="1" t="s">
        <v>71</v>
      </c>
      <c r="M642" s="1" t="s">
        <v>57</v>
      </c>
      <c r="N642" s="1" t="s">
        <v>328</v>
      </c>
      <c r="O642" s="1" t="s">
        <v>19</v>
      </c>
      <c r="P642" s="9">
        <v>45069</v>
      </c>
      <c r="Q642" s="1" t="s">
        <v>479</v>
      </c>
      <c r="R642" s="1" t="s">
        <v>63</v>
      </c>
      <c r="S642" s="1">
        <v>2</v>
      </c>
      <c r="T642" s="12">
        <v>0.41666666666666669</v>
      </c>
      <c r="U642" s="12">
        <v>0.45833333333333331</v>
      </c>
      <c r="V642" s="1">
        <v>1</v>
      </c>
      <c r="W642" s="1">
        <v>1</v>
      </c>
      <c r="X642" s="1">
        <f t="shared" si="32"/>
        <v>2</v>
      </c>
      <c r="Y642" s="5" t="str">
        <f t="shared" si="30"/>
        <v>C</v>
      </c>
    </row>
    <row r="643" spans="2:25" x14ac:dyDescent="0.25">
      <c r="B643" s="11">
        <v>45064</v>
      </c>
      <c r="C643" s="7">
        <v>600004141670</v>
      </c>
      <c r="D643" s="5">
        <v>1</v>
      </c>
      <c r="E643" t="s">
        <v>893</v>
      </c>
      <c r="F643" t="s">
        <v>598</v>
      </c>
      <c r="G643" t="s">
        <v>705</v>
      </c>
      <c r="H643" t="s">
        <v>740</v>
      </c>
      <c r="I643" t="s">
        <v>826</v>
      </c>
      <c r="J643" s="27" t="s">
        <v>524</v>
      </c>
      <c r="K643" s="5" t="s">
        <v>127</v>
      </c>
      <c r="L643" s="1" t="s">
        <v>79</v>
      </c>
      <c r="M643" s="1" t="s">
        <v>57</v>
      </c>
      <c r="N643" s="1" t="s">
        <v>146</v>
      </c>
      <c r="O643" s="1" t="s">
        <v>19</v>
      </c>
      <c r="P643" s="9">
        <v>45069</v>
      </c>
      <c r="Q643" s="1" t="s">
        <v>475</v>
      </c>
      <c r="R643" s="1" t="s">
        <v>50</v>
      </c>
      <c r="S643" s="1">
        <v>2</v>
      </c>
      <c r="T643" s="12">
        <v>0.35416666666666669</v>
      </c>
      <c r="U643" s="12">
        <v>0.4375</v>
      </c>
      <c r="V643" s="1">
        <v>2</v>
      </c>
      <c r="W643" s="1">
        <v>2</v>
      </c>
      <c r="X643" s="1">
        <f t="shared" si="32"/>
        <v>4</v>
      </c>
      <c r="Y643" s="5" t="str">
        <f t="shared" si="30"/>
        <v>C</v>
      </c>
    </row>
    <row r="644" spans="2:25" x14ac:dyDescent="0.25">
      <c r="B644" s="11">
        <v>45069</v>
      </c>
      <c r="C644" s="7">
        <v>600004142517</v>
      </c>
      <c r="D644" s="5">
        <v>1</v>
      </c>
      <c r="E644" t="s">
        <v>493</v>
      </c>
      <c r="F644" t="s">
        <v>537</v>
      </c>
      <c r="G644" t="s">
        <v>642</v>
      </c>
      <c r="H644" t="s">
        <v>745</v>
      </c>
      <c r="I644" t="s">
        <v>763</v>
      </c>
      <c r="J644" s="27" t="s">
        <v>525</v>
      </c>
      <c r="K644" s="5" t="s">
        <v>15</v>
      </c>
      <c r="L644" s="1" t="s">
        <v>16</v>
      </c>
      <c r="M644" s="1" t="s">
        <v>137</v>
      </c>
      <c r="N644" s="1" t="s">
        <v>67</v>
      </c>
      <c r="O644" s="1" t="s">
        <v>19</v>
      </c>
      <c r="P644" s="9">
        <v>45070</v>
      </c>
      <c r="Q644" s="1" t="s">
        <v>477</v>
      </c>
      <c r="R644" s="1" t="s">
        <v>63</v>
      </c>
      <c r="S644" s="1">
        <v>2</v>
      </c>
      <c r="T644" s="12">
        <v>0.35416666666666669</v>
      </c>
      <c r="U644" s="12">
        <v>0.41666666666666669</v>
      </c>
      <c r="V644" s="1">
        <v>1.5</v>
      </c>
      <c r="W644" s="1">
        <v>1.5</v>
      </c>
      <c r="X644" s="1">
        <f t="shared" si="32"/>
        <v>3</v>
      </c>
      <c r="Y644" s="5" t="str">
        <f t="shared" si="30"/>
        <v>C</v>
      </c>
    </row>
    <row r="645" spans="2:25" x14ac:dyDescent="0.25">
      <c r="B645" s="11">
        <v>45089</v>
      </c>
      <c r="C645" s="7">
        <v>600004146531</v>
      </c>
      <c r="D645" s="5">
        <v>1</v>
      </c>
      <c r="E645" t="s">
        <v>515</v>
      </c>
      <c r="F645" t="s">
        <v>559</v>
      </c>
      <c r="G645" t="s">
        <v>664</v>
      </c>
      <c r="H645" t="s">
        <v>745</v>
      </c>
      <c r="I645" t="s">
        <v>785</v>
      </c>
      <c r="J645" s="26" t="s">
        <v>525</v>
      </c>
      <c r="K645" s="5" t="s">
        <v>122</v>
      </c>
      <c r="L645" s="1" t="s">
        <v>36</v>
      </c>
      <c r="M645" s="1" t="s">
        <v>184</v>
      </c>
      <c r="N645" s="1" t="s">
        <v>254</v>
      </c>
      <c r="O645" s="1" t="s">
        <v>19</v>
      </c>
      <c r="P645" s="9">
        <v>45087</v>
      </c>
      <c r="Q645" s="1" t="s">
        <v>477</v>
      </c>
      <c r="R645" s="1" t="s">
        <v>63</v>
      </c>
      <c r="S645" s="1">
        <v>1</v>
      </c>
      <c r="T645" s="12">
        <v>0.27083333333333331</v>
      </c>
      <c r="U645" s="12">
        <v>0.375</v>
      </c>
      <c r="V645" s="1">
        <v>2.5</v>
      </c>
      <c r="W645" s="1">
        <v>2.5</v>
      </c>
      <c r="X645" s="1">
        <f t="shared" ref="X645:X651" si="33">PRODUCT(S645,V645)</f>
        <v>2.5</v>
      </c>
      <c r="Y645" s="5" t="str">
        <f t="shared" si="30"/>
        <v>B</v>
      </c>
    </row>
    <row r="646" spans="2:25" x14ac:dyDescent="0.25">
      <c r="B646" s="11">
        <v>45085</v>
      </c>
      <c r="C646" s="7">
        <v>600004146012</v>
      </c>
      <c r="D646" s="5">
        <v>1</v>
      </c>
      <c r="E646" t="s">
        <v>493</v>
      </c>
      <c r="F646" t="s">
        <v>537</v>
      </c>
      <c r="G646" t="s">
        <v>642</v>
      </c>
      <c r="H646" t="s">
        <v>745</v>
      </c>
      <c r="I646" t="s">
        <v>763</v>
      </c>
      <c r="J646" s="27" t="s">
        <v>525</v>
      </c>
      <c r="K646" s="5" t="s">
        <v>15</v>
      </c>
      <c r="L646" s="1" t="s">
        <v>16</v>
      </c>
      <c r="M646" s="1" t="s">
        <v>17</v>
      </c>
      <c r="N646" s="1" t="s">
        <v>67</v>
      </c>
      <c r="O646" s="1" t="s">
        <v>19</v>
      </c>
      <c r="P646" s="9">
        <v>45085</v>
      </c>
      <c r="Q646" s="1" t="s">
        <v>476</v>
      </c>
      <c r="R646" s="1" t="s">
        <v>63</v>
      </c>
      <c r="S646" s="1">
        <v>1</v>
      </c>
      <c r="T646" s="12">
        <v>0.52083333333333337</v>
      </c>
      <c r="U646" s="12">
        <v>0.5625</v>
      </c>
      <c r="V646" s="1">
        <v>1</v>
      </c>
      <c r="W646" s="1">
        <v>1</v>
      </c>
      <c r="X646" s="1">
        <f t="shared" si="33"/>
        <v>1</v>
      </c>
      <c r="Y646" s="5" t="str">
        <f t="shared" si="30"/>
        <v>C</v>
      </c>
    </row>
    <row r="647" spans="2:25" x14ac:dyDescent="0.25">
      <c r="B647" s="11">
        <v>45083</v>
      </c>
      <c r="C647" s="7">
        <v>600004145647</v>
      </c>
      <c r="D647" s="5">
        <v>1</v>
      </c>
      <c r="E647" t="s">
        <v>862</v>
      </c>
      <c r="F647" t="s">
        <v>569</v>
      </c>
      <c r="G647" t="s">
        <v>674</v>
      </c>
      <c r="H647" t="s">
        <v>745</v>
      </c>
      <c r="I647" t="s">
        <v>795</v>
      </c>
      <c r="J647" s="27" t="s">
        <v>525</v>
      </c>
      <c r="K647" s="5" t="s">
        <v>140</v>
      </c>
      <c r="L647" s="1" t="s">
        <v>33</v>
      </c>
      <c r="M647" s="1" t="s">
        <v>114</v>
      </c>
      <c r="N647" s="1" t="s">
        <v>45</v>
      </c>
      <c r="O647" s="1" t="s">
        <v>19</v>
      </c>
      <c r="P647" s="9">
        <v>45083</v>
      </c>
      <c r="Q647" s="1" t="s">
        <v>475</v>
      </c>
      <c r="R647" s="1" t="s">
        <v>50</v>
      </c>
      <c r="S647" s="1">
        <v>1</v>
      </c>
      <c r="T647" s="12">
        <v>0.3125</v>
      </c>
      <c r="U647" s="12">
        <v>0.39583333333333331</v>
      </c>
      <c r="V647" s="1">
        <v>2</v>
      </c>
      <c r="W647" s="1">
        <v>2</v>
      </c>
      <c r="X647" s="1">
        <f t="shared" si="33"/>
        <v>2</v>
      </c>
      <c r="Y647" s="5" t="str">
        <f t="shared" si="30"/>
        <v>C</v>
      </c>
    </row>
    <row r="648" spans="2:25" x14ac:dyDescent="0.25">
      <c r="B648" s="11">
        <v>45084</v>
      </c>
      <c r="C648" s="7">
        <v>600004145905</v>
      </c>
      <c r="D648" s="5">
        <v>1</v>
      </c>
      <c r="E648" t="s">
        <v>862</v>
      </c>
      <c r="F648" t="s">
        <v>569</v>
      </c>
      <c r="G648" t="s">
        <v>674</v>
      </c>
      <c r="H648" t="s">
        <v>745</v>
      </c>
      <c r="I648" t="s">
        <v>795</v>
      </c>
      <c r="J648" s="27" t="s">
        <v>525</v>
      </c>
      <c r="K648" s="5" t="s">
        <v>140</v>
      </c>
      <c r="L648" s="1" t="s">
        <v>89</v>
      </c>
      <c r="M648" s="1" t="s">
        <v>45</v>
      </c>
      <c r="N648" s="1" t="s">
        <v>328</v>
      </c>
      <c r="O648" s="1" t="s">
        <v>19</v>
      </c>
      <c r="P648" s="9">
        <v>45084</v>
      </c>
      <c r="Q648" s="1" t="s">
        <v>475</v>
      </c>
      <c r="R648" s="1" t="s">
        <v>50</v>
      </c>
      <c r="S648" s="1">
        <v>1</v>
      </c>
      <c r="T648" s="12">
        <v>0.2986111111111111</v>
      </c>
      <c r="U648" s="12">
        <v>0.34027777777777773</v>
      </c>
      <c r="V648" s="1">
        <v>1</v>
      </c>
      <c r="W648" s="1">
        <v>1</v>
      </c>
      <c r="X648" s="1">
        <f t="shared" si="33"/>
        <v>1</v>
      </c>
      <c r="Y648" s="5" t="str">
        <f t="shared" si="30"/>
        <v>C</v>
      </c>
    </row>
    <row r="649" spans="2:25" x14ac:dyDescent="0.25">
      <c r="B649" s="11">
        <v>45083</v>
      </c>
      <c r="C649" s="7">
        <v>600004145696</v>
      </c>
      <c r="D649" s="5">
        <v>1</v>
      </c>
      <c r="E649" t="s">
        <v>493</v>
      </c>
      <c r="F649" t="s">
        <v>537</v>
      </c>
      <c r="G649" t="s">
        <v>642</v>
      </c>
      <c r="H649" t="s">
        <v>745</v>
      </c>
      <c r="I649" t="s">
        <v>763</v>
      </c>
      <c r="J649" s="27" t="s">
        <v>525</v>
      </c>
      <c r="K649" s="5" t="s">
        <v>15</v>
      </c>
      <c r="L649" s="1" t="s">
        <v>16</v>
      </c>
      <c r="M649" s="1" t="s">
        <v>17</v>
      </c>
      <c r="N649" s="1" t="s">
        <v>120</v>
      </c>
      <c r="O649" s="1" t="s">
        <v>19</v>
      </c>
      <c r="P649" s="9">
        <v>45083</v>
      </c>
      <c r="Q649" s="1" t="s">
        <v>477</v>
      </c>
      <c r="R649" s="1" t="s">
        <v>63</v>
      </c>
      <c r="S649" s="1">
        <v>2</v>
      </c>
      <c r="T649" s="12">
        <v>0.52083333333333337</v>
      </c>
      <c r="U649" s="12">
        <v>0.58333333333333337</v>
      </c>
      <c r="V649" s="1">
        <v>1.5</v>
      </c>
      <c r="W649" s="1">
        <v>1.5</v>
      </c>
      <c r="X649" s="1">
        <f t="shared" si="33"/>
        <v>3</v>
      </c>
      <c r="Y649" s="5" t="str">
        <f t="shared" si="30"/>
        <v>C</v>
      </c>
    </row>
    <row r="650" spans="2:25" x14ac:dyDescent="0.25">
      <c r="B650" s="11">
        <v>45078</v>
      </c>
      <c r="C650" s="7">
        <v>600004144588</v>
      </c>
      <c r="D650" s="5">
        <v>1</v>
      </c>
      <c r="E650" t="s">
        <v>913</v>
      </c>
      <c r="F650" t="s">
        <v>618</v>
      </c>
      <c r="G650" t="s">
        <v>725</v>
      </c>
      <c r="H650" t="s">
        <v>743</v>
      </c>
      <c r="I650" t="s">
        <v>846</v>
      </c>
      <c r="J650" s="26" t="s">
        <v>525</v>
      </c>
      <c r="K650" s="5" t="s">
        <v>321</v>
      </c>
      <c r="L650" s="1" t="s">
        <v>16</v>
      </c>
      <c r="M650" s="1" t="s">
        <v>45</v>
      </c>
      <c r="N650" s="1" t="s">
        <v>378</v>
      </c>
      <c r="O650" s="1" t="s">
        <v>19</v>
      </c>
      <c r="P650" s="9">
        <v>45078</v>
      </c>
      <c r="Q650" s="1" t="s">
        <v>475</v>
      </c>
      <c r="R650" s="1" t="s">
        <v>63</v>
      </c>
      <c r="S650" s="1">
        <v>1</v>
      </c>
      <c r="T650" s="12">
        <v>0.375</v>
      </c>
      <c r="U650" s="12">
        <v>0.41666666666666669</v>
      </c>
      <c r="V650" s="1">
        <v>1</v>
      </c>
      <c r="W650" s="1">
        <v>1</v>
      </c>
      <c r="X650" s="1">
        <f t="shared" si="33"/>
        <v>1</v>
      </c>
      <c r="Y650" s="5" t="str">
        <f t="shared" si="30"/>
        <v>C</v>
      </c>
    </row>
    <row r="651" spans="2:25" x14ac:dyDescent="0.25">
      <c r="B651" s="11">
        <v>45079</v>
      </c>
      <c r="C651" s="7">
        <v>600004144928</v>
      </c>
      <c r="D651" s="5">
        <v>1</v>
      </c>
      <c r="E651" t="s">
        <v>512</v>
      </c>
      <c r="F651" t="s">
        <v>556</v>
      </c>
      <c r="G651" t="s">
        <v>661</v>
      </c>
      <c r="H651" t="s">
        <v>745</v>
      </c>
      <c r="I651" t="s">
        <v>782</v>
      </c>
      <c r="J651" s="26" t="s">
        <v>525</v>
      </c>
      <c r="K651" s="5" t="s">
        <v>88</v>
      </c>
      <c r="L651" s="1" t="s">
        <v>79</v>
      </c>
      <c r="M651" s="1" t="s">
        <v>137</v>
      </c>
      <c r="N651" s="1" t="s">
        <v>225</v>
      </c>
      <c r="O651" s="1" t="s">
        <v>19</v>
      </c>
      <c r="P651" s="9">
        <v>45079</v>
      </c>
      <c r="Q651" s="1" t="s">
        <v>475</v>
      </c>
      <c r="R651" s="1" t="s">
        <v>50</v>
      </c>
      <c r="S651" s="1">
        <v>2</v>
      </c>
      <c r="T651" s="12">
        <v>0.33333333333333331</v>
      </c>
      <c r="U651" s="12">
        <v>0.41666666666666669</v>
      </c>
      <c r="V651" s="1">
        <v>2</v>
      </c>
      <c r="W651" s="1">
        <v>2</v>
      </c>
      <c r="X651" s="1">
        <f t="shared" si="33"/>
        <v>4</v>
      </c>
      <c r="Y651" s="5" t="str">
        <f t="shared" si="30"/>
        <v>C</v>
      </c>
    </row>
    <row r="652" spans="2:25" x14ac:dyDescent="0.25">
      <c r="B652" s="11">
        <v>45090</v>
      </c>
      <c r="C652" s="7">
        <v>600004146990</v>
      </c>
      <c r="D652" s="5">
        <v>1</v>
      </c>
      <c r="E652" t="s">
        <v>891</v>
      </c>
      <c r="F652" t="s">
        <v>596</v>
      </c>
      <c r="G652" t="s">
        <v>703</v>
      </c>
      <c r="H652" t="s">
        <v>747</v>
      </c>
      <c r="I652" t="s">
        <v>824</v>
      </c>
      <c r="J652" s="27" t="s">
        <v>524</v>
      </c>
      <c r="K652" s="5" t="s">
        <v>127</v>
      </c>
      <c r="L652" s="1" t="s">
        <v>57</v>
      </c>
      <c r="M652" s="1" t="s">
        <v>329</v>
      </c>
      <c r="N652" s="1" t="s">
        <v>392</v>
      </c>
      <c r="O652" s="1" t="s">
        <v>176</v>
      </c>
      <c r="P652" s="9">
        <v>45090</v>
      </c>
      <c r="Q652" s="1" t="s">
        <v>480</v>
      </c>
      <c r="R652" s="1" t="s">
        <v>63</v>
      </c>
      <c r="S652" s="1">
        <v>2</v>
      </c>
      <c r="T652" s="12">
        <v>0.5625</v>
      </c>
      <c r="U652" s="12">
        <v>0.60416666666666663</v>
      </c>
      <c r="V652" s="1">
        <v>1</v>
      </c>
      <c r="W652" s="1">
        <v>1</v>
      </c>
      <c r="X652" s="1">
        <f t="shared" ref="X652:X659" si="34">PRODUCT(S652,V652)</f>
        <v>2</v>
      </c>
      <c r="Y652" s="5" t="str">
        <f t="shared" si="30"/>
        <v>C</v>
      </c>
    </row>
    <row r="653" spans="2:25" x14ac:dyDescent="0.25">
      <c r="B653" s="11">
        <v>45079</v>
      </c>
      <c r="C653" s="7">
        <v>600004144938</v>
      </c>
      <c r="D653" s="5">
        <v>1</v>
      </c>
      <c r="E653" t="s">
        <v>483</v>
      </c>
      <c r="F653" t="s">
        <v>527</v>
      </c>
      <c r="G653" t="s">
        <v>632</v>
      </c>
      <c r="H653" t="s">
        <v>741</v>
      </c>
      <c r="I653" t="s">
        <v>753</v>
      </c>
      <c r="J653" s="27" t="s">
        <v>524</v>
      </c>
      <c r="K653" s="5" t="s">
        <v>90</v>
      </c>
      <c r="L653" s="1" t="s">
        <v>36</v>
      </c>
      <c r="M653" s="1" t="s">
        <v>112</v>
      </c>
      <c r="N653" s="1" t="s">
        <v>305</v>
      </c>
      <c r="O653" s="1" t="s">
        <v>176</v>
      </c>
      <c r="P653" s="9">
        <v>45080</v>
      </c>
      <c r="Q653" s="1" t="s">
        <v>474</v>
      </c>
      <c r="R653" s="1" t="s">
        <v>63</v>
      </c>
      <c r="S653" s="1">
        <v>2</v>
      </c>
      <c r="T653" s="12">
        <v>0.39583333333333331</v>
      </c>
      <c r="U653" s="12">
        <v>0.47916666666666669</v>
      </c>
      <c r="V653" s="1">
        <v>2</v>
      </c>
      <c r="W653" s="1">
        <v>2</v>
      </c>
      <c r="X653" s="1">
        <f t="shared" si="34"/>
        <v>4</v>
      </c>
      <c r="Y653" s="5" t="str">
        <f t="shared" si="30"/>
        <v>C</v>
      </c>
    </row>
    <row r="654" spans="2:25" x14ac:dyDescent="0.25">
      <c r="B654" s="11">
        <v>45083</v>
      </c>
      <c r="C654" s="7">
        <v>600004145677</v>
      </c>
      <c r="D654" s="5">
        <v>1</v>
      </c>
      <c r="E654" t="s">
        <v>482</v>
      </c>
      <c r="F654" t="s">
        <v>526</v>
      </c>
      <c r="G654" t="s">
        <v>631</v>
      </c>
      <c r="H654" t="s">
        <v>740</v>
      </c>
      <c r="I654" t="s">
        <v>752</v>
      </c>
      <c r="J654" s="27" t="s">
        <v>524</v>
      </c>
      <c r="K654" s="5" t="s">
        <v>70</v>
      </c>
      <c r="L654" s="1" t="s">
        <v>57</v>
      </c>
      <c r="M654" s="1" t="s">
        <v>112</v>
      </c>
      <c r="N654" s="1" t="s">
        <v>232</v>
      </c>
      <c r="O654" s="1" t="s">
        <v>176</v>
      </c>
      <c r="P654" s="9">
        <v>45084</v>
      </c>
      <c r="Q654" s="1" t="s">
        <v>474</v>
      </c>
      <c r="R654" s="1" t="s">
        <v>63</v>
      </c>
      <c r="S654" s="1">
        <v>2</v>
      </c>
      <c r="T654" s="12">
        <v>0.45833333333333331</v>
      </c>
      <c r="U654" s="12">
        <v>0.58333333333333337</v>
      </c>
      <c r="V654" s="1">
        <v>3</v>
      </c>
      <c r="W654" s="1">
        <v>3</v>
      </c>
      <c r="X654" s="1">
        <f t="shared" si="34"/>
        <v>6</v>
      </c>
      <c r="Y654" s="5" t="str">
        <f t="shared" si="30"/>
        <v>B</v>
      </c>
    </row>
    <row r="655" spans="2:25" x14ac:dyDescent="0.25">
      <c r="B655" s="11">
        <v>45093</v>
      </c>
      <c r="C655" s="7">
        <v>600004147863</v>
      </c>
      <c r="D655" s="5">
        <v>1</v>
      </c>
      <c r="E655" t="s">
        <v>862</v>
      </c>
      <c r="F655" t="s">
        <v>569</v>
      </c>
      <c r="G655" t="s">
        <v>674</v>
      </c>
      <c r="H655" t="s">
        <v>745</v>
      </c>
      <c r="I655" t="s">
        <v>795</v>
      </c>
      <c r="J655" s="27" t="s">
        <v>525</v>
      </c>
      <c r="K655" s="5" t="s">
        <v>140</v>
      </c>
      <c r="L655" s="1" t="s">
        <v>68</v>
      </c>
      <c r="M655" s="1" t="s">
        <v>124</v>
      </c>
      <c r="N655" s="1" t="s">
        <v>393</v>
      </c>
      <c r="O655" s="1" t="s">
        <v>176</v>
      </c>
      <c r="P655" s="9">
        <v>45093</v>
      </c>
      <c r="Q655" s="1" t="s">
        <v>475</v>
      </c>
      <c r="R655" s="1" t="s">
        <v>50</v>
      </c>
      <c r="S655" s="1">
        <v>1</v>
      </c>
      <c r="T655" s="12">
        <v>0.5</v>
      </c>
      <c r="U655" s="12">
        <v>0.5625</v>
      </c>
      <c r="V655" s="1">
        <v>1.5</v>
      </c>
      <c r="W655" s="1">
        <v>0</v>
      </c>
      <c r="X655" s="1">
        <f t="shared" si="34"/>
        <v>1.5</v>
      </c>
      <c r="Y655" s="5" t="str">
        <f t="shared" si="30"/>
        <v>D</v>
      </c>
    </row>
    <row r="656" spans="2:25" x14ac:dyDescent="0.25">
      <c r="B656" s="11">
        <v>45090</v>
      </c>
      <c r="C656" s="7">
        <v>600004146579</v>
      </c>
      <c r="D656" s="5">
        <v>1</v>
      </c>
      <c r="E656" t="s">
        <v>896</v>
      </c>
      <c r="F656" t="s">
        <v>601</v>
      </c>
      <c r="G656" t="s">
        <v>708</v>
      </c>
      <c r="H656" t="s">
        <v>743</v>
      </c>
      <c r="I656" t="s">
        <v>829</v>
      </c>
      <c r="J656" s="27" t="s">
        <v>525</v>
      </c>
      <c r="K656" s="5" t="s">
        <v>122</v>
      </c>
      <c r="L656" s="1" t="s">
        <v>36</v>
      </c>
      <c r="M656" s="1" t="s">
        <v>173</v>
      </c>
      <c r="N656" s="1" t="s">
        <v>123</v>
      </c>
      <c r="O656" s="1" t="s">
        <v>176</v>
      </c>
      <c r="P656" s="9">
        <v>45089</v>
      </c>
      <c r="Q656" s="1" t="s">
        <v>477</v>
      </c>
      <c r="R656" s="1" t="s">
        <v>63</v>
      </c>
      <c r="S656" s="1">
        <v>1</v>
      </c>
      <c r="T656" s="12">
        <v>0.39583333333333331</v>
      </c>
      <c r="U656" s="12">
        <v>0.4375</v>
      </c>
      <c r="V656" s="1">
        <v>1</v>
      </c>
      <c r="W656" s="1">
        <v>1</v>
      </c>
      <c r="X656" s="1">
        <f t="shared" si="34"/>
        <v>1</v>
      </c>
      <c r="Y656" s="5" t="str">
        <f t="shared" si="30"/>
        <v>C</v>
      </c>
    </row>
    <row r="657" spans="2:25" x14ac:dyDescent="0.25">
      <c r="B657" s="11">
        <v>45093</v>
      </c>
      <c r="C657" s="7">
        <v>600004147839</v>
      </c>
      <c r="D657" s="5">
        <v>1</v>
      </c>
      <c r="E657" t="s">
        <v>493</v>
      </c>
      <c r="F657" t="s">
        <v>537</v>
      </c>
      <c r="G657" t="s">
        <v>642</v>
      </c>
      <c r="H657" t="s">
        <v>745</v>
      </c>
      <c r="I657" t="s">
        <v>763</v>
      </c>
      <c r="J657" s="27" t="s">
        <v>525</v>
      </c>
      <c r="K657" s="5" t="s">
        <v>15</v>
      </c>
      <c r="L657" s="1" t="s">
        <v>43</v>
      </c>
      <c r="M657" s="1" t="s">
        <v>48</v>
      </c>
      <c r="N657" s="1" t="s">
        <v>317</v>
      </c>
      <c r="O657" s="1" t="s">
        <v>19</v>
      </c>
      <c r="P657" s="9">
        <v>45093</v>
      </c>
      <c r="Q657" s="1" t="s">
        <v>475</v>
      </c>
      <c r="R657" s="1" t="s">
        <v>50</v>
      </c>
      <c r="S657" s="1">
        <v>1</v>
      </c>
      <c r="T657" s="12">
        <v>0.3125</v>
      </c>
      <c r="U657" s="12">
        <v>0.39583333333333331</v>
      </c>
      <c r="V657" s="1">
        <v>2</v>
      </c>
      <c r="W657" s="1">
        <v>2</v>
      </c>
      <c r="X657" s="1">
        <f t="shared" si="34"/>
        <v>2</v>
      </c>
      <c r="Y657" s="5" t="str">
        <f t="shared" si="30"/>
        <v>C</v>
      </c>
    </row>
    <row r="658" spans="2:25" x14ac:dyDescent="0.25">
      <c r="B658" s="11">
        <v>45090</v>
      </c>
      <c r="C658" s="7">
        <v>600004146800</v>
      </c>
      <c r="D658" s="5">
        <v>1</v>
      </c>
      <c r="E658" t="s">
        <v>896</v>
      </c>
      <c r="F658" t="s">
        <v>601</v>
      </c>
      <c r="G658" t="s">
        <v>708</v>
      </c>
      <c r="H658" t="s">
        <v>743</v>
      </c>
      <c r="I658" t="s">
        <v>829</v>
      </c>
      <c r="J658" s="27" t="s">
        <v>525</v>
      </c>
      <c r="K658" s="5" t="s">
        <v>122</v>
      </c>
      <c r="L658" s="1" t="s">
        <v>89</v>
      </c>
      <c r="M658" s="1" t="s">
        <v>173</v>
      </c>
      <c r="N658" s="1" t="s">
        <v>120</v>
      </c>
      <c r="O658" s="1" t="s">
        <v>19</v>
      </c>
      <c r="P658" s="9">
        <v>45090</v>
      </c>
      <c r="Q658" s="1" t="s">
        <v>477</v>
      </c>
      <c r="R658" s="1" t="s">
        <v>63</v>
      </c>
      <c r="S658" s="1">
        <v>2</v>
      </c>
      <c r="T658" s="12">
        <v>0.29166666666666669</v>
      </c>
      <c r="U658" s="12">
        <v>0.33333333333333331</v>
      </c>
      <c r="V658" s="1">
        <v>1</v>
      </c>
      <c r="W658" s="1">
        <v>1</v>
      </c>
      <c r="X658" s="1">
        <f t="shared" si="34"/>
        <v>2</v>
      </c>
      <c r="Y658" s="5" t="str">
        <f t="shared" si="30"/>
        <v>C</v>
      </c>
    </row>
    <row r="659" spans="2:25" x14ac:dyDescent="0.25">
      <c r="B659" s="11">
        <v>45084</v>
      </c>
      <c r="C659" s="7">
        <v>600004145864</v>
      </c>
      <c r="D659" s="5">
        <v>1</v>
      </c>
      <c r="E659" t="s">
        <v>517</v>
      </c>
      <c r="F659" t="s">
        <v>561</v>
      </c>
      <c r="G659" t="s">
        <v>666</v>
      </c>
      <c r="H659" t="s">
        <v>745</v>
      </c>
      <c r="I659" t="s">
        <v>787</v>
      </c>
      <c r="J659" s="27" t="s">
        <v>525</v>
      </c>
      <c r="K659" s="5" t="s">
        <v>15</v>
      </c>
      <c r="L659" s="1" t="s">
        <v>16</v>
      </c>
      <c r="M659" s="1" t="s">
        <v>126</v>
      </c>
      <c r="N659" s="1" t="s">
        <v>52</v>
      </c>
      <c r="O659" s="1" t="s">
        <v>176</v>
      </c>
      <c r="P659" s="9">
        <v>45093</v>
      </c>
      <c r="Q659" s="1" t="s">
        <v>477</v>
      </c>
      <c r="R659" s="1" t="s">
        <v>63</v>
      </c>
      <c r="S659" s="1">
        <v>2</v>
      </c>
      <c r="T659" s="12">
        <v>0.29166666666666669</v>
      </c>
      <c r="U659" s="12">
        <v>0.45833333333333331</v>
      </c>
      <c r="V659" s="1">
        <v>4</v>
      </c>
      <c r="W659" s="1">
        <v>4</v>
      </c>
      <c r="X659" s="1">
        <f t="shared" si="34"/>
        <v>8</v>
      </c>
      <c r="Y659" s="5" t="str">
        <f t="shared" si="30"/>
        <v>B</v>
      </c>
    </row>
    <row r="660" spans="2:25" x14ac:dyDescent="0.25">
      <c r="B660" s="11">
        <v>45100</v>
      </c>
      <c r="C660" s="7">
        <v>600004149300</v>
      </c>
      <c r="D660" s="5">
        <v>1</v>
      </c>
      <c r="E660" t="s">
        <v>505</v>
      </c>
      <c r="F660" t="s">
        <v>549</v>
      </c>
      <c r="G660" t="s">
        <v>654</v>
      </c>
      <c r="H660" t="s">
        <v>745</v>
      </c>
      <c r="I660" t="s">
        <v>775</v>
      </c>
      <c r="J660" s="27" t="s">
        <v>525</v>
      </c>
      <c r="K660" s="5" t="s">
        <v>15</v>
      </c>
      <c r="L660" s="1" t="s">
        <v>79</v>
      </c>
      <c r="M660" s="1" t="s">
        <v>126</v>
      </c>
      <c r="N660" s="1" t="s">
        <v>238</v>
      </c>
      <c r="O660" s="1" t="s">
        <v>19</v>
      </c>
      <c r="P660" s="9">
        <v>45100</v>
      </c>
      <c r="Q660" s="1" t="s">
        <v>475</v>
      </c>
      <c r="R660" s="1" t="s">
        <v>50</v>
      </c>
      <c r="S660" s="1">
        <v>1</v>
      </c>
      <c r="T660" s="12">
        <v>0.29166666666666669</v>
      </c>
      <c r="U660" s="12">
        <v>0.33333333333333331</v>
      </c>
      <c r="V660" s="1">
        <v>1</v>
      </c>
      <c r="W660" s="1">
        <v>1</v>
      </c>
      <c r="X660" s="1">
        <f t="shared" ref="X660:X669" si="35">PRODUCT(S660,V660)</f>
        <v>1</v>
      </c>
      <c r="Y660" s="5" t="str">
        <f t="shared" si="30"/>
        <v>C</v>
      </c>
    </row>
    <row r="661" spans="2:25" x14ac:dyDescent="0.25">
      <c r="B661" s="11">
        <v>45098</v>
      </c>
      <c r="C661" s="7">
        <v>600004148749</v>
      </c>
      <c r="D661" s="5">
        <v>1</v>
      </c>
      <c r="E661" t="s">
        <v>515</v>
      </c>
      <c r="F661" t="s">
        <v>559</v>
      </c>
      <c r="G661" t="s">
        <v>664</v>
      </c>
      <c r="H661" t="s">
        <v>745</v>
      </c>
      <c r="I661" t="s">
        <v>785</v>
      </c>
      <c r="J661" s="26" t="s">
        <v>525</v>
      </c>
      <c r="K661" s="5" t="s">
        <v>122</v>
      </c>
      <c r="L661" s="1" t="s">
        <v>173</v>
      </c>
      <c r="M661" s="1" t="s">
        <v>394</v>
      </c>
      <c r="N661" s="1" t="s">
        <v>305</v>
      </c>
      <c r="O661" s="1" t="s">
        <v>19</v>
      </c>
      <c r="P661" s="9">
        <v>45098</v>
      </c>
      <c r="Q661" s="1" t="s">
        <v>477</v>
      </c>
      <c r="R661" s="1" t="s">
        <v>63</v>
      </c>
      <c r="S661" s="1">
        <v>2</v>
      </c>
      <c r="T661" s="12">
        <v>0.29166666666666669</v>
      </c>
      <c r="U661" s="12">
        <v>0.33333333333333331</v>
      </c>
      <c r="V661" s="1">
        <v>1</v>
      </c>
      <c r="W661" s="1">
        <v>1</v>
      </c>
      <c r="X661" s="1">
        <f t="shared" si="35"/>
        <v>2</v>
      </c>
      <c r="Y661" s="5" t="str">
        <f t="shared" si="30"/>
        <v>C</v>
      </c>
    </row>
    <row r="662" spans="2:25" x14ac:dyDescent="0.25">
      <c r="B662" s="11">
        <v>45090</v>
      </c>
      <c r="C662" s="7">
        <v>600004146782</v>
      </c>
      <c r="D662" s="5">
        <v>1</v>
      </c>
      <c r="E662" t="s">
        <v>493</v>
      </c>
      <c r="F662" t="s">
        <v>537</v>
      </c>
      <c r="G662" t="s">
        <v>642</v>
      </c>
      <c r="H662" t="s">
        <v>745</v>
      </c>
      <c r="I662" t="s">
        <v>763</v>
      </c>
      <c r="J662" s="26" t="s">
        <v>525</v>
      </c>
      <c r="K662" s="5" t="s">
        <v>15</v>
      </c>
      <c r="L662" s="1" t="s">
        <v>62</v>
      </c>
      <c r="M662" s="1" t="s">
        <v>65</v>
      </c>
      <c r="N662" s="1" t="s">
        <v>232</v>
      </c>
      <c r="O662" s="1" t="s">
        <v>19</v>
      </c>
      <c r="P662" s="9">
        <v>45090</v>
      </c>
      <c r="Q662" s="1" t="s">
        <v>477</v>
      </c>
      <c r="R662" s="1" t="s">
        <v>63</v>
      </c>
      <c r="S662" s="1">
        <v>2</v>
      </c>
      <c r="T662" s="12">
        <v>0.35416666666666669</v>
      </c>
      <c r="U662" s="12">
        <v>0.47916666666666669</v>
      </c>
      <c r="V662" s="1">
        <v>3</v>
      </c>
      <c r="W662" s="1">
        <v>3</v>
      </c>
      <c r="X662" s="1">
        <f t="shared" si="35"/>
        <v>6</v>
      </c>
      <c r="Y662" s="5" t="str">
        <f t="shared" si="30"/>
        <v>B</v>
      </c>
    </row>
    <row r="663" spans="2:25" x14ac:dyDescent="0.25">
      <c r="B663" s="11">
        <v>45098</v>
      </c>
      <c r="C663" s="7">
        <v>600004148748</v>
      </c>
      <c r="D663" s="5">
        <v>1</v>
      </c>
      <c r="E663" t="s">
        <v>504</v>
      </c>
      <c r="F663" t="s">
        <v>548</v>
      </c>
      <c r="G663" t="s">
        <v>653</v>
      </c>
      <c r="H663" t="s">
        <v>745</v>
      </c>
      <c r="I663" t="s">
        <v>774</v>
      </c>
      <c r="J663" s="27" t="s">
        <v>525</v>
      </c>
      <c r="K663" s="5" t="s">
        <v>15</v>
      </c>
      <c r="L663" s="1" t="s">
        <v>16</v>
      </c>
      <c r="M663" s="1" t="s">
        <v>65</v>
      </c>
      <c r="N663" s="1" t="s">
        <v>232</v>
      </c>
      <c r="O663" s="1" t="s">
        <v>19</v>
      </c>
      <c r="P663" s="9">
        <v>45098</v>
      </c>
      <c r="Q663" s="1" t="s">
        <v>477</v>
      </c>
      <c r="R663" s="1" t="s">
        <v>63</v>
      </c>
      <c r="S663" s="1">
        <v>2</v>
      </c>
      <c r="T663" s="12">
        <v>0.39583333333333331</v>
      </c>
      <c r="U663" s="12">
        <v>0.625</v>
      </c>
      <c r="V663" s="1">
        <v>5.5</v>
      </c>
      <c r="W663" s="1">
        <v>5.5</v>
      </c>
      <c r="X663" s="1">
        <f t="shared" si="35"/>
        <v>11</v>
      </c>
      <c r="Y663" s="5" t="str">
        <f t="shared" si="30"/>
        <v>B</v>
      </c>
    </row>
    <row r="664" spans="2:25" x14ac:dyDescent="0.25">
      <c r="B664" s="11">
        <v>45093</v>
      </c>
      <c r="C664" s="7">
        <v>600004147861</v>
      </c>
      <c r="D664" s="5">
        <v>1</v>
      </c>
      <c r="E664" t="s">
        <v>489</v>
      </c>
      <c r="F664" t="s">
        <v>533</v>
      </c>
      <c r="G664" t="s">
        <v>638</v>
      </c>
      <c r="H664" t="s">
        <v>745</v>
      </c>
      <c r="I664" t="s">
        <v>759</v>
      </c>
      <c r="J664" s="27" t="s">
        <v>525</v>
      </c>
      <c r="K664" s="5" t="s">
        <v>15</v>
      </c>
      <c r="L664" s="1" t="s">
        <v>16</v>
      </c>
      <c r="M664" s="1" t="s">
        <v>222</v>
      </c>
      <c r="N664" s="1" t="s">
        <v>232</v>
      </c>
      <c r="O664" s="1" t="s">
        <v>19</v>
      </c>
      <c r="P664" s="9">
        <v>45093</v>
      </c>
      <c r="Q664" s="1" t="s">
        <v>477</v>
      </c>
      <c r="R664" s="1" t="s">
        <v>63</v>
      </c>
      <c r="S664" s="1">
        <v>2</v>
      </c>
      <c r="T664" s="12">
        <v>0.52083333333333337</v>
      </c>
      <c r="U664" s="12">
        <v>0.60416666666666663</v>
      </c>
      <c r="V664" s="1">
        <v>2</v>
      </c>
      <c r="W664" s="1">
        <v>2</v>
      </c>
      <c r="X664" s="1">
        <f t="shared" si="35"/>
        <v>4</v>
      </c>
      <c r="Y664" s="5" t="str">
        <f t="shared" si="30"/>
        <v>C</v>
      </c>
    </row>
    <row r="665" spans="2:25" x14ac:dyDescent="0.25">
      <c r="B665" s="11">
        <v>45092</v>
      </c>
      <c r="C665" s="7">
        <v>600004147582</v>
      </c>
      <c r="D665" s="5">
        <v>1</v>
      </c>
      <c r="E665" t="s">
        <v>494</v>
      </c>
      <c r="F665" t="s">
        <v>538</v>
      </c>
      <c r="G665" t="s">
        <v>643</v>
      </c>
      <c r="H665" t="s">
        <v>745</v>
      </c>
      <c r="I665" t="s">
        <v>764</v>
      </c>
      <c r="J665" s="29" t="s">
        <v>525</v>
      </c>
      <c r="K665" s="4" t="s">
        <v>15</v>
      </c>
      <c r="L665" s="1" t="s">
        <v>16</v>
      </c>
      <c r="M665" s="1" t="s">
        <v>34</v>
      </c>
      <c r="N665" s="1" t="s">
        <v>67</v>
      </c>
      <c r="O665" s="1" t="s">
        <v>176</v>
      </c>
      <c r="P665" s="9">
        <v>45092</v>
      </c>
      <c r="Q665" s="1" t="s">
        <v>477</v>
      </c>
      <c r="R665" s="1" t="s">
        <v>63</v>
      </c>
      <c r="S665" s="1">
        <v>1</v>
      </c>
      <c r="T665" s="12">
        <v>0.375</v>
      </c>
      <c r="U665" s="12">
        <v>0.39583333333333331</v>
      </c>
      <c r="V665" s="1">
        <v>0.5</v>
      </c>
      <c r="W665" s="1">
        <v>0.5</v>
      </c>
      <c r="X665" s="1">
        <f t="shared" si="35"/>
        <v>0.5</v>
      </c>
      <c r="Y665" s="5" t="str">
        <f t="shared" si="30"/>
        <v>C</v>
      </c>
    </row>
    <row r="666" spans="2:25" x14ac:dyDescent="0.25">
      <c r="B666" s="11">
        <v>45083</v>
      </c>
      <c r="C666" s="7">
        <v>600004145669</v>
      </c>
      <c r="D666" s="5">
        <v>1</v>
      </c>
      <c r="E666" t="s">
        <v>890</v>
      </c>
      <c r="F666" t="s">
        <v>595</v>
      </c>
      <c r="G666" t="s">
        <v>702</v>
      </c>
      <c r="H666" t="s">
        <v>747</v>
      </c>
      <c r="I666" t="s">
        <v>823</v>
      </c>
      <c r="J666" s="27" t="s">
        <v>524</v>
      </c>
      <c r="K666" s="5" t="s">
        <v>112</v>
      </c>
      <c r="L666" s="1" t="s">
        <v>79</v>
      </c>
      <c r="M666" s="1" t="s">
        <v>80</v>
      </c>
      <c r="N666" s="1" t="s">
        <v>111</v>
      </c>
      <c r="O666" s="1" t="s">
        <v>176</v>
      </c>
      <c r="P666" s="9">
        <v>45085</v>
      </c>
      <c r="Q666" s="1" t="s">
        <v>480</v>
      </c>
      <c r="R666" s="1" t="s">
        <v>50</v>
      </c>
      <c r="S666" s="1">
        <v>1</v>
      </c>
      <c r="T666" s="12">
        <v>0.33333333333333331</v>
      </c>
      <c r="U666" s="12">
        <v>0.375</v>
      </c>
      <c r="V666" s="1">
        <v>1</v>
      </c>
      <c r="W666" s="1">
        <v>1</v>
      </c>
      <c r="X666" s="1">
        <f t="shared" si="35"/>
        <v>1</v>
      </c>
      <c r="Y666" s="5" t="str">
        <f t="shared" si="30"/>
        <v>C</v>
      </c>
    </row>
    <row r="667" spans="2:25" x14ac:dyDescent="0.25">
      <c r="B667" s="11">
        <v>45111</v>
      </c>
      <c r="C667" s="7">
        <v>600004151953</v>
      </c>
      <c r="D667" s="5">
        <v>1</v>
      </c>
      <c r="E667" t="s">
        <v>866</v>
      </c>
      <c r="F667" t="s">
        <v>573</v>
      </c>
      <c r="G667" t="s">
        <v>678</v>
      </c>
      <c r="H667" t="s">
        <v>745</v>
      </c>
      <c r="I667" t="s">
        <v>799</v>
      </c>
      <c r="J667" s="27" t="s">
        <v>524</v>
      </c>
      <c r="K667" s="5" t="s">
        <v>15</v>
      </c>
      <c r="L667" s="1" t="s">
        <v>79</v>
      </c>
      <c r="M667" s="1" t="s">
        <v>80</v>
      </c>
      <c r="N667" s="1" t="s">
        <v>111</v>
      </c>
      <c r="O667" s="1" t="s">
        <v>19</v>
      </c>
      <c r="P667" s="9">
        <v>45111</v>
      </c>
      <c r="Q667" s="1" t="s">
        <v>475</v>
      </c>
      <c r="R667" s="1" t="s">
        <v>50</v>
      </c>
      <c r="S667" s="1">
        <v>1</v>
      </c>
      <c r="T667" s="12">
        <v>0.3125</v>
      </c>
      <c r="U667" s="12">
        <v>0.35416666666666669</v>
      </c>
      <c r="V667" s="1">
        <v>1</v>
      </c>
      <c r="W667" s="1">
        <v>1</v>
      </c>
      <c r="X667" s="1">
        <f t="shared" si="35"/>
        <v>1</v>
      </c>
      <c r="Y667" s="5" t="str">
        <f t="shared" si="30"/>
        <v>C</v>
      </c>
    </row>
    <row r="668" spans="2:25" x14ac:dyDescent="0.25">
      <c r="B668" s="11">
        <v>45110</v>
      </c>
      <c r="C668" s="7">
        <v>600004151658</v>
      </c>
      <c r="D668" s="1">
        <v>1</v>
      </c>
      <c r="E668" t="s">
        <v>881</v>
      </c>
      <c r="F668" t="s">
        <v>587</v>
      </c>
      <c r="G668" t="s">
        <v>693</v>
      </c>
      <c r="H668" t="s">
        <v>745</v>
      </c>
      <c r="I668" t="s">
        <v>814</v>
      </c>
      <c r="J668" s="26" t="s">
        <v>525</v>
      </c>
      <c r="K668" s="1" t="s">
        <v>44</v>
      </c>
      <c r="L668" s="1" t="s">
        <v>57</v>
      </c>
      <c r="M668" s="1" t="s">
        <v>71</v>
      </c>
      <c r="N668" s="1" t="s">
        <v>120</v>
      </c>
      <c r="O668" s="1" t="s">
        <v>176</v>
      </c>
      <c r="P668" s="9">
        <v>45110</v>
      </c>
      <c r="Q668" s="1" t="s">
        <v>476</v>
      </c>
      <c r="R668" s="1" t="s">
        <v>63</v>
      </c>
      <c r="S668" s="1">
        <v>2</v>
      </c>
      <c r="T668" s="12">
        <v>0.375</v>
      </c>
      <c r="U668" s="12">
        <v>0.39583333333333331</v>
      </c>
      <c r="V668" s="1">
        <v>0.5</v>
      </c>
      <c r="W668" s="1">
        <v>0.5</v>
      </c>
      <c r="X668" s="1">
        <f t="shared" si="35"/>
        <v>1</v>
      </c>
      <c r="Y668" s="5" t="str">
        <f t="shared" si="30"/>
        <v>C</v>
      </c>
    </row>
    <row r="669" spans="2:25" x14ac:dyDescent="0.25">
      <c r="B669" s="11">
        <v>45111</v>
      </c>
      <c r="C669" s="7">
        <v>600004151978</v>
      </c>
      <c r="D669" s="5">
        <v>1</v>
      </c>
      <c r="E669" t="s">
        <v>486</v>
      </c>
      <c r="F669" t="s">
        <v>530</v>
      </c>
      <c r="G669" t="s">
        <v>635</v>
      </c>
      <c r="H669" t="s">
        <v>740</v>
      </c>
      <c r="I669" t="s">
        <v>756</v>
      </c>
      <c r="J669" s="27" t="s">
        <v>525</v>
      </c>
      <c r="K669" s="5" t="s">
        <v>69</v>
      </c>
      <c r="L669" s="1" t="s">
        <v>57</v>
      </c>
      <c r="M669" s="1" t="s">
        <v>42</v>
      </c>
      <c r="N669" s="1" t="s">
        <v>55</v>
      </c>
      <c r="O669" s="1" t="s">
        <v>176</v>
      </c>
      <c r="P669" s="9">
        <v>45113</v>
      </c>
      <c r="Q669" s="1" t="s">
        <v>473</v>
      </c>
      <c r="R669" s="1" t="s">
        <v>63</v>
      </c>
      <c r="S669" s="1">
        <v>3</v>
      </c>
      <c r="T669" s="12">
        <v>0.29166666666666669</v>
      </c>
      <c r="U669" s="12">
        <v>0.58333333333333337</v>
      </c>
      <c r="V669" s="1">
        <v>7</v>
      </c>
      <c r="W669" s="1">
        <v>7</v>
      </c>
      <c r="X669" s="1">
        <f t="shared" si="35"/>
        <v>21</v>
      </c>
      <c r="Y669" s="5" t="str">
        <f t="shared" si="30"/>
        <v>B</v>
      </c>
    </row>
    <row r="670" spans="2:25" x14ac:dyDescent="0.25">
      <c r="B670" s="11">
        <v>45119</v>
      </c>
      <c r="C670" s="7">
        <v>600004154226</v>
      </c>
      <c r="D670" s="5">
        <v>1</v>
      </c>
      <c r="E670" t="s">
        <v>869</v>
      </c>
      <c r="F670" t="s">
        <v>576</v>
      </c>
      <c r="G670" t="s">
        <v>681</v>
      </c>
      <c r="H670" t="s">
        <v>745</v>
      </c>
      <c r="I670" t="s">
        <v>802</v>
      </c>
      <c r="J670" s="27" t="s">
        <v>525</v>
      </c>
      <c r="K670" s="5" t="s">
        <v>15</v>
      </c>
      <c r="L670" s="1" t="s">
        <v>16</v>
      </c>
      <c r="M670" s="1" t="s">
        <v>65</v>
      </c>
      <c r="N670" s="1" t="s">
        <v>52</v>
      </c>
      <c r="O670" s="1" t="s">
        <v>19</v>
      </c>
      <c r="P670" s="9">
        <v>45120</v>
      </c>
      <c r="Q670" s="1" t="s">
        <v>477</v>
      </c>
      <c r="R670" s="1" t="s">
        <v>63</v>
      </c>
      <c r="S670" s="1">
        <v>1</v>
      </c>
      <c r="T670" s="12">
        <v>0.39583333333333331</v>
      </c>
      <c r="U670" s="12">
        <v>0.41666666666666669</v>
      </c>
      <c r="V670" s="1">
        <v>0.5</v>
      </c>
      <c r="W670" s="1">
        <v>0.5</v>
      </c>
      <c r="X670" s="1">
        <f t="shared" ref="X670:X676" si="36">PRODUCT(S670,V670)</f>
        <v>0.5</v>
      </c>
      <c r="Y670" s="5" t="str">
        <f t="shared" si="30"/>
        <v>C</v>
      </c>
    </row>
    <row r="671" spans="2:25" x14ac:dyDescent="0.25">
      <c r="B671" s="11">
        <v>45118</v>
      </c>
      <c r="C671" s="7">
        <v>600004153989</v>
      </c>
      <c r="D671" s="5">
        <v>1</v>
      </c>
      <c r="E671" t="s">
        <v>494</v>
      </c>
      <c r="F671" t="s">
        <v>538</v>
      </c>
      <c r="G671" t="s">
        <v>643</v>
      </c>
      <c r="H671" t="s">
        <v>745</v>
      </c>
      <c r="I671" t="s">
        <v>764</v>
      </c>
      <c r="J671" s="29" t="s">
        <v>525</v>
      </c>
      <c r="K671" s="4" t="s">
        <v>15</v>
      </c>
      <c r="L671" s="1" t="s">
        <v>382</v>
      </c>
      <c r="M671" s="1" t="s">
        <v>112</v>
      </c>
      <c r="N671" s="1" t="s">
        <v>362</v>
      </c>
      <c r="O671" s="1" t="s">
        <v>19</v>
      </c>
      <c r="P671" s="9">
        <v>45118</v>
      </c>
      <c r="Q671" s="1" t="s">
        <v>477</v>
      </c>
      <c r="R671" s="1" t="s">
        <v>63</v>
      </c>
      <c r="S671" s="1">
        <v>4</v>
      </c>
      <c r="T671" s="12">
        <v>0.52083333333333337</v>
      </c>
      <c r="U671" s="12">
        <v>0.66666666666666663</v>
      </c>
      <c r="V671" s="1">
        <v>3.5</v>
      </c>
      <c r="W671" s="1">
        <v>3.5</v>
      </c>
      <c r="X671" s="1">
        <f t="shared" si="36"/>
        <v>14</v>
      </c>
      <c r="Y671" s="5" t="str">
        <f t="shared" si="30"/>
        <v>B</v>
      </c>
    </row>
    <row r="672" spans="2:25" x14ac:dyDescent="0.25">
      <c r="B672" s="11">
        <v>45119</v>
      </c>
      <c r="C672" s="7">
        <v>600004154227</v>
      </c>
      <c r="D672" s="5">
        <v>1</v>
      </c>
      <c r="E672" t="s">
        <v>916</v>
      </c>
      <c r="F672" t="s">
        <v>621</v>
      </c>
      <c r="G672" t="s">
        <v>728</v>
      </c>
      <c r="H672" t="s">
        <v>745</v>
      </c>
      <c r="I672" t="s">
        <v>849</v>
      </c>
      <c r="J672" s="26" t="s">
        <v>525</v>
      </c>
      <c r="K672" s="5" t="s">
        <v>15</v>
      </c>
      <c r="L672" s="1" t="s">
        <v>16</v>
      </c>
      <c r="M672" s="1" t="s">
        <v>65</v>
      </c>
      <c r="N672" s="1" t="s">
        <v>52</v>
      </c>
      <c r="O672" s="1" t="s">
        <v>19</v>
      </c>
      <c r="P672" s="9">
        <v>45120</v>
      </c>
      <c r="Q672" s="1" t="s">
        <v>477</v>
      </c>
      <c r="R672" s="1" t="s">
        <v>63</v>
      </c>
      <c r="S672" s="1">
        <v>2</v>
      </c>
      <c r="T672" s="12">
        <v>0.375</v>
      </c>
      <c r="U672" s="12">
        <v>0.39583333333333331</v>
      </c>
      <c r="V672" s="1">
        <v>0.5</v>
      </c>
      <c r="W672" s="1">
        <v>0.5</v>
      </c>
      <c r="X672" s="1">
        <f t="shared" si="36"/>
        <v>1</v>
      </c>
      <c r="Y672" s="5" t="str">
        <f t="shared" si="30"/>
        <v>C</v>
      </c>
    </row>
    <row r="673" spans="2:25" x14ac:dyDescent="0.25">
      <c r="B673" s="11">
        <v>45119</v>
      </c>
      <c r="C673" s="7">
        <v>600004154200</v>
      </c>
      <c r="D673" s="5">
        <v>1</v>
      </c>
      <c r="E673" t="s">
        <v>507</v>
      </c>
      <c r="F673" t="s">
        <v>551</v>
      </c>
      <c r="G673" t="s">
        <v>656</v>
      </c>
      <c r="H673" t="s">
        <v>745</v>
      </c>
      <c r="I673" t="s">
        <v>777</v>
      </c>
      <c r="J673" s="27" t="s">
        <v>525</v>
      </c>
      <c r="K673" s="5" t="s">
        <v>15</v>
      </c>
      <c r="L673" s="1" t="s">
        <v>16</v>
      </c>
      <c r="M673" s="1" t="s">
        <v>57</v>
      </c>
      <c r="N673" s="1" t="s">
        <v>67</v>
      </c>
      <c r="O673" s="1" t="s">
        <v>19</v>
      </c>
      <c r="P673" s="9">
        <v>45119</v>
      </c>
      <c r="Q673" s="1" t="s">
        <v>477</v>
      </c>
      <c r="R673" s="1" t="s">
        <v>63</v>
      </c>
      <c r="S673" s="1">
        <v>2</v>
      </c>
      <c r="T673" s="12">
        <v>0.33333333333333331</v>
      </c>
      <c r="U673" s="12">
        <v>0.41666666666666669</v>
      </c>
      <c r="V673" s="1">
        <v>2</v>
      </c>
      <c r="W673" s="1">
        <v>2</v>
      </c>
      <c r="X673" s="1">
        <f t="shared" si="36"/>
        <v>4</v>
      </c>
      <c r="Y673" s="5" t="str">
        <f t="shared" si="30"/>
        <v>C</v>
      </c>
    </row>
    <row r="674" spans="2:25" x14ac:dyDescent="0.25">
      <c r="B674" s="11">
        <v>45117</v>
      </c>
      <c r="C674" s="7">
        <v>600004153442</v>
      </c>
      <c r="D674" s="5">
        <v>1</v>
      </c>
      <c r="E674" t="s">
        <v>864</v>
      </c>
      <c r="F674" t="s">
        <v>571</v>
      </c>
      <c r="G674" t="s">
        <v>676</v>
      </c>
      <c r="H674" t="s">
        <v>745</v>
      </c>
      <c r="I674" t="s">
        <v>797</v>
      </c>
      <c r="J674" s="27" t="s">
        <v>525</v>
      </c>
      <c r="K674" s="5" t="s">
        <v>15</v>
      </c>
      <c r="L674" s="1" t="s">
        <v>148</v>
      </c>
      <c r="M674" s="1" t="s">
        <v>60</v>
      </c>
      <c r="N674" s="1" t="s">
        <v>395</v>
      </c>
      <c r="O674" s="1" t="s">
        <v>176</v>
      </c>
      <c r="P674" s="9">
        <v>45117</v>
      </c>
      <c r="Q674" s="1" t="s">
        <v>477</v>
      </c>
      <c r="R674" s="1" t="s">
        <v>63</v>
      </c>
      <c r="S674" s="1">
        <v>3</v>
      </c>
      <c r="T674" s="12">
        <v>0.29166666666666669</v>
      </c>
      <c r="U674" s="12">
        <v>0.47916666666666669</v>
      </c>
      <c r="V674" s="1">
        <v>4.5</v>
      </c>
      <c r="W674" s="1">
        <v>4.5</v>
      </c>
      <c r="X674" s="1">
        <f t="shared" si="36"/>
        <v>13.5</v>
      </c>
      <c r="Y674" s="5" t="str">
        <f t="shared" si="30"/>
        <v>B</v>
      </c>
    </row>
    <row r="675" spans="2:25" x14ac:dyDescent="0.25">
      <c r="B675" s="11">
        <v>45113</v>
      </c>
      <c r="C675" s="7">
        <v>600004152594</v>
      </c>
      <c r="D675" s="5">
        <v>1</v>
      </c>
      <c r="E675" t="s">
        <v>875</v>
      </c>
      <c r="F675" t="s">
        <v>581</v>
      </c>
      <c r="G675" t="s">
        <v>687</v>
      </c>
      <c r="H675" t="s">
        <v>745</v>
      </c>
      <c r="I675" t="s">
        <v>808</v>
      </c>
      <c r="J675" s="27" t="s">
        <v>525</v>
      </c>
      <c r="K675" s="5" t="s">
        <v>15</v>
      </c>
      <c r="L675" s="1" t="s">
        <v>148</v>
      </c>
      <c r="M675" s="1" t="s">
        <v>293</v>
      </c>
      <c r="N675" s="1" t="s">
        <v>124</v>
      </c>
      <c r="O675" s="1" t="s">
        <v>19</v>
      </c>
      <c r="P675" s="9">
        <v>45113</v>
      </c>
      <c r="Q675" s="1" t="s">
        <v>475</v>
      </c>
      <c r="R675" s="1" t="s">
        <v>50</v>
      </c>
      <c r="S675" s="1">
        <v>1</v>
      </c>
      <c r="T675" s="12">
        <v>0.375</v>
      </c>
      <c r="U675" s="12">
        <v>0.41666666666666669</v>
      </c>
      <c r="V675" s="1">
        <v>1</v>
      </c>
      <c r="W675" s="1">
        <v>1</v>
      </c>
      <c r="X675" s="1">
        <f t="shared" si="36"/>
        <v>1</v>
      </c>
      <c r="Y675" s="5" t="str">
        <f t="shared" si="30"/>
        <v>C</v>
      </c>
    </row>
    <row r="676" spans="2:25" x14ac:dyDescent="0.25">
      <c r="B676" s="11">
        <v>45113</v>
      </c>
      <c r="C676" s="7">
        <v>600004152592</v>
      </c>
      <c r="D676" s="5">
        <v>1</v>
      </c>
      <c r="E676" t="s">
        <v>512</v>
      </c>
      <c r="F676" t="s">
        <v>556</v>
      </c>
      <c r="G676" t="s">
        <v>661</v>
      </c>
      <c r="H676" t="s">
        <v>745</v>
      </c>
      <c r="I676" t="s">
        <v>782</v>
      </c>
      <c r="J676" s="27" t="s">
        <v>525</v>
      </c>
      <c r="K676" s="5" t="s">
        <v>88</v>
      </c>
      <c r="L676" s="1" t="s">
        <v>57</v>
      </c>
      <c r="M676" s="1" t="s">
        <v>137</v>
      </c>
      <c r="N676" s="1" t="s">
        <v>129</v>
      </c>
      <c r="O676" s="1" t="s">
        <v>19</v>
      </c>
      <c r="P676" s="9">
        <v>45113</v>
      </c>
      <c r="Q676" s="1" t="s">
        <v>477</v>
      </c>
      <c r="R676" s="1" t="s">
        <v>63</v>
      </c>
      <c r="S676" s="1">
        <v>2</v>
      </c>
      <c r="T676" s="12">
        <v>0.39583333333333331</v>
      </c>
      <c r="U676" s="12">
        <v>0.45833333333333331</v>
      </c>
      <c r="V676" s="1">
        <v>1.5</v>
      </c>
      <c r="W676" s="1">
        <v>1.5</v>
      </c>
      <c r="X676" s="1">
        <f t="shared" si="36"/>
        <v>3</v>
      </c>
      <c r="Y676" s="5" t="str">
        <f t="shared" si="30"/>
        <v>C</v>
      </c>
    </row>
    <row r="677" spans="2:25" x14ac:dyDescent="0.25">
      <c r="B677" s="11">
        <v>45126</v>
      </c>
      <c r="C677" s="7">
        <v>600004155667</v>
      </c>
      <c r="D677" s="5">
        <v>1</v>
      </c>
      <c r="E677" t="s">
        <v>863</v>
      </c>
      <c r="F677" t="s">
        <v>570</v>
      </c>
      <c r="G677" t="s">
        <v>675</v>
      </c>
      <c r="H677" t="s">
        <v>749</v>
      </c>
      <c r="I677" t="s">
        <v>796</v>
      </c>
      <c r="J677" s="27" t="s">
        <v>524</v>
      </c>
      <c r="K677" s="5" t="s">
        <v>44</v>
      </c>
      <c r="L677" s="1" t="s">
        <v>79</v>
      </c>
      <c r="M677" s="1" t="s">
        <v>211</v>
      </c>
      <c r="N677" s="1" t="s">
        <v>308</v>
      </c>
      <c r="O677" s="1" t="s">
        <v>19</v>
      </c>
      <c r="P677" s="9">
        <v>45126</v>
      </c>
      <c r="Q677" s="1" t="s">
        <v>478</v>
      </c>
      <c r="R677" s="1" t="s">
        <v>50</v>
      </c>
      <c r="S677" s="1">
        <v>3</v>
      </c>
      <c r="T677" s="12">
        <v>0.41666666666666669</v>
      </c>
      <c r="U677" s="12">
        <v>0.60416666666666663</v>
      </c>
      <c r="V677" s="1">
        <v>4.5</v>
      </c>
      <c r="W677" s="1">
        <v>4.5</v>
      </c>
      <c r="X677" s="1">
        <f t="shared" ref="X677:X689" si="37">PRODUCT(S677,V677)</f>
        <v>13.5</v>
      </c>
      <c r="Y677" s="5" t="str">
        <f t="shared" si="30"/>
        <v>B</v>
      </c>
    </row>
    <row r="678" spans="2:25" x14ac:dyDescent="0.25">
      <c r="B678" s="11">
        <v>45120</v>
      </c>
      <c r="C678" s="7">
        <v>600004154409</v>
      </c>
      <c r="D678" s="5">
        <v>1</v>
      </c>
      <c r="E678" t="s">
        <v>486</v>
      </c>
      <c r="F678" t="s">
        <v>530</v>
      </c>
      <c r="G678" t="s">
        <v>635</v>
      </c>
      <c r="H678" t="s">
        <v>740</v>
      </c>
      <c r="I678" t="s">
        <v>756</v>
      </c>
      <c r="J678" s="27" t="s">
        <v>525</v>
      </c>
      <c r="K678" s="5" t="s">
        <v>69</v>
      </c>
      <c r="L678" s="1" t="s">
        <v>79</v>
      </c>
      <c r="M678" s="1" t="s">
        <v>57</v>
      </c>
      <c r="N678" s="1" t="s">
        <v>109</v>
      </c>
      <c r="O678" s="1" t="s">
        <v>176</v>
      </c>
      <c r="P678" s="9">
        <v>45120</v>
      </c>
      <c r="Q678" s="1" t="s">
        <v>478</v>
      </c>
      <c r="R678" s="1" t="s">
        <v>50</v>
      </c>
      <c r="S678" s="1">
        <v>2</v>
      </c>
      <c r="T678" s="12">
        <v>0.52083333333333337</v>
      </c>
      <c r="U678" s="12">
        <v>0.625</v>
      </c>
      <c r="V678" s="1">
        <v>2.5</v>
      </c>
      <c r="W678" s="1">
        <v>2.5</v>
      </c>
      <c r="X678" s="1">
        <f t="shared" si="37"/>
        <v>5</v>
      </c>
      <c r="Y678" s="5" t="str">
        <f t="shared" si="30"/>
        <v>B</v>
      </c>
    </row>
    <row r="679" spans="2:25" x14ac:dyDescent="0.25">
      <c r="B679" s="11">
        <v>45120</v>
      </c>
      <c r="C679" s="7">
        <v>600004154437</v>
      </c>
      <c r="D679" s="5">
        <v>1</v>
      </c>
      <c r="E679" t="s">
        <v>486</v>
      </c>
      <c r="F679" t="s">
        <v>530</v>
      </c>
      <c r="G679" t="s">
        <v>635</v>
      </c>
      <c r="H679" t="s">
        <v>740</v>
      </c>
      <c r="I679" t="s">
        <v>756</v>
      </c>
      <c r="J679" s="27" t="s">
        <v>525</v>
      </c>
      <c r="K679" s="5" t="s">
        <v>69</v>
      </c>
      <c r="L679" s="1" t="s">
        <v>57</v>
      </c>
      <c r="M679" s="1" t="s">
        <v>42</v>
      </c>
      <c r="N679" s="1" t="s">
        <v>55</v>
      </c>
      <c r="O679" s="1" t="s">
        <v>176</v>
      </c>
      <c r="P679" s="9">
        <v>45120</v>
      </c>
      <c r="Q679" s="1" t="s">
        <v>472</v>
      </c>
      <c r="R679" s="1" t="s">
        <v>63</v>
      </c>
      <c r="S679" s="1">
        <v>2</v>
      </c>
      <c r="T679" s="12">
        <v>0.41666666666666669</v>
      </c>
      <c r="U679" s="12">
        <v>0.58333333333333337</v>
      </c>
      <c r="V679" s="1">
        <v>4</v>
      </c>
      <c r="W679" s="1">
        <v>4</v>
      </c>
      <c r="X679" s="1">
        <f t="shared" si="37"/>
        <v>8</v>
      </c>
      <c r="Y679" s="5" t="str">
        <f t="shared" si="30"/>
        <v>B</v>
      </c>
    </row>
    <row r="680" spans="2:25" x14ac:dyDescent="0.25">
      <c r="B680" s="11">
        <v>45142</v>
      </c>
      <c r="C680" s="7">
        <v>600004158829</v>
      </c>
      <c r="D680" s="5">
        <v>1</v>
      </c>
      <c r="E680" t="s">
        <v>914</v>
      </c>
      <c r="F680" t="s">
        <v>619</v>
      </c>
      <c r="G680" t="s">
        <v>726</v>
      </c>
      <c r="H680" t="s">
        <v>746</v>
      </c>
      <c r="I680" t="s">
        <v>847</v>
      </c>
      <c r="J680" s="26" t="s">
        <v>525</v>
      </c>
      <c r="K680" s="5" t="s">
        <v>185</v>
      </c>
      <c r="L680" s="1" t="s">
        <v>79</v>
      </c>
      <c r="M680" s="1" t="s">
        <v>139</v>
      </c>
      <c r="N680" s="1" t="s">
        <v>253</v>
      </c>
      <c r="O680" s="1" t="s">
        <v>19</v>
      </c>
      <c r="P680" s="9">
        <v>45142</v>
      </c>
      <c r="Q680" s="1" t="s">
        <v>475</v>
      </c>
      <c r="R680" s="1" t="s">
        <v>50</v>
      </c>
      <c r="S680" s="1">
        <v>1</v>
      </c>
      <c r="T680" s="12">
        <v>0.41666666666666669</v>
      </c>
      <c r="U680" s="12">
        <v>0.52083333333333337</v>
      </c>
      <c r="V680" s="1">
        <v>2.5</v>
      </c>
      <c r="W680" s="1">
        <v>2.5</v>
      </c>
      <c r="X680" s="1">
        <f t="shared" si="37"/>
        <v>2.5</v>
      </c>
      <c r="Y680" s="5" t="str">
        <f t="shared" si="30"/>
        <v>B</v>
      </c>
    </row>
    <row r="681" spans="2:25" x14ac:dyDescent="0.25">
      <c r="B681" s="11">
        <v>45152</v>
      </c>
      <c r="C681" s="7">
        <v>600004161078</v>
      </c>
      <c r="D681" s="5">
        <v>1</v>
      </c>
      <c r="E681" t="s">
        <v>900</v>
      </c>
      <c r="F681" t="s">
        <v>605</v>
      </c>
      <c r="G681" t="s">
        <v>712</v>
      </c>
      <c r="H681" t="s">
        <v>745</v>
      </c>
      <c r="I681" t="s">
        <v>833</v>
      </c>
      <c r="J681" s="27" t="s">
        <v>525</v>
      </c>
      <c r="K681" s="5" t="s">
        <v>88</v>
      </c>
      <c r="L681" s="1" t="s">
        <v>36</v>
      </c>
      <c r="M681" s="1" t="s">
        <v>129</v>
      </c>
      <c r="N681" s="1" t="s">
        <v>396</v>
      </c>
      <c r="O681" s="1" t="s">
        <v>19</v>
      </c>
      <c r="P681" s="9">
        <v>45152</v>
      </c>
      <c r="Q681" s="1" t="s">
        <v>479</v>
      </c>
      <c r="R681" s="1" t="s">
        <v>63</v>
      </c>
      <c r="S681" s="1">
        <v>1</v>
      </c>
      <c r="T681" s="12">
        <v>0.29166666666666669</v>
      </c>
      <c r="U681" s="12">
        <v>0.33333333333333331</v>
      </c>
      <c r="V681" s="1">
        <v>1</v>
      </c>
      <c r="W681" s="1">
        <v>1</v>
      </c>
      <c r="X681" s="1">
        <f t="shared" si="37"/>
        <v>1</v>
      </c>
      <c r="Y681" s="5" t="str">
        <f t="shared" si="30"/>
        <v>C</v>
      </c>
    </row>
    <row r="682" spans="2:25" x14ac:dyDescent="0.25">
      <c r="B682" s="11">
        <v>45152</v>
      </c>
      <c r="C682" s="7">
        <v>600004161077</v>
      </c>
      <c r="D682" s="5">
        <v>1</v>
      </c>
      <c r="E682" t="s">
        <v>500</v>
      </c>
      <c r="F682" t="s">
        <v>544</v>
      </c>
      <c r="G682" t="s">
        <v>649</v>
      </c>
      <c r="H682" t="s">
        <v>745</v>
      </c>
      <c r="I682" t="s">
        <v>770</v>
      </c>
      <c r="J682" s="27" t="s">
        <v>525</v>
      </c>
      <c r="K682" s="5" t="s">
        <v>15</v>
      </c>
      <c r="L682" s="1" t="s">
        <v>16</v>
      </c>
      <c r="M682" s="1" t="s">
        <v>126</v>
      </c>
      <c r="N682" s="1" t="s">
        <v>52</v>
      </c>
      <c r="O682" s="1" t="s">
        <v>19</v>
      </c>
      <c r="P682" s="9">
        <v>45152</v>
      </c>
      <c r="Q682" s="1" t="s">
        <v>477</v>
      </c>
      <c r="R682" s="1" t="s">
        <v>63</v>
      </c>
      <c r="S682" s="1">
        <v>2</v>
      </c>
      <c r="T682" s="12">
        <v>0.3125</v>
      </c>
      <c r="U682" s="12">
        <v>0.35416666666666669</v>
      </c>
      <c r="V682" s="1">
        <v>1</v>
      </c>
      <c r="W682" s="1">
        <v>1</v>
      </c>
      <c r="X682" s="1">
        <f t="shared" si="37"/>
        <v>2</v>
      </c>
      <c r="Y682" s="5" t="str">
        <f t="shared" si="30"/>
        <v>C</v>
      </c>
    </row>
    <row r="683" spans="2:25" x14ac:dyDescent="0.25">
      <c r="B683" s="11">
        <v>45146</v>
      </c>
      <c r="C683" s="7">
        <v>600004159644</v>
      </c>
      <c r="D683" s="1">
        <v>1</v>
      </c>
      <c r="E683" t="s">
        <v>884</v>
      </c>
      <c r="F683" t="s">
        <v>590</v>
      </c>
      <c r="G683" t="s">
        <v>696</v>
      </c>
      <c r="H683" t="s">
        <v>745</v>
      </c>
      <c r="I683" t="s">
        <v>817</v>
      </c>
      <c r="J683" s="27" t="s">
        <v>525</v>
      </c>
      <c r="K683" s="5" t="s">
        <v>44</v>
      </c>
      <c r="L683" s="1" t="s">
        <v>197</v>
      </c>
      <c r="M683" s="1" t="s">
        <v>48</v>
      </c>
      <c r="N683" s="1" t="s">
        <v>305</v>
      </c>
      <c r="O683" s="1" t="s">
        <v>176</v>
      </c>
      <c r="P683" s="9">
        <v>45146</v>
      </c>
      <c r="Q683" s="1" t="s">
        <v>477</v>
      </c>
      <c r="R683" s="1" t="s">
        <v>63</v>
      </c>
      <c r="S683" s="1">
        <v>2</v>
      </c>
      <c r="T683" s="12">
        <v>0.375</v>
      </c>
      <c r="U683" s="12">
        <v>0.41666666666666669</v>
      </c>
      <c r="V683" s="1">
        <v>1</v>
      </c>
      <c r="W683" s="1">
        <v>1</v>
      </c>
      <c r="X683" s="1">
        <f t="shared" si="37"/>
        <v>2</v>
      </c>
      <c r="Y683" s="5" t="str">
        <f t="shared" si="30"/>
        <v>C</v>
      </c>
    </row>
    <row r="684" spans="2:25" x14ac:dyDescent="0.25">
      <c r="B684" s="11">
        <v>45147</v>
      </c>
      <c r="C684" s="7">
        <v>600004159987</v>
      </c>
      <c r="D684" s="5">
        <v>1</v>
      </c>
      <c r="E684" t="s">
        <v>866</v>
      </c>
      <c r="F684" t="s">
        <v>573</v>
      </c>
      <c r="G684" t="s">
        <v>678</v>
      </c>
      <c r="H684" t="s">
        <v>745</v>
      </c>
      <c r="I684" t="s">
        <v>799</v>
      </c>
      <c r="J684" s="27" t="s">
        <v>524</v>
      </c>
      <c r="K684" s="5" t="s">
        <v>15</v>
      </c>
      <c r="L684" s="1" t="s">
        <v>79</v>
      </c>
      <c r="M684" s="1" t="s">
        <v>62</v>
      </c>
      <c r="N684" s="1" t="s">
        <v>110</v>
      </c>
      <c r="O684" s="1" t="s">
        <v>19</v>
      </c>
      <c r="P684" s="9">
        <v>45147</v>
      </c>
      <c r="Q684" s="1" t="s">
        <v>475</v>
      </c>
      <c r="R684" s="1" t="s">
        <v>50</v>
      </c>
      <c r="S684" s="1">
        <v>1</v>
      </c>
      <c r="T684" s="12">
        <v>0.29166666666666669</v>
      </c>
      <c r="U684" s="12">
        <v>0.375</v>
      </c>
      <c r="V684" s="1">
        <v>2</v>
      </c>
      <c r="W684" s="1">
        <v>2</v>
      </c>
      <c r="X684" s="1">
        <f t="shared" si="37"/>
        <v>2</v>
      </c>
      <c r="Y684" s="5" t="str">
        <f t="shared" si="30"/>
        <v>C</v>
      </c>
    </row>
    <row r="685" spans="2:25" x14ac:dyDescent="0.25">
      <c r="B685" s="11">
        <v>45140</v>
      </c>
      <c r="C685" s="7">
        <v>600004158433</v>
      </c>
      <c r="D685" s="5">
        <v>1</v>
      </c>
      <c r="E685" t="s">
        <v>907</v>
      </c>
      <c r="F685" t="s">
        <v>612</v>
      </c>
      <c r="G685" t="s">
        <v>719</v>
      </c>
      <c r="H685" t="s">
        <v>746</v>
      </c>
      <c r="I685" t="s">
        <v>840</v>
      </c>
      <c r="J685" s="26" t="s">
        <v>525</v>
      </c>
      <c r="K685" s="5" t="s">
        <v>357</v>
      </c>
      <c r="L685" s="1" t="s">
        <v>36</v>
      </c>
      <c r="M685" s="1" t="s">
        <v>34</v>
      </c>
      <c r="N685" s="1" t="s">
        <v>75</v>
      </c>
      <c r="O685" s="1" t="s">
        <v>176</v>
      </c>
      <c r="P685" s="9">
        <v>45140</v>
      </c>
      <c r="Q685" s="1" t="s">
        <v>475</v>
      </c>
      <c r="R685" s="1" t="s">
        <v>63</v>
      </c>
      <c r="S685" s="1">
        <v>1</v>
      </c>
      <c r="T685" s="12">
        <v>0.29166666666666669</v>
      </c>
      <c r="U685" s="12">
        <v>0.64583333333333337</v>
      </c>
      <c r="V685" s="1">
        <v>8.5</v>
      </c>
      <c r="W685" s="1">
        <v>8.5</v>
      </c>
      <c r="X685" s="1">
        <f t="shared" si="37"/>
        <v>8.5</v>
      </c>
      <c r="Y685" s="5" t="str">
        <f t="shared" ref="Y685:Y748" si="38">IF(W685=0,"D",IF(W685&lt;=2,"C",IF(W685&lt;=8,"B",IF(W685&gt;8,"A"))))</f>
        <v>A</v>
      </c>
    </row>
    <row r="686" spans="2:25" x14ac:dyDescent="0.25">
      <c r="B686" s="11">
        <v>45146</v>
      </c>
      <c r="C686" s="7">
        <v>600004159643</v>
      </c>
      <c r="D686" s="5">
        <v>1</v>
      </c>
      <c r="E686" t="s">
        <v>500</v>
      </c>
      <c r="F686" t="s">
        <v>544</v>
      </c>
      <c r="G686" t="s">
        <v>649</v>
      </c>
      <c r="H686" t="s">
        <v>745</v>
      </c>
      <c r="I686" t="s">
        <v>770</v>
      </c>
      <c r="J686" s="27" t="s">
        <v>525</v>
      </c>
      <c r="K686" s="5" t="s">
        <v>15</v>
      </c>
      <c r="L686" s="1" t="s">
        <v>60</v>
      </c>
      <c r="M686" s="1" t="s">
        <v>397</v>
      </c>
      <c r="N686" s="1" t="s">
        <v>305</v>
      </c>
      <c r="O686" s="1" t="s">
        <v>19</v>
      </c>
      <c r="P686" s="9">
        <v>45146</v>
      </c>
      <c r="Q686" s="1" t="s">
        <v>479</v>
      </c>
      <c r="R686" s="1" t="s">
        <v>63</v>
      </c>
      <c r="S686" s="1">
        <v>2</v>
      </c>
      <c r="T686" s="12">
        <v>0.3125</v>
      </c>
      <c r="U686" s="12">
        <v>0.35416666666666669</v>
      </c>
      <c r="V686" s="1">
        <v>1</v>
      </c>
      <c r="W686" s="1">
        <v>1</v>
      </c>
      <c r="X686" s="1">
        <f t="shared" si="37"/>
        <v>2</v>
      </c>
      <c r="Y686" s="5" t="str">
        <f t="shared" si="38"/>
        <v>C</v>
      </c>
    </row>
    <row r="687" spans="2:25" x14ac:dyDescent="0.25">
      <c r="B687" s="11">
        <v>45145</v>
      </c>
      <c r="C687" s="7">
        <v>600004159308</v>
      </c>
      <c r="D687" s="5">
        <v>1</v>
      </c>
      <c r="E687" t="s">
        <v>917</v>
      </c>
      <c r="F687" t="s">
        <v>608</v>
      </c>
      <c r="G687" t="s">
        <v>729</v>
      </c>
      <c r="H687" t="s">
        <v>745</v>
      </c>
      <c r="I687" t="s">
        <v>850</v>
      </c>
      <c r="J687" s="27" t="s">
        <v>525</v>
      </c>
      <c r="K687" s="5" t="s">
        <v>319</v>
      </c>
      <c r="L687" s="1" t="s">
        <v>79</v>
      </c>
      <c r="M687" s="1" t="s">
        <v>34</v>
      </c>
      <c r="N687" s="1" t="s">
        <v>136</v>
      </c>
      <c r="O687" s="1" t="s">
        <v>19</v>
      </c>
      <c r="P687" s="9">
        <v>45145</v>
      </c>
      <c r="Q687" s="1" t="s">
        <v>475</v>
      </c>
      <c r="R687" s="1" t="s">
        <v>50</v>
      </c>
      <c r="S687" s="1">
        <v>1</v>
      </c>
      <c r="T687" s="12">
        <v>0.29166666666666669</v>
      </c>
      <c r="U687" s="12">
        <v>0.33333333333333331</v>
      </c>
      <c r="V687" s="1">
        <v>1</v>
      </c>
      <c r="W687" s="1">
        <v>1</v>
      </c>
      <c r="X687" s="1">
        <f t="shared" si="37"/>
        <v>1</v>
      </c>
      <c r="Y687" s="5" t="str">
        <f t="shared" si="38"/>
        <v>C</v>
      </c>
    </row>
    <row r="688" spans="2:25" x14ac:dyDescent="0.25">
      <c r="B688" s="11">
        <v>45141</v>
      </c>
      <c r="C688" s="7">
        <v>600004158602</v>
      </c>
      <c r="D688" s="4">
        <v>1</v>
      </c>
      <c r="E688" t="s">
        <v>499</v>
      </c>
      <c r="F688" t="s">
        <v>543</v>
      </c>
      <c r="G688" t="s">
        <v>648</v>
      </c>
      <c r="H688" t="s">
        <v>745</v>
      </c>
      <c r="I688" t="s">
        <v>769</v>
      </c>
      <c r="J688" s="28" t="s">
        <v>525</v>
      </c>
      <c r="K688" s="4" t="s">
        <v>15</v>
      </c>
      <c r="L688" s="1" t="s">
        <v>79</v>
      </c>
      <c r="M688" s="1" t="s">
        <v>34</v>
      </c>
      <c r="N688" s="1" t="s">
        <v>43</v>
      </c>
      <c r="O688" s="1" t="s">
        <v>19</v>
      </c>
      <c r="P688" s="9">
        <v>45141</v>
      </c>
      <c r="Q688" s="1" t="s">
        <v>475</v>
      </c>
      <c r="R688" s="1" t="s">
        <v>50</v>
      </c>
      <c r="S688" s="1">
        <v>1</v>
      </c>
      <c r="T688" s="12">
        <v>0.29166666666666669</v>
      </c>
      <c r="U688" s="12">
        <v>0.33333333333333331</v>
      </c>
      <c r="V688" s="1">
        <v>1</v>
      </c>
      <c r="W688" s="1">
        <v>1</v>
      </c>
      <c r="X688" s="1">
        <f t="shared" si="37"/>
        <v>1</v>
      </c>
      <c r="Y688" s="5" t="str">
        <f t="shared" si="38"/>
        <v>C</v>
      </c>
    </row>
    <row r="689" spans="2:25" x14ac:dyDescent="0.25">
      <c r="B689" s="11">
        <v>45147</v>
      </c>
      <c r="C689" s="7">
        <v>600004159983</v>
      </c>
      <c r="D689" s="5">
        <v>1</v>
      </c>
      <c r="E689" t="s">
        <v>512</v>
      </c>
      <c r="F689" t="s">
        <v>556</v>
      </c>
      <c r="G689" t="s">
        <v>661</v>
      </c>
      <c r="H689" t="s">
        <v>745</v>
      </c>
      <c r="I689" t="s">
        <v>782</v>
      </c>
      <c r="J689" s="26" t="s">
        <v>525</v>
      </c>
      <c r="K689" s="5" t="s">
        <v>88</v>
      </c>
      <c r="L689" s="1" t="s">
        <v>79</v>
      </c>
      <c r="M689" s="1" t="s">
        <v>398</v>
      </c>
      <c r="N689" s="1" t="s">
        <v>80</v>
      </c>
      <c r="O689" s="1" t="s">
        <v>176</v>
      </c>
      <c r="P689" s="9">
        <v>45147</v>
      </c>
      <c r="Q689" s="1" t="s">
        <v>475</v>
      </c>
      <c r="R689" s="1" t="s">
        <v>50</v>
      </c>
      <c r="S689" s="1">
        <v>2</v>
      </c>
      <c r="T689" s="12">
        <v>0.41666666666666669</v>
      </c>
      <c r="U689" s="12">
        <v>0.47916666666666669</v>
      </c>
      <c r="V689" s="1">
        <v>1.5</v>
      </c>
      <c r="W689" s="1">
        <v>1.5</v>
      </c>
      <c r="X689" s="1">
        <f t="shared" si="37"/>
        <v>3</v>
      </c>
      <c r="Y689" s="5" t="str">
        <f t="shared" si="38"/>
        <v>C</v>
      </c>
    </row>
    <row r="690" spans="2:25" x14ac:dyDescent="0.25">
      <c r="B690" s="11">
        <v>45140</v>
      </c>
      <c r="C690" s="7">
        <v>600004158430</v>
      </c>
      <c r="D690" s="5">
        <v>1</v>
      </c>
      <c r="E690" t="s">
        <v>515</v>
      </c>
      <c r="F690" t="s">
        <v>559</v>
      </c>
      <c r="G690" t="s">
        <v>664</v>
      </c>
      <c r="H690" t="s">
        <v>745</v>
      </c>
      <c r="I690" t="s">
        <v>785</v>
      </c>
      <c r="J690" s="26" t="s">
        <v>525</v>
      </c>
      <c r="K690" s="5" t="s">
        <v>122</v>
      </c>
      <c r="L690" s="1" t="s">
        <v>33</v>
      </c>
      <c r="M690" s="1" t="s">
        <v>73</v>
      </c>
      <c r="N690" s="1" t="s">
        <v>399</v>
      </c>
      <c r="O690" s="1" t="s">
        <v>176</v>
      </c>
      <c r="P690" s="9">
        <v>45160</v>
      </c>
      <c r="Q690" s="1" t="s">
        <v>476</v>
      </c>
      <c r="R690" s="1" t="s">
        <v>63</v>
      </c>
      <c r="S690" s="1">
        <v>1</v>
      </c>
      <c r="T690" s="12">
        <v>0.375</v>
      </c>
      <c r="U690" s="12">
        <v>0.4375</v>
      </c>
      <c r="V690" s="1">
        <v>1.5</v>
      </c>
      <c r="W690" s="1">
        <v>0</v>
      </c>
      <c r="X690" s="1">
        <f t="shared" ref="X690:X699" si="39">PRODUCT(S690,V690)</f>
        <v>1.5</v>
      </c>
      <c r="Y690" s="5" t="str">
        <f t="shared" si="38"/>
        <v>D</v>
      </c>
    </row>
    <row r="691" spans="2:25" x14ac:dyDescent="0.25">
      <c r="B691" s="11">
        <v>45152</v>
      </c>
      <c r="C691" s="7">
        <v>600004161105</v>
      </c>
      <c r="D691" s="5">
        <v>1</v>
      </c>
      <c r="E691" t="s">
        <v>494</v>
      </c>
      <c r="F691" t="s">
        <v>538</v>
      </c>
      <c r="G691" t="s">
        <v>643</v>
      </c>
      <c r="H691" t="s">
        <v>745</v>
      </c>
      <c r="I691" t="s">
        <v>764</v>
      </c>
      <c r="J691" s="29" t="s">
        <v>525</v>
      </c>
      <c r="K691" s="4" t="s">
        <v>15</v>
      </c>
      <c r="L691" s="1" t="s">
        <v>57</v>
      </c>
      <c r="M691" s="1" t="s">
        <v>281</v>
      </c>
      <c r="N691" s="1" t="s">
        <v>119</v>
      </c>
      <c r="O691" s="1" t="s">
        <v>19</v>
      </c>
      <c r="P691" s="9">
        <v>45152</v>
      </c>
      <c r="Q691" s="1" t="s">
        <v>475</v>
      </c>
      <c r="R691" s="1" t="s">
        <v>63</v>
      </c>
      <c r="S691" s="1">
        <v>1</v>
      </c>
      <c r="T691" s="12">
        <v>0.54166666666666663</v>
      </c>
      <c r="U691" s="12">
        <v>0.58333333333333337</v>
      </c>
      <c r="V691" s="1">
        <v>1</v>
      </c>
      <c r="W691" s="1">
        <v>1</v>
      </c>
      <c r="X691" s="1">
        <f t="shared" si="39"/>
        <v>1</v>
      </c>
      <c r="Y691" s="5" t="str">
        <f t="shared" si="38"/>
        <v>C</v>
      </c>
    </row>
    <row r="692" spans="2:25" x14ac:dyDescent="0.25">
      <c r="B692" s="11">
        <v>45149</v>
      </c>
      <c r="C692" s="7">
        <v>600004160621</v>
      </c>
      <c r="D692" s="5">
        <v>1</v>
      </c>
      <c r="E692" t="s">
        <v>862</v>
      </c>
      <c r="F692" t="s">
        <v>569</v>
      </c>
      <c r="G692" t="s">
        <v>674</v>
      </c>
      <c r="H692" t="s">
        <v>745</v>
      </c>
      <c r="I692" t="s">
        <v>795</v>
      </c>
      <c r="J692" s="27" t="s">
        <v>525</v>
      </c>
      <c r="K692" s="5" t="s">
        <v>140</v>
      </c>
      <c r="L692" s="1" t="s">
        <v>89</v>
      </c>
      <c r="M692" s="1" t="s">
        <v>112</v>
      </c>
      <c r="N692" s="1" t="s">
        <v>73</v>
      </c>
      <c r="O692" s="1" t="s">
        <v>19</v>
      </c>
      <c r="P692" s="9">
        <v>45149</v>
      </c>
      <c r="Q692" s="1" t="s">
        <v>479</v>
      </c>
      <c r="R692" s="1" t="s">
        <v>63</v>
      </c>
      <c r="S692" s="1">
        <v>2</v>
      </c>
      <c r="T692" s="12">
        <v>0.625</v>
      </c>
      <c r="U692" s="12">
        <v>0.66666666666666663</v>
      </c>
      <c r="V692" s="1">
        <v>1</v>
      </c>
      <c r="W692" s="1">
        <v>1</v>
      </c>
      <c r="X692" s="1">
        <f t="shared" si="39"/>
        <v>2</v>
      </c>
      <c r="Y692" s="5" t="str">
        <f t="shared" si="38"/>
        <v>C</v>
      </c>
    </row>
    <row r="693" spans="2:25" x14ac:dyDescent="0.25">
      <c r="B693" s="11">
        <v>45152</v>
      </c>
      <c r="C693" s="7">
        <v>600004161099</v>
      </c>
      <c r="D693" s="5">
        <v>1</v>
      </c>
      <c r="E693" t="s">
        <v>517</v>
      </c>
      <c r="F693" t="s">
        <v>561</v>
      </c>
      <c r="G693" t="s">
        <v>666</v>
      </c>
      <c r="H693" t="s">
        <v>745</v>
      </c>
      <c r="I693" t="s">
        <v>787</v>
      </c>
      <c r="J693" s="27" t="s">
        <v>525</v>
      </c>
      <c r="K693" s="5" t="s">
        <v>15</v>
      </c>
      <c r="L693" s="1" t="s">
        <v>57</v>
      </c>
      <c r="M693" s="1" t="s">
        <v>71</v>
      </c>
      <c r="N693" s="1" t="s">
        <v>116</v>
      </c>
      <c r="O693" s="1" t="s">
        <v>19</v>
      </c>
      <c r="P693" s="9">
        <v>45152</v>
      </c>
      <c r="Q693" s="1" t="s">
        <v>477</v>
      </c>
      <c r="R693" s="1" t="s">
        <v>63</v>
      </c>
      <c r="S693" s="1">
        <v>2</v>
      </c>
      <c r="T693" s="12">
        <v>0.4375</v>
      </c>
      <c r="U693" s="12">
        <v>0.47916666666666669</v>
      </c>
      <c r="V693" s="1">
        <v>1</v>
      </c>
      <c r="W693" s="1">
        <v>1</v>
      </c>
      <c r="X693" s="1">
        <f t="shared" si="39"/>
        <v>2</v>
      </c>
      <c r="Y693" s="5" t="str">
        <f t="shared" si="38"/>
        <v>C</v>
      </c>
    </row>
    <row r="694" spans="2:25" x14ac:dyDescent="0.25">
      <c r="B694" s="11">
        <v>45156</v>
      </c>
      <c r="C694" s="7">
        <v>600004162030</v>
      </c>
      <c r="D694" s="5">
        <v>1</v>
      </c>
      <c r="E694" t="s">
        <v>507</v>
      </c>
      <c r="F694" t="s">
        <v>551</v>
      </c>
      <c r="G694" t="s">
        <v>656</v>
      </c>
      <c r="H694" t="s">
        <v>745</v>
      </c>
      <c r="I694" t="s">
        <v>777</v>
      </c>
      <c r="J694" s="27" t="s">
        <v>525</v>
      </c>
      <c r="K694" s="5" t="s">
        <v>15</v>
      </c>
      <c r="L694" s="1" t="s">
        <v>16</v>
      </c>
      <c r="M694" s="1" t="s">
        <v>320</v>
      </c>
      <c r="N694" s="1" t="s">
        <v>45</v>
      </c>
      <c r="O694" s="1" t="s">
        <v>19</v>
      </c>
      <c r="P694" s="9">
        <v>45156</v>
      </c>
      <c r="Q694" s="1" t="s">
        <v>479</v>
      </c>
      <c r="R694" s="1" t="s">
        <v>63</v>
      </c>
      <c r="S694" s="1">
        <v>2</v>
      </c>
      <c r="T694" s="12">
        <v>0.52083333333333337</v>
      </c>
      <c r="U694" s="12">
        <v>0.5625</v>
      </c>
      <c r="V694" s="1">
        <v>1</v>
      </c>
      <c r="W694" s="1">
        <v>1</v>
      </c>
      <c r="X694" s="1">
        <f t="shared" si="39"/>
        <v>2</v>
      </c>
      <c r="Y694" s="5" t="str">
        <f t="shared" si="38"/>
        <v>C</v>
      </c>
    </row>
    <row r="695" spans="2:25" x14ac:dyDescent="0.25">
      <c r="B695" s="11">
        <v>45156</v>
      </c>
      <c r="C695" s="7">
        <v>600004161970</v>
      </c>
      <c r="D695" s="5">
        <v>1</v>
      </c>
      <c r="E695" t="s">
        <v>515</v>
      </c>
      <c r="F695" t="s">
        <v>559</v>
      </c>
      <c r="G695" t="s">
        <v>664</v>
      </c>
      <c r="H695" t="s">
        <v>745</v>
      </c>
      <c r="I695" t="s">
        <v>785</v>
      </c>
      <c r="J695" s="26" t="s">
        <v>525</v>
      </c>
      <c r="K695" s="5" t="s">
        <v>122</v>
      </c>
      <c r="L695" s="1" t="s">
        <v>57</v>
      </c>
      <c r="M695" s="1" t="s">
        <v>141</v>
      </c>
      <c r="N695" s="1" t="s">
        <v>400</v>
      </c>
      <c r="O695" s="1" t="s">
        <v>176</v>
      </c>
      <c r="P695" s="9">
        <v>45156</v>
      </c>
      <c r="Q695" s="1" t="s">
        <v>478</v>
      </c>
      <c r="R695" s="1" t="s">
        <v>63</v>
      </c>
      <c r="S695" s="1">
        <v>1</v>
      </c>
      <c r="T695" s="12">
        <v>0.33333333333333331</v>
      </c>
      <c r="U695" s="12">
        <v>0.41666666666666669</v>
      </c>
      <c r="V695" s="1">
        <v>2</v>
      </c>
      <c r="W695" s="1">
        <v>2</v>
      </c>
      <c r="X695" s="1">
        <f t="shared" si="39"/>
        <v>2</v>
      </c>
      <c r="Y695" s="5" t="str">
        <f t="shared" si="38"/>
        <v>C</v>
      </c>
    </row>
    <row r="696" spans="2:25" x14ac:dyDescent="0.25">
      <c r="B696" s="11">
        <v>45153</v>
      </c>
      <c r="C696" s="7">
        <v>600004161219</v>
      </c>
      <c r="D696" s="5">
        <v>1</v>
      </c>
      <c r="E696" t="s">
        <v>499</v>
      </c>
      <c r="F696" t="s">
        <v>543</v>
      </c>
      <c r="G696" t="s">
        <v>648</v>
      </c>
      <c r="H696" t="s">
        <v>745</v>
      </c>
      <c r="I696" t="s">
        <v>769</v>
      </c>
      <c r="J696" s="26" t="s">
        <v>525</v>
      </c>
      <c r="K696" s="5" t="s">
        <v>15</v>
      </c>
      <c r="L696" s="1" t="s">
        <v>79</v>
      </c>
      <c r="M696" s="1" t="s">
        <v>384</v>
      </c>
      <c r="N696" s="1" t="s">
        <v>369</v>
      </c>
      <c r="O696" s="1" t="s">
        <v>19</v>
      </c>
      <c r="P696" s="9">
        <v>45153</v>
      </c>
      <c r="Q696" s="1" t="s">
        <v>478</v>
      </c>
      <c r="R696" s="1" t="s">
        <v>50</v>
      </c>
      <c r="S696" s="1">
        <v>1</v>
      </c>
      <c r="T696" s="12">
        <v>0.54166666666666663</v>
      </c>
      <c r="U696" s="12">
        <v>0.625</v>
      </c>
      <c r="V696" s="1">
        <v>2</v>
      </c>
      <c r="W696" s="1">
        <v>2</v>
      </c>
      <c r="X696" s="1">
        <f t="shared" si="39"/>
        <v>2</v>
      </c>
      <c r="Y696" s="5" t="str">
        <f t="shared" si="38"/>
        <v>C</v>
      </c>
    </row>
    <row r="697" spans="2:25" x14ac:dyDescent="0.25">
      <c r="B697" s="11">
        <v>45154</v>
      </c>
      <c r="C697" s="7">
        <v>600004161414</v>
      </c>
      <c r="D697" s="5">
        <v>1</v>
      </c>
      <c r="E697" t="s">
        <v>869</v>
      </c>
      <c r="F697" t="s">
        <v>576</v>
      </c>
      <c r="G697" t="s">
        <v>681</v>
      </c>
      <c r="H697" t="s">
        <v>745</v>
      </c>
      <c r="I697" t="s">
        <v>802</v>
      </c>
      <c r="J697" s="27" t="s">
        <v>525</v>
      </c>
      <c r="K697" s="5" t="s">
        <v>15</v>
      </c>
      <c r="L697" s="1" t="s">
        <v>79</v>
      </c>
      <c r="M697" s="1" t="s">
        <v>110</v>
      </c>
      <c r="N697" s="1" t="s">
        <v>111</v>
      </c>
      <c r="O697" s="1" t="s">
        <v>19</v>
      </c>
      <c r="P697" s="9">
        <v>45154</v>
      </c>
      <c r="Q697" s="1" t="s">
        <v>478</v>
      </c>
      <c r="R697" s="1" t="s">
        <v>50</v>
      </c>
      <c r="S697" s="1">
        <v>1</v>
      </c>
      <c r="T697" s="12">
        <v>0.375</v>
      </c>
      <c r="U697" s="12">
        <v>0.47916666666666669</v>
      </c>
      <c r="V697" s="1">
        <v>2.5</v>
      </c>
      <c r="W697" s="1">
        <v>2.5</v>
      </c>
      <c r="X697" s="1">
        <f t="shared" si="39"/>
        <v>2.5</v>
      </c>
      <c r="Y697" s="5" t="str">
        <f t="shared" si="38"/>
        <v>B</v>
      </c>
    </row>
    <row r="698" spans="2:25" x14ac:dyDescent="0.25">
      <c r="B698" s="11">
        <v>45163</v>
      </c>
      <c r="C698" s="7">
        <v>600004163649</v>
      </c>
      <c r="D698" s="5">
        <v>1</v>
      </c>
      <c r="E698" t="s">
        <v>864</v>
      </c>
      <c r="F698" t="s">
        <v>571</v>
      </c>
      <c r="G698" t="s">
        <v>676</v>
      </c>
      <c r="H698" t="s">
        <v>745</v>
      </c>
      <c r="I698" t="s">
        <v>797</v>
      </c>
      <c r="J698" s="27" t="s">
        <v>525</v>
      </c>
      <c r="K698" s="5" t="s">
        <v>15</v>
      </c>
      <c r="L698" s="1" t="s">
        <v>79</v>
      </c>
      <c r="M698" s="1" t="s">
        <v>62</v>
      </c>
      <c r="N698" s="1" t="s">
        <v>110</v>
      </c>
      <c r="O698" s="1" t="s">
        <v>19</v>
      </c>
      <c r="P698" s="9">
        <v>45163</v>
      </c>
      <c r="Q698" s="1" t="s">
        <v>475</v>
      </c>
      <c r="R698" s="1" t="s">
        <v>50</v>
      </c>
      <c r="S698" s="1">
        <v>1</v>
      </c>
      <c r="T698" s="12">
        <v>0.5</v>
      </c>
      <c r="U698" s="12">
        <v>0.52083333333333337</v>
      </c>
      <c r="V698" s="1">
        <v>0.5</v>
      </c>
      <c r="W698" s="1">
        <v>0.5</v>
      </c>
      <c r="X698" s="1">
        <f t="shared" si="39"/>
        <v>0.5</v>
      </c>
      <c r="Y698" s="5" t="str">
        <f t="shared" si="38"/>
        <v>C</v>
      </c>
    </row>
    <row r="699" spans="2:25" x14ac:dyDescent="0.25">
      <c r="B699" s="11">
        <v>45160</v>
      </c>
      <c r="C699" s="7">
        <v>600004162771</v>
      </c>
      <c r="D699" s="4">
        <v>1</v>
      </c>
      <c r="E699" t="s">
        <v>499</v>
      </c>
      <c r="F699" t="s">
        <v>543</v>
      </c>
      <c r="G699" t="s">
        <v>648</v>
      </c>
      <c r="H699" t="s">
        <v>745</v>
      </c>
      <c r="I699" t="s">
        <v>769</v>
      </c>
      <c r="J699" s="28" t="s">
        <v>525</v>
      </c>
      <c r="K699" s="4" t="s">
        <v>15</v>
      </c>
      <c r="L699" s="1" t="s">
        <v>79</v>
      </c>
      <c r="M699" s="1" t="s">
        <v>34</v>
      </c>
      <c r="N699" s="1" t="s">
        <v>390</v>
      </c>
      <c r="O699" s="1" t="s">
        <v>19</v>
      </c>
      <c r="P699" s="9">
        <v>45160</v>
      </c>
      <c r="Q699" s="1" t="s">
        <v>475</v>
      </c>
      <c r="R699" s="1" t="s">
        <v>50</v>
      </c>
      <c r="S699" s="1">
        <v>1</v>
      </c>
      <c r="T699" s="12">
        <v>0.54166666666666663</v>
      </c>
      <c r="U699" s="12">
        <v>0.5625</v>
      </c>
      <c r="V699" s="1">
        <v>0.5</v>
      </c>
      <c r="W699" s="1">
        <v>0.5</v>
      </c>
      <c r="X699" s="1">
        <f t="shared" si="39"/>
        <v>0.5</v>
      </c>
      <c r="Y699" s="5" t="str">
        <f t="shared" si="38"/>
        <v>C</v>
      </c>
    </row>
    <row r="700" spans="2:25" x14ac:dyDescent="0.25">
      <c r="B700" s="11">
        <v>45173</v>
      </c>
      <c r="C700" s="7">
        <v>600004165730</v>
      </c>
      <c r="D700" s="5">
        <v>1</v>
      </c>
      <c r="E700" t="s">
        <v>514</v>
      </c>
      <c r="F700" t="s">
        <v>558</v>
      </c>
      <c r="G700" t="s">
        <v>663</v>
      </c>
      <c r="H700" t="s">
        <v>741</v>
      </c>
      <c r="I700" t="s">
        <v>784</v>
      </c>
      <c r="J700" s="26" t="s">
        <v>524</v>
      </c>
      <c r="K700" s="5" t="s">
        <v>191</v>
      </c>
      <c r="L700" s="1" t="s">
        <v>253</v>
      </c>
      <c r="M700" s="1" t="s">
        <v>281</v>
      </c>
      <c r="N700" s="1" t="s">
        <v>305</v>
      </c>
      <c r="O700" s="1" t="s">
        <v>19</v>
      </c>
      <c r="P700" s="9">
        <v>45173</v>
      </c>
      <c r="Q700" s="1" t="s">
        <v>480</v>
      </c>
      <c r="R700" s="1" t="s">
        <v>63</v>
      </c>
      <c r="S700" s="1">
        <v>1</v>
      </c>
      <c r="T700" s="12">
        <v>0.41666666666666669</v>
      </c>
      <c r="U700" s="12">
        <v>0.47916666666666669</v>
      </c>
      <c r="V700" s="1">
        <v>1.5</v>
      </c>
      <c r="W700" s="1">
        <v>1.5</v>
      </c>
      <c r="X700" s="1">
        <f t="shared" ref="X700:X705" si="40">PRODUCT(S700,V700)</f>
        <v>1.5</v>
      </c>
      <c r="Y700" s="5" t="str">
        <f t="shared" si="38"/>
        <v>C</v>
      </c>
    </row>
    <row r="701" spans="2:25" x14ac:dyDescent="0.25">
      <c r="B701" s="11">
        <v>45175</v>
      </c>
      <c r="C701" s="7">
        <v>600004166214</v>
      </c>
      <c r="D701" s="5">
        <v>1</v>
      </c>
      <c r="E701" t="s">
        <v>486</v>
      </c>
      <c r="F701" t="s">
        <v>530</v>
      </c>
      <c r="G701" t="s">
        <v>635</v>
      </c>
      <c r="H701" t="s">
        <v>740</v>
      </c>
      <c r="I701" t="s">
        <v>756</v>
      </c>
      <c r="J701" s="27" t="s">
        <v>525</v>
      </c>
      <c r="K701" s="5" t="s">
        <v>69</v>
      </c>
      <c r="L701" s="1" t="s">
        <v>42</v>
      </c>
      <c r="M701" s="1" t="s">
        <v>57</v>
      </c>
      <c r="N701" s="1" t="s">
        <v>137</v>
      </c>
      <c r="O701" s="1" t="s">
        <v>19</v>
      </c>
      <c r="P701" s="9">
        <v>45175</v>
      </c>
      <c r="Q701" s="1" t="s">
        <v>480</v>
      </c>
      <c r="R701" s="1" t="s">
        <v>63</v>
      </c>
      <c r="S701" s="1">
        <v>2</v>
      </c>
      <c r="T701" s="12">
        <v>0.45833333333333331</v>
      </c>
      <c r="U701" s="12">
        <v>0.58333333333333337</v>
      </c>
      <c r="V701" s="1">
        <v>3</v>
      </c>
      <c r="W701" s="1">
        <v>3</v>
      </c>
      <c r="X701" s="1">
        <f t="shared" si="40"/>
        <v>6</v>
      </c>
      <c r="Y701" s="5" t="str">
        <f t="shared" si="38"/>
        <v>B</v>
      </c>
    </row>
    <row r="702" spans="2:25" x14ac:dyDescent="0.25">
      <c r="B702" s="11">
        <v>45175</v>
      </c>
      <c r="C702" s="7">
        <v>600004166242</v>
      </c>
      <c r="D702" s="5">
        <v>1</v>
      </c>
      <c r="E702" t="s">
        <v>875</v>
      </c>
      <c r="F702" t="s">
        <v>581</v>
      </c>
      <c r="G702" t="s">
        <v>687</v>
      </c>
      <c r="H702" t="s">
        <v>745</v>
      </c>
      <c r="I702" t="s">
        <v>808</v>
      </c>
      <c r="J702" s="27" t="s">
        <v>525</v>
      </c>
      <c r="K702" s="5" t="s">
        <v>15</v>
      </c>
      <c r="L702" s="1" t="s">
        <v>71</v>
      </c>
      <c r="M702" s="1" t="s">
        <v>325</v>
      </c>
      <c r="N702" s="1" t="s">
        <v>116</v>
      </c>
      <c r="O702" s="1" t="s">
        <v>19</v>
      </c>
      <c r="P702" s="9">
        <v>45177</v>
      </c>
      <c r="Q702" s="1" t="s">
        <v>479</v>
      </c>
      <c r="R702" s="1" t="s">
        <v>63</v>
      </c>
      <c r="S702" s="1">
        <v>2</v>
      </c>
      <c r="T702" s="12">
        <v>0.39583333333333331</v>
      </c>
      <c r="U702" s="12">
        <v>0.4375</v>
      </c>
      <c r="V702" s="1">
        <v>1</v>
      </c>
      <c r="W702" s="1">
        <v>1</v>
      </c>
      <c r="X702" s="1">
        <f t="shared" si="40"/>
        <v>2</v>
      </c>
      <c r="Y702" s="5" t="str">
        <f t="shared" si="38"/>
        <v>C</v>
      </c>
    </row>
    <row r="703" spans="2:25" x14ac:dyDescent="0.25">
      <c r="B703" s="11">
        <v>45182</v>
      </c>
      <c r="C703" s="7">
        <v>600004167641</v>
      </c>
      <c r="D703" s="5">
        <v>1</v>
      </c>
      <c r="E703" t="s">
        <v>909</v>
      </c>
      <c r="F703" t="s">
        <v>614</v>
      </c>
      <c r="G703" t="s">
        <v>721</v>
      </c>
      <c r="H703" t="s">
        <v>741</v>
      </c>
      <c r="I703" t="s">
        <v>842</v>
      </c>
      <c r="J703" s="27" t="s">
        <v>524</v>
      </c>
      <c r="K703" s="5" t="s">
        <v>90</v>
      </c>
      <c r="L703" s="1" t="s">
        <v>57</v>
      </c>
      <c r="M703" s="1" t="s">
        <v>401</v>
      </c>
      <c r="N703" s="1" t="s">
        <v>344</v>
      </c>
      <c r="O703" s="1" t="s">
        <v>19</v>
      </c>
      <c r="P703" s="9">
        <v>45182</v>
      </c>
      <c r="Q703" s="1" t="s">
        <v>480</v>
      </c>
      <c r="R703" s="1" t="s">
        <v>63</v>
      </c>
      <c r="S703" s="1">
        <v>2</v>
      </c>
      <c r="T703" s="12">
        <v>0.52083333333333337</v>
      </c>
      <c r="U703" s="12">
        <v>0.625</v>
      </c>
      <c r="V703" s="1">
        <v>2.5</v>
      </c>
      <c r="W703" s="1">
        <v>2.5</v>
      </c>
      <c r="X703" s="1">
        <f t="shared" si="40"/>
        <v>5</v>
      </c>
      <c r="Y703" s="5" t="str">
        <f t="shared" si="38"/>
        <v>B</v>
      </c>
    </row>
    <row r="704" spans="2:25" x14ac:dyDescent="0.25">
      <c r="B704" s="11">
        <v>45177</v>
      </c>
      <c r="C704" s="7">
        <v>600004166500</v>
      </c>
      <c r="D704" s="5">
        <v>1</v>
      </c>
      <c r="E704" t="s">
        <v>512</v>
      </c>
      <c r="F704" t="s">
        <v>556</v>
      </c>
      <c r="G704" t="s">
        <v>661</v>
      </c>
      <c r="H704" t="s">
        <v>745</v>
      </c>
      <c r="I704" t="s">
        <v>782</v>
      </c>
      <c r="J704" s="26" t="s">
        <v>525</v>
      </c>
      <c r="K704" s="5" t="s">
        <v>88</v>
      </c>
      <c r="L704" s="1" t="s">
        <v>79</v>
      </c>
      <c r="M704" s="1" t="s">
        <v>253</v>
      </c>
      <c r="N704" s="1" t="s">
        <v>225</v>
      </c>
      <c r="O704" s="1" t="s">
        <v>19</v>
      </c>
      <c r="P704" s="9">
        <v>45177</v>
      </c>
      <c r="Q704" s="1" t="s">
        <v>475</v>
      </c>
      <c r="R704" s="1" t="s">
        <v>50</v>
      </c>
      <c r="S704" s="1">
        <v>1</v>
      </c>
      <c r="T704" s="12">
        <v>0.625</v>
      </c>
      <c r="U704" s="12">
        <v>0.64583333333333337</v>
      </c>
      <c r="V704" s="1">
        <v>0.5</v>
      </c>
      <c r="W704" s="1">
        <v>0.5</v>
      </c>
      <c r="X704" s="1">
        <f t="shared" si="40"/>
        <v>0.5</v>
      </c>
      <c r="Y704" s="5" t="str">
        <f t="shared" si="38"/>
        <v>C</v>
      </c>
    </row>
    <row r="705" spans="2:25" x14ac:dyDescent="0.25">
      <c r="B705" s="11">
        <v>45174</v>
      </c>
      <c r="C705" s="7">
        <v>600004165955</v>
      </c>
      <c r="D705" s="5">
        <v>1</v>
      </c>
      <c r="E705" t="s">
        <v>514</v>
      </c>
      <c r="F705" t="s">
        <v>558</v>
      </c>
      <c r="G705" t="s">
        <v>663</v>
      </c>
      <c r="H705" t="s">
        <v>741</v>
      </c>
      <c r="I705" t="s">
        <v>784</v>
      </c>
      <c r="J705" s="26" t="s">
        <v>524</v>
      </c>
      <c r="K705" s="5" t="s">
        <v>191</v>
      </c>
      <c r="L705" s="1" t="s">
        <v>57</v>
      </c>
      <c r="M705" s="1" t="s">
        <v>112</v>
      </c>
      <c r="N705" s="1" t="s">
        <v>67</v>
      </c>
      <c r="O705" s="1" t="s">
        <v>19</v>
      </c>
      <c r="P705" s="9">
        <v>45174</v>
      </c>
      <c r="Q705" s="1" t="s">
        <v>480</v>
      </c>
      <c r="R705" s="1" t="s">
        <v>63</v>
      </c>
      <c r="S705" s="1">
        <v>2</v>
      </c>
      <c r="T705" s="12">
        <v>0.35416666666666669</v>
      </c>
      <c r="U705" s="12">
        <v>0.47916666666666669</v>
      </c>
      <c r="V705" s="1">
        <v>3</v>
      </c>
      <c r="W705" s="1">
        <v>3</v>
      </c>
      <c r="X705" s="1">
        <f t="shared" si="40"/>
        <v>6</v>
      </c>
      <c r="Y705" s="5" t="str">
        <f t="shared" si="38"/>
        <v>B</v>
      </c>
    </row>
    <row r="706" spans="2:25" x14ac:dyDescent="0.25">
      <c r="B706" s="11">
        <v>45176</v>
      </c>
      <c r="C706" s="7">
        <v>600004166372</v>
      </c>
      <c r="D706" s="5">
        <v>1</v>
      </c>
      <c r="E706" t="s">
        <v>862</v>
      </c>
      <c r="F706" t="s">
        <v>569</v>
      </c>
      <c r="G706" t="s">
        <v>674</v>
      </c>
      <c r="H706" t="s">
        <v>745</v>
      </c>
      <c r="I706" t="s">
        <v>795</v>
      </c>
      <c r="J706" s="27" t="s">
        <v>525</v>
      </c>
      <c r="K706" s="5" t="s">
        <v>140</v>
      </c>
      <c r="L706" s="1" t="s">
        <v>33</v>
      </c>
      <c r="M706" s="1" t="s">
        <v>141</v>
      </c>
      <c r="N706" s="1" t="s">
        <v>45</v>
      </c>
      <c r="O706" s="1" t="s">
        <v>176</v>
      </c>
      <c r="P706" s="9">
        <v>45175</v>
      </c>
      <c r="Q706" s="1" t="s">
        <v>479</v>
      </c>
      <c r="R706" s="1" t="s">
        <v>63</v>
      </c>
      <c r="S706" s="1">
        <v>2</v>
      </c>
      <c r="T706" s="12">
        <v>0.625</v>
      </c>
      <c r="U706" s="12">
        <v>0.66666666666666663</v>
      </c>
      <c r="V706" s="1">
        <v>1</v>
      </c>
      <c r="W706" s="1">
        <v>1</v>
      </c>
      <c r="X706" s="1">
        <f t="shared" ref="X706:X719" si="41">PRODUCT(S706,V706)</f>
        <v>2</v>
      </c>
      <c r="Y706" s="5" t="str">
        <f t="shared" si="38"/>
        <v>C</v>
      </c>
    </row>
    <row r="707" spans="2:25" x14ac:dyDescent="0.25">
      <c r="B707" s="11">
        <v>45187</v>
      </c>
      <c r="C707" s="7">
        <v>600004168507</v>
      </c>
      <c r="D707" s="5">
        <v>1</v>
      </c>
      <c r="E707" t="s">
        <v>501</v>
      </c>
      <c r="F707" t="s">
        <v>545</v>
      </c>
      <c r="G707" t="s">
        <v>650</v>
      </c>
      <c r="H707" t="s">
        <v>740</v>
      </c>
      <c r="I707" t="s">
        <v>771</v>
      </c>
      <c r="J707" s="27" t="s">
        <v>524</v>
      </c>
      <c r="K707" s="5" t="s">
        <v>70</v>
      </c>
      <c r="L707" s="1" t="s">
        <v>31</v>
      </c>
      <c r="M707" s="1" t="s">
        <v>86</v>
      </c>
      <c r="N707" s="1" t="s">
        <v>55</v>
      </c>
      <c r="O707" s="1" t="s">
        <v>19</v>
      </c>
      <c r="P707" s="9">
        <v>45187</v>
      </c>
      <c r="Q707" s="1" t="s">
        <v>473</v>
      </c>
      <c r="R707" s="1" t="s">
        <v>63</v>
      </c>
      <c r="S707" s="1">
        <v>3</v>
      </c>
      <c r="T707" s="12">
        <v>0.25</v>
      </c>
      <c r="U707" s="12">
        <v>0.66666666666666663</v>
      </c>
      <c r="V707" s="1">
        <v>10</v>
      </c>
      <c r="W707" s="1">
        <v>10</v>
      </c>
      <c r="X707" s="1">
        <f t="shared" si="41"/>
        <v>30</v>
      </c>
      <c r="Y707" s="5" t="str">
        <f t="shared" si="38"/>
        <v>A</v>
      </c>
    </row>
    <row r="708" spans="2:25" x14ac:dyDescent="0.25">
      <c r="B708" s="11">
        <v>45189</v>
      </c>
      <c r="C708" s="7">
        <v>600004168865</v>
      </c>
      <c r="D708" s="5">
        <v>1</v>
      </c>
      <c r="E708" t="s">
        <v>501</v>
      </c>
      <c r="F708" t="s">
        <v>545</v>
      </c>
      <c r="G708" t="s">
        <v>650</v>
      </c>
      <c r="H708" t="s">
        <v>740</v>
      </c>
      <c r="I708" t="s">
        <v>771</v>
      </c>
      <c r="J708" s="27" t="s">
        <v>524</v>
      </c>
      <c r="K708" s="5" t="s">
        <v>70</v>
      </c>
      <c r="L708" s="1" t="s">
        <v>57</v>
      </c>
      <c r="M708" s="1" t="s">
        <v>71</v>
      </c>
      <c r="N708" s="1" t="s">
        <v>67</v>
      </c>
      <c r="O708" s="1" t="s">
        <v>176</v>
      </c>
      <c r="P708" s="9">
        <v>45189</v>
      </c>
      <c r="Q708" s="1" t="s">
        <v>474</v>
      </c>
      <c r="R708" s="1" t="s">
        <v>63</v>
      </c>
      <c r="S708" s="1">
        <v>1</v>
      </c>
      <c r="T708" s="12">
        <v>0.41666666666666669</v>
      </c>
      <c r="U708" s="12">
        <v>0.47916666666666669</v>
      </c>
      <c r="V708" s="1">
        <v>1.5</v>
      </c>
      <c r="W708" s="1">
        <v>1.5</v>
      </c>
      <c r="X708" s="1">
        <f t="shared" si="41"/>
        <v>1.5</v>
      </c>
      <c r="Y708" s="5" t="str">
        <f t="shared" si="38"/>
        <v>C</v>
      </c>
    </row>
    <row r="709" spans="2:25" x14ac:dyDescent="0.25">
      <c r="B709" s="11">
        <v>45188</v>
      </c>
      <c r="C709" s="7">
        <v>600004168645</v>
      </c>
      <c r="D709" s="5">
        <v>1</v>
      </c>
      <c r="E709" t="s">
        <v>507</v>
      </c>
      <c r="F709" t="s">
        <v>551</v>
      </c>
      <c r="G709" t="s">
        <v>656</v>
      </c>
      <c r="H709" t="s">
        <v>745</v>
      </c>
      <c r="I709" t="s">
        <v>777</v>
      </c>
      <c r="J709" s="27" t="s">
        <v>525</v>
      </c>
      <c r="K709" s="5" t="s">
        <v>15</v>
      </c>
      <c r="L709" s="1" t="s">
        <v>16</v>
      </c>
      <c r="M709" s="1" t="s">
        <v>137</v>
      </c>
      <c r="N709" s="1" t="s">
        <v>53</v>
      </c>
      <c r="O709" s="1" t="s">
        <v>19</v>
      </c>
      <c r="P709" s="9">
        <v>45188</v>
      </c>
      <c r="Q709" s="1" t="s">
        <v>477</v>
      </c>
      <c r="R709" s="1" t="s">
        <v>63</v>
      </c>
      <c r="S709" s="1">
        <v>3</v>
      </c>
      <c r="T709" s="12">
        <v>0.3125</v>
      </c>
      <c r="U709" s="12">
        <v>0.375</v>
      </c>
      <c r="V709" s="1">
        <v>1.5</v>
      </c>
      <c r="W709" s="1">
        <v>1.5</v>
      </c>
      <c r="X709" s="1">
        <f t="shared" si="41"/>
        <v>4.5</v>
      </c>
      <c r="Y709" s="5" t="str">
        <f t="shared" si="38"/>
        <v>C</v>
      </c>
    </row>
    <row r="710" spans="2:25" x14ac:dyDescent="0.25">
      <c r="B710" s="11">
        <v>45173</v>
      </c>
      <c r="C710" s="7">
        <v>600004165715</v>
      </c>
      <c r="D710" s="5">
        <v>1</v>
      </c>
      <c r="E710" t="s">
        <v>515</v>
      </c>
      <c r="F710" t="s">
        <v>559</v>
      </c>
      <c r="G710" t="s">
        <v>664</v>
      </c>
      <c r="H710" t="s">
        <v>745</v>
      </c>
      <c r="I710" t="s">
        <v>785</v>
      </c>
      <c r="J710" s="26" t="s">
        <v>525</v>
      </c>
      <c r="K710" s="5" t="s">
        <v>122</v>
      </c>
      <c r="L710" s="1" t="s">
        <v>57</v>
      </c>
      <c r="M710" s="1" t="s">
        <v>395</v>
      </c>
      <c r="N710" s="1" t="s">
        <v>402</v>
      </c>
      <c r="O710" s="1" t="s">
        <v>19</v>
      </c>
      <c r="P710" s="9">
        <v>45173</v>
      </c>
      <c r="Q710" s="1" t="s">
        <v>477</v>
      </c>
      <c r="R710" s="1" t="s">
        <v>63</v>
      </c>
      <c r="S710" s="1">
        <v>1</v>
      </c>
      <c r="T710" s="12">
        <v>0.58333333333333337</v>
      </c>
      <c r="U710" s="12">
        <v>0.60416666666666663</v>
      </c>
      <c r="V710" s="1">
        <v>0.5</v>
      </c>
      <c r="W710" s="1">
        <v>0.5</v>
      </c>
      <c r="X710" s="1">
        <f t="shared" si="41"/>
        <v>0.5</v>
      </c>
      <c r="Y710" s="5" t="str">
        <f t="shared" si="38"/>
        <v>C</v>
      </c>
    </row>
    <row r="711" spans="2:25" x14ac:dyDescent="0.25">
      <c r="B711" s="11">
        <v>45181</v>
      </c>
      <c r="C711" s="7">
        <v>600004167225</v>
      </c>
      <c r="D711" s="5">
        <v>1</v>
      </c>
      <c r="E711" t="s">
        <v>494</v>
      </c>
      <c r="F711" t="s">
        <v>538</v>
      </c>
      <c r="G711" t="s">
        <v>643</v>
      </c>
      <c r="H711" t="s">
        <v>745</v>
      </c>
      <c r="I711" t="s">
        <v>764</v>
      </c>
      <c r="J711" s="27" t="s">
        <v>525</v>
      </c>
      <c r="K711" s="4" t="s">
        <v>15</v>
      </c>
      <c r="L711" s="1" t="s">
        <v>16</v>
      </c>
      <c r="M711" s="1" t="s">
        <v>382</v>
      </c>
      <c r="N711" s="1" t="s">
        <v>112</v>
      </c>
      <c r="O711" s="1" t="s">
        <v>19</v>
      </c>
      <c r="P711" s="9">
        <v>45181</v>
      </c>
      <c r="Q711" s="1" t="s">
        <v>477</v>
      </c>
      <c r="R711" s="1" t="s">
        <v>63</v>
      </c>
      <c r="S711" s="1">
        <v>4</v>
      </c>
      <c r="T711" s="12">
        <v>0.375</v>
      </c>
      <c r="U711" s="12">
        <v>0.4375</v>
      </c>
      <c r="V711" s="1">
        <v>1.5</v>
      </c>
      <c r="W711" s="1">
        <v>1.5</v>
      </c>
      <c r="X711" s="1">
        <f t="shared" si="41"/>
        <v>6</v>
      </c>
      <c r="Y711" s="5" t="str">
        <f t="shared" si="38"/>
        <v>C</v>
      </c>
    </row>
    <row r="712" spans="2:25" x14ac:dyDescent="0.25">
      <c r="B712" s="11">
        <v>45175</v>
      </c>
      <c r="C712" s="7">
        <v>600004166131</v>
      </c>
      <c r="D712" s="5">
        <v>1</v>
      </c>
      <c r="E712" t="s">
        <v>875</v>
      </c>
      <c r="F712" t="s">
        <v>581</v>
      </c>
      <c r="G712" t="s">
        <v>687</v>
      </c>
      <c r="H712" t="s">
        <v>745</v>
      </c>
      <c r="I712" t="s">
        <v>808</v>
      </c>
      <c r="J712" s="27" t="s">
        <v>525</v>
      </c>
      <c r="K712" s="5" t="s">
        <v>15</v>
      </c>
      <c r="L712" s="1" t="s">
        <v>16</v>
      </c>
      <c r="M712" s="1" t="s">
        <v>62</v>
      </c>
      <c r="N712" s="1" t="s">
        <v>67</v>
      </c>
      <c r="O712" s="1" t="s">
        <v>176</v>
      </c>
      <c r="P712" s="9">
        <v>45176</v>
      </c>
      <c r="Q712" s="1" t="s">
        <v>477</v>
      </c>
      <c r="R712" s="1" t="s">
        <v>63</v>
      </c>
      <c r="S712" s="1">
        <v>2</v>
      </c>
      <c r="T712" s="12">
        <v>0.625</v>
      </c>
      <c r="U712" s="12">
        <v>0.66666666666666663</v>
      </c>
      <c r="V712" s="1">
        <v>1</v>
      </c>
      <c r="W712" s="1">
        <v>1</v>
      </c>
      <c r="X712" s="1">
        <f t="shared" si="41"/>
        <v>2</v>
      </c>
      <c r="Y712" s="5" t="str">
        <f t="shared" si="38"/>
        <v>C</v>
      </c>
    </row>
    <row r="713" spans="2:25" x14ac:dyDescent="0.25">
      <c r="B713" s="11">
        <v>45173</v>
      </c>
      <c r="C713" s="7">
        <v>600004165729</v>
      </c>
      <c r="D713" s="5">
        <v>1</v>
      </c>
      <c r="E713" t="s">
        <v>885</v>
      </c>
      <c r="F713" t="s">
        <v>591</v>
      </c>
      <c r="G713" t="s">
        <v>697</v>
      </c>
      <c r="H713" t="s">
        <v>745</v>
      </c>
      <c r="I713" t="s">
        <v>818</v>
      </c>
      <c r="J713" s="26" t="s">
        <v>525</v>
      </c>
      <c r="K713" s="5" t="s">
        <v>15</v>
      </c>
      <c r="L713" s="1" t="s">
        <v>205</v>
      </c>
      <c r="M713" s="1" t="s">
        <v>65</v>
      </c>
      <c r="N713" s="1" t="s">
        <v>67</v>
      </c>
      <c r="O713" s="1" t="s">
        <v>19</v>
      </c>
      <c r="P713" s="9">
        <v>45173</v>
      </c>
      <c r="Q713" s="1" t="s">
        <v>479</v>
      </c>
      <c r="R713" s="1" t="s">
        <v>63</v>
      </c>
      <c r="S713" s="1">
        <v>2</v>
      </c>
      <c r="T713" s="12">
        <v>0.52083333333333337</v>
      </c>
      <c r="U713" s="12">
        <v>0.5625</v>
      </c>
      <c r="V713" s="1">
        <v>1</v>
      </c>
      <c r="W713" s="1">
        <v>1</v>
      </c>
      <c r="X713" s="1">
        <f t="shared" si="41"/>
        <v>2</v>
      </c>
      <c r="Y713" s="5" t="str">
        <f t="shared" si="38"/>
        <v>C</v>
      </c>
    </row>
    <row r="714" spans="2:25" x14ac:dyDescent="0.25">
      <c r="B714" s="11">
        <v>45173</v>
      </c>
      <c r="C714" s="7">
        <v>600004165736</v>
      </c>
      <c r="D714" s="5">
        <v>1</v>
      </c>
      <c r="E714" t="s">
        <v>517</v>
      </c>
      <c r="F714" t="s">
        <v>561</v>
      </c>
      <c r="G714" t="s">
        <v>666</v>
      </c>
      <c r="H714" t="s">
        <v>745</v>
      </c>
      <c r="I714" t="s">
        <v>787</v>
      </c>
      <c r="J714" s="27" t="s">
        <v>525</v>
      </c>
      <c r="K714" s="5" t="s">
        <v>15</v>
      </c>
      <c r="L714" s="1" t="s">
        <v>137</v>
      </c>
      <c r="M714" s="1" t="s">
        <v>65</v>
      </c>
      <c r="N714" s="1" t="s">
        <v>53</v>
      </c>
      <c r="O714" s="1" t="s">
        <v>19</v>
      </c>
      <c r="P714" s="9">
        <v>45173</v>
      </c>
      <c r="Q714" s="1" t="s">
        <v>476</v>
      </c>
      <c r="R714" s="1" t="s">
        <v>63</v>
      </c>
      <c r="S714" s="1">
        <v>2</v>
      </c>
      <c r="T714" s="12">
        <v>0.58333333333333337</v>
      </c>
      <c r="U714" s="12">
        <v>0.625</v>
      </c>
      <c r="V714" s="1">
        <v>1</v>
      </c>
      <c r="W714" s="1">
        <v>1</v>
      </c>
      <c r="X714" s="1">
        <f t="shared" si="41"/>
        <v>2</v>
      </c>
      <c r="Y714" s="5" t="str">
        <f t="shared" si="38"/>
        <v>C</v>
      </c>
    </row>
    <row r="715" spans="2:25" x14ac:dyDescent="0.25">
      <c r="B715" s="11">
        <v>45181</v>
      </c>
      <c r="C715" s="7">
        <v>600004167325</v>
      </c>
      <c r="D715" s="5">
        <v>1</v>
      </c>
      <c r="E715" t="s">
        <v>875</v>
      </c>
      <c r="F715" t="s">
        <v>581</v>
      </c>
      <c r="G715" t="s">
        <v>687</v>
      </c>
      <c r="H715" t="s">
        <v>745</v>
      </c>
      <c r="I715" t="s">
        <v>808</v>
      </c>
      <c r="J715" s="27" t="s">
        <v>525</v>
      </c>
      <c r="K715" s="5" t="s">
        <v>15</v>
      </c>
      <c r="L715" s="1" t="s">
        <v>48</v>
      </c>
      <c r="M715" s="1" t="s">
        <v>67</v>
      </c>
      <c r="N715" s="1" t="s">
        <v>120</v>
      </c>
      <c r="O715" s="1" t="s">
        <v>19</v>
      </c>
      <c r="P715" s="9">
        <v>45181</v>
      </c>
      <c r="Q715" s="1" t="s">
        <v>479</v>
      </c>
      <c r="R715" s="1" t="s">
        <v>63</v>
      </c>
      <c r="S715" s="1">
        <v>2</v>
      </c>
      <c r="T715" s="12">
        <v>0.52083333333333337</v>
      </c>
      <c r="U715" s="12">
        <v>0.5625</v>
      </c>
      <c r="V715" s="1">
        <v>1</v>
      </c>
      <c r="W715" s="1">
        <v>1</v>
      </c>
      <c r="X715" s="1">
        <f t="shared" si="41"/>
        <v>2</v>
      </c>
      <c r="Y715" s="5" t="str">
        <f t="shared" si="38"/>
        <v>C</v>
      </c>
    </row>
    <row r="716" spans="2:25" x14ac:dyDescent="0.25">
      <c r="B716" s="11">
        <v>45189</v>
      </c>
      <c r="C716" s="7">
        <v>600004168789</v>
      </c>
      <c r="D716" s="4">
        <v>1</v>
      </c>
      <c r="E716" t="s">
        <v>499</v>
      </c>
      <c r="F716" t="s">
        <v>543</v>
      </c>
      <c r="G716" t="s">
        <v>648</v>
      </c>
      <c r="H716" t="s">
        <v>745</v>
      </c>
      <c r="I716" t="s">
        <v>769</v>
      </c>
      <c r="J716" s="28" t="s">
        <v>525</v>
      </c>
      <c r="K716" s="4" t="s">
        <v>15</v>
      </c>
      <c r="L716" s="1" t="s">
        <v>137</v>
      </c>
      <c r="M716" s="1" t="s">
        <v>65</v>
      </c>
      <c r="N716" s="1" t="s">
        <v>67</v>
      </c>
      <c r="O716" s="1" t="s">
        <v>19</v>
      </c>
      <c r="P716" s="9">
        <v>45189</v>
      </c>
      <c r="Q716" s="1" t="s">
        <v>479</v>
      </c>
      <c r="R716" s="1" t="s">
        <v>63</v>
      </c>
      <c r="S716" s="1">
        <v>2</v>
      </c>
      <c r="T716" s="12">
        <v>0.3125</v>
      </c>
      <c r="U716" s="12">
        <v>0.35416666666666669</v>
      </c>
      <c r="V716" s="1">
        <v>1</v>
      </c>
      <c r="W716" s="1">
        <v>1</v>
      </c>
      <c r="X716" s="1">
        <f t="shared" si="41"/>
        <v>2</v>
      </c>
      <c r="Y716" s="5" t="str">
        <f t="shared" si="38"/>
        <v>C</v>
      </c>
    </row>
    <row r="717" spans="2:25" x14ac:dyDescent="0.25">
      <c r="B717" s="11">
        <v>45188</v>
      </c>
      <c r="C717" s="7">
        <v>600004168657</v>
      </c>
      <c r="D717" s="5">
        <v>1</v>
      </c>
      <c r="E717" t="s">
        <v>918</v>
      </c>
      <c r="F717" t="s">
        <v>622</v>
      </c>
      <c r="G717" t="s">
        <v>730</v>
      </c>
      <c r="H717" t="s">
        <v>745</v>
      </c>
      <c r="I717" t="s">
        <v>851</v>
      </c>
      <c r="J717" s="26" t="s">
        <v>525</v>
      </c>
      <c r="K717" s="5" t="s">
        <v>15</v>
      </c>
      <c r="L717" s="1" t="s">
        <v>382</v>
      </c>
      <c r="M717" s="1" t="s">
        <v>112</v>
      </c>
      <c r="N717" s="1" t="s">
        <v>67</v>
      </c>
      <c r="O717" s="1" t="s">
        <v>19</v>
      </c>
      <c r="P717" s="9">
        <v>45188</v>
      </c>
      <c r="Q717" s="1" t="s">
        <v>479</v>
      </c>
      <c r="R717" s="1" t="s">
        <v>63</v>
      </c>
      <c r="S717" s="1">
        <v>2</v>
      </c>
      <c r="T717" s="12">
        <v>0.4375</v>
      </c>
      <c r="U717" s="12">
        <v>0.47916666666666669</v>
      </c>
      <c r="V717" s="1">
        <v>1</v>
      </c>
      <c r="W717" s="1">
        <v>1</v>
      </c>
      <c r="X717" s="1">
        <f t="shared" si="41"/>
        <v>2</v>
      </c>
      <c r="Y717" s="5" t="str">
        <f t="shared" si="38"/>
        <v>C</v>
      </c>
    </row>
    <row r="718" spans="2:25" x14ac:dyDescent="0.25">
      <c r="B718" s="11">
        <v>45187</v>
      </c>
      <c r="C718" s="7">
        <v>600004168539</v>
      </c>
      <c r="D718" s="5">
        <v>1</v>
      </c>
      <c r="E718" t="s">
        <v>875</v>
      </c>
      <c r="F718" t="s">
        <v>581</v>
      </c>
      <c r="G718" t="s">
        <v>687</v>
      </c>
      <c r="H718" t="s">
        <v>745</v>
      </c>
      <c r="I718" t="s">
        <v>808</v>
      </c>
      <c r="J718" s="27" t="s">
        <v>525</v>
      </c>
      <c r="K718" s="5" t="s">
        <v>15</v>
      </c>
      <c r="L718" s="1" t="s">
        <v>382</v>
      </c>
      <c r="M718" s="1" t="s">
        <v>112</v>
      </c>
      <c r="N718" s="1" t="s">
        <v>73</v>
      </c>
      <c r="O718" s="1" t="s">
        <v>176</v>
      </c>
      <c r="P718" s="9">
        <v>45188</v>
      </c>
      <c r="Q718" s="1" t="s">
        <v>479</v>
      </c>
      <c r="R718" s="1" t="s">
        <v>63</v>
      </c>
      <c r="S718" s="1">
        <v>2</v>
      </c>
      <c r="T718" s="12">
        <v>0.52083333333333337</v>
      </c>
      <c r="U718" s="12">
        <v>0.5625</v>
      </c>
      <c r="V718" s="1">
        <v>1</v>
      </c>
      <c r="W718" s="1">
        <v>1</v>
      </c>
      <c r="X718" s="1">
        <f t="shared" si="41"/>
        <v>2</v>
      </c>
      <c r="Y718" s="5" t="str">
        <f t="shared" si="38"/>
        <v>C</v>
      </c>
    </row>
    <row r="719" spans="2:25" x14ac:dyDescent="0.25">
      <c r="B719" s="11">
        <v>45188</v>
      </c>
      <c r="C719" s="7">
        <v>600004168644</v>
      </c>
      <c r="D719" s="4">
        <v>1</v>
      </c>
      <c r="E719" t="s">
        <v>499</v>
      </c>
      <c r="F719" t="s">
        <v>543</v>
      </c>
      <c r="G719" t="s">
        <v>648</v>
      </c>
      <c r="H719" t="s">
        <v>745</v>
      </c>
      <c r="I719" t="s">
        <v>769</v>
      </c>
      <c r="J719" s="28" t="s">
        <v>525</v>
      </c>
      <c r="K719" s="4" t="s">
        <v>15</v>
      </c>
      <c r="L719" s="1" t="s">
        <v>137</v>
      </c>
      <c r="M719" s="1" t="s">
        <v>52</v>
      </c>
      <c r="N719" s="1" t="s">
        <v>53</v>
      </c>
      <c r="O719" s="1" t="s">
        <v>19</v>
      </c>
      <c r="P719" s="9">
        <v>45188</v>
      </c>
      <c r="Q719" s="1" t="s">
        <v>479</v>
      </c>
      <c r="R719" s="1" t="s">
        <v>63</v>
      </c>
      <c r="S719" s="1">
        <v>2</v>
      </c>
      <c r="T719" s="12">
        <v>0.375</v>
      </c>
      <c r="U719" s="12">
        <v>0.4375</v>
      </c>
      <c r="V719" s="1">
        <v>1.5</v>
      </c>
      <c r="W719" s="1">
        <v>1.5</v>
      </c>
      <c r="X719" s="1">
        <f t="shared" si="41"/>
        <v>3</v>
      </c>
      <c r="Y719" s="5" t="str">
        <f t="shared" si="38"/>
        <v>C</v>
      </c>
    </row>
    <row r="720" spans="2:25" x14ac:dyDescent="0.25">
      <c r="B720" s="11">
        <v>45202</v>
      </c>
      <c r="C720" s="7">
        <v>600004172006</v>
      </c>
      <c r="D720" s="5">
        <v>1</v>
      </c>
      <c r="E720" t="s">
        <v>894</v>
      </c>
      <c r="F720" t="s">
        <v>599</v>
      </c>
      <c r="G720" t="s">
        <v>706</v>
      </c>
      <c r="H720" t="s">
        <v>741</v>
      </c>
      <c r="I720" t="s">
        <v>827</v>
      </c>
      <c r="J720" s="27" t="s">
        <v>524</v>
      </c>
      <c r="K720" s="5" t="s">
        <v>90</v>
      </c>
      <c r="L720" s="1" t="s">
        <v>57</v>
      </c>
      <c r="M720" s="1" t="s">
        <v>163</v>
      </c>
      <c r="N720" s="1" t="s">
        <v>67</v>
      </c>
      <c r="O720" s="1" t="s">
        <v>176</v>
      </c>
      <c r="P720" s="9">
        <v>45203</v>
      </c>
      <c r="Q720" s="1" t="s">
        <v>474</v>
      </c>
      <c r="R720" s="1" t="s">
        <v>63</v>
      </c>
      <c r="S720" s="1">
        <v>2</v>
      </c>
      <c r="T720" s="12">
        <v>0.52083333333333337</v>
      </c>
      <c r="U720" s="12">
        <v>0.60416666666666663</v>
      </c>
      <c r="V720" s="1">
        <v>2</v>
      </c>
      <c r="W720" s="1">
        <v>2</v>
      </c>
      <c r="X720" s="1">
        <f t="shared" ref="X720:X733" si="42">PRODUCT(S720,V720)</f>
        <v>4</v>
      </c>
      <c r="Y720" s="5" t="str">
        <f t="shared" si="38"/>
        <v>C</v>
      </c>
    </row>
    <row r="721" spans="2:25" x14ac:dyDescent="0.25">
      <c r="B721" s="11">
        <v>45219</v>
      </c>
      <c r="C721" s="7">
        <v>600004175736</v>
      </c>
      <c r="D721" s="5">
        <v>1</v>
      </c>
      <c r="E721" t="s">
        <v>864</v>
      </c>
      <c r="F721" t="s">
        <v>571</v>
      </c>
      <c r="G721" t="s">
        <v>676</v>
      </c>
      <c r="H721" t="s">
        <v>745</v>
      </c>
      <c r="I721" t="s">
        <v>797</v>
      </c>
      <c r="J721" s="27" t="s">
        <v>525</v>
      </c>
      <c r="K721" s="5" t="s">
        <v>15</v>
      </c>
      <c r="L721" s="1" t="s">
        <v>71</v>
      </c>
      <c r="M721" s="1" t="s">
        <v>60</v>
      </c>
      <c r="N721" s="1" t="s">
        <v>84</v>
      </c>
      <c r="O721" s="1" t="s">
        <v>176</v>
      </c>
      <c r="P721" s="9">
        <v>45219</v>
      </c>
      <c r="Q721" s="1" t="s">
        <v>479</v>
      </c>
      <c r="R721" s="1" t="s">
        <v>63</v>
      </c>
      <c r="S721" s="1">
        <v>1</v>
      </c>
      <c r="T721" s="12">
        <v>0.375</v>
      </c>
      <c r="U721" s="12">
        <v>0.41666666666666669</v>
      </c>
      <c r="V721" s="1">
        <v>1</v>
      </c>
      <c r="W721" s="1">
        <v>1</v>
      </c>
      <c r="X721" s="1">
        <f t="shared" si="42"/>
        <v>1</v>
      </c>
      <c r="Y721" s="5" t="str">
        <f t="shared" si="38"/>
        <v>C</v>
      </c>
    </row>
    <row r="722" spans="2:25" x14ac:dyDescent="0.25">
      <c r="B722" s="11">
        <v>45219</v>
      </c>
      <c r="C722" s="7">
        <v>600004175704</v>
      </c>
      <c r="D722" s="5">
        <v>1</v>
      </c>
      <c r="E722" t="s">
        <v>497</v>
      </c>
      <c r="F722" t="s">
        <v>541</v>
      </c>
      <c r="G722" t="s">
        <v>646</v>
      </c>
      <c r="H722" t="s">
        <v>746</v>
      </c>
      <c r="I722" t="s">
        <v>767</v>
      </c>
      <c r="J722" s="27" t="s">
        <v>525</v>
      </c>
      <c r="K722" s="5" t="s">
        <v>76</v>
      </c>
      <c r="L722" s="1" t="s">
        <v>57</v>
      </c>
      <c r="M722" s="1" t="s">
        <v>76</v>
      </c>
      <c r="N722" s="1" t="s">
        <v>135</v>
      </c>
      <c r="O722" s="1" t="s">
        <v>19</v>
      </c>
      <c r="P722" s="9">
        <v>45219</v>
      </c>
      <c r="Q722" s="1" t="s">
        <v>479</v>
      </c>
      <c r="R722" s="1" t="s">
        <v>63</v>
      </c>
      <c r="S722" s="1">
        <v>2</v>
      </c>
      <c r="T722" s="12">
        <v>0.29166666666666669</v>
      </c>
      <c r="U722" s="12">
        <v>0.375</v>
      </c>
      <c r="V722" s="1">
        <v>2</v>
      </c>
      <c r="W722" s="1">
        <v>2</v>
      </c>
      <c r="X722" s="1">
        <f t="shared" si="42"/>
        <v>4</v>
      </c>
      <c r="Y722" s="5" t="str">
        <f t="shared" si="38"/>
        <v>C</v>
      </c>
    </row>
    <row r="723" spans="2:25" x14ac:dyDescent="0.25">
      <c r="B723" s="11">
        <v>45201</v>
      </c>
      <c r="C723" s="7">
        <v>600004171713</v>
      </c>
      <c r="D723" s="5">
        <v>1</v>
      </c>
      <c r="E723" t="s">
        <v>865</v>
      </c>
      <c r="F723" t="s">
        <v>572</v>
      </c>
      <c r="G723" t="s">
        <v>677</v>
      </c>
      <c r="H723" t="s">
        <v>745</v>
      </c>
      <c r="I723" t="s">
        <v>798</v>
      </c>
      <c r="J723" s="27" t="s">
        <v>525</v>
      </c>
      <c r="K723" s="5" t="s">
        <v>168</v>
      </c>
      <c r="L723" s="1" t="s">
        <v>71</v>
      </c>
      <c r="M723" s="1" t="s">
        <v>404</v>
      </c>
      <c r="N723" s="1" t="s">
        <v>405</v>
      </c>
      <c r="O723" s="1" t="s">
        <v>19</v>
      </c>
      <c r="P723" s="9">
        <v>45201</v>
      </c>
      <c r="Q723" s="1" t="s">
        <v>477</v>
      </c>
      <c r="R723" s="1" t="s">
        <v>63</v>
      </c>
      <c r="S723" s="1">
        <v>3</v>
      </c>
      <c r="T723" s="12">
        <v>0.33333333333333331</v>
      </c>
      <c r="U723" s="12">
        <v>0.52083333333333337</v>
      </c>
      <c r="V723" s="1">
        <v>4.5</v>
      </c>
      <c r="W723" s="1">
        <v>4.5</v>
      </c>
      <c r="X723" s="1">
        <f t="shared" si="42"/>
        <v>13.5</v>
      </c>
      <c r="Y723" s="5" t="str">
        <f t="shared" si="38"/>
        <v>B</v>
      </c>
    </row>
    <row r="724" spans="2:25" x14ac:dyDescent="0.25">
      <c r="B724" s="11">
        <v>45201</v>
      </c>
      <c r="C724" s="7">
        <v>600004171759</v>
      </c>
      <c r="D724" s="5">
        <v>1</v>
      </c>
      <c r="E724" t="s">
        <v>875</v>
      </c>
      <c r="F724" t="s">
        <v>581</v>
      </c>
      <c r="G724" t="s">
        <v>687</v>
      </c>
      <c r="H724" t="s">
        <v>745</v>
      </c>
      <c r="I724" t="s">
        <v>808</v>
      </c>
      <c r="J724" s="27" t="s">
        <v>525</v>
      </c>
      <c r="K724" s="5" t="s">
        <v>15</v>
      </c>
      <c r="L724" s="1" t="s">
        <v>16</v>
      </c>
      <c r="M724" s="1" t="s">
        <v>57</v>
      </c>
      <c r="N724" s="1" t="s">
        <v>67</v>
      </c>
      <c r="O724" s="1" t="s">
        <v>19</v>
      </c>
      <c r="P724" s="9">
        <v>45201</v>
      </c>
      <c r="Q724" s="1" t="s">
        <v>477</v>
      </c>
      <c r="R724" s="1" t="s">
        <v>63</v>
      </c>
      <c r="S724" s="1">
        <v>2</v>
      </c>
      <c r="T724" s="12">
        <v>0.54166666666666663</v>
      </c>
      <c r="U724" s="12">
        <v>0.625</v>
      </c>
      <c r="V724" s="1">
        <v>2</v>
      </c>
      <c r="W724" s="1">
        <v>2</v>
      </c>
      <c r="X724" s="1">
        <f t="shared" si="42"/>
        <v>4</v>
      </c>
      <c r="Y724" s="5" t="str">
        <f t="shared" si="38"/>
        <v>C</v>
      </c>
    </row>
    <row r="725" spans="2:25" x14ac:dyDescent="0.25">
      <c r="B725" s="11">
        <v>45202</v>
      </c>
      <c r="C725" s="7">
        <v>600004172005</v>
      </c>
      <c r="D725" s="5">
        <v>1</v>
      </c>
      <c r="E725" t="s">
        <v>916</v>
      </c>
      <c r="F725" t="s">
        <v>621</v>
      </c>
      <c r="G725" t="s">
        <v>728</v>
      </c>
      <c r="H725" t="s">
        <v>745</v>
      </c>
      <c r="I725" t="s">
        <v>849</v>
      </c>
      <c r="J725" s="26" t="s">
        <v>525</v>
      </c>
      <c r="K725" s="5" t="s">
        <v>15</v>
      </c>
      <c r="L725" s="1" t="s">
        <v>15</v>
      </c>
      <c r="M725" s="1" t="s">
        <v>57</v>
      </c>
      <c r="N725" s="1" t="s">
        <v>62</v>
      </c>
      <c r="O725" s="1" t="s">
        <v>19</v>
      </c>
      <c r="P725" s="9">
        <v>45203</v>
      </c>
      <c r="Q725" s="1" t="s">
        <v>479</v>
      </c>
      <c r="R725" s="1" t="s">
        <v>63</v>
      </c>
      <c r="S725" s="1">
        <v>2</v>
      </c>
      <c r="T725" s="12">
        <v>0.29166666666666669</v>
      </c>
      <c r="U725" s="12">
        <v>0.33333333333333331</v>
      </c>
      <c r="V725" s="1">
        <v>1</v>
      </c>
      <c r="W725" s="1">
        <v>1</v>
      </c>
      <c r="X725" s="1">
        <f t="shared" si="42"/>
        <v>2</v>
      </c>
      <c r="Y725" s="5" t="str">
        <f t="shared" si="38"/>
        <v>C</v>
      </c>
    </row>
    <row r="726" spans="2:25" x14ac:dyDescent="0.25">
      <c r="B726" s="11">
        <v>45209</v>
      </c>
      <c r="C726" s="7">
        <v>600004173313</v>
      </c>
      <c r="D726" s="5">
        <v>1</v>
      </c>
      <c r="E726" t="s">
        <v>900</v>
      </c>
      <c r="F726" t="s">
        <v>605</v>
      </c>
      <c r="G726" t="s">
        <v>712</v>
      </c>
      <c r="H726" t="s">
        <v>745</v>
      </c>
      <c r="I726" t="s">
        <v>833</v>
      </c>
      <c r="J726" s="27" t="s">
        <v>525</v>
      </c>
      <c r="K726" s="5" t="s">
        <v>88</v>
      </c>
      <c r="L726" s="1" t="s">
        <v>36</v>
      </c>
      <c r="M726" s="1" t="s">
        <v>129</v>
      </c>
      <c r="N726" s="1" t="s">
        <v>396</v>
      </c>
      <c r="O726" s="1" t="s">
        <v>19</v>
      </c>
      <c r="P726" s="9">
        <v>45209</v>
      </c>
      <c r="Q726" s="1" t="s">
        <v>477</v>
      </c>
      <c r="R726" s="1" t="s">
        <v>63</v>
      </c>
      <c r="S726" s="1">
        <v>2</v>
      </c>
      <c r="T726" s="12">
        <v>0.5</v>
      </c>
      <c r="U726" s="12">
        <v>0.58333333333333337</v>
      </c>
      <c r="V726" s="1">
        <v>2</v>
      </c>
      <c r="W726" s="1">
        <v>2</v>
      </c>
      <c r="X726" s="1">
        <f t="shared" si="42"/>
        <v>4</v>
      </c>
      <c r="Y726" s="5" t="str">
        <f t="shared" si="38"/>
        <v>C</v>
      </c>
    </row>
    <row r="727" spans="2:25" x14ac:dyDescent="0.25">
      <c r="B727" s="11">
        <v>45209</v>
      </c>
      <c r="C727" s="7">
        <v>600004173199</v>
      </c>
      <c r="D727" s="5">
        <v>1</v>
      </c>
      <c r="E727" t="s">
        <v>500</v>
      </c>
      <c r="F727" t="s">
        <v>544</v>
      </c>
      <c r="G727" t="s">
        <v>649</v>
      </c>
      <c r="H727" t="s">
        <v>745</v>
      </c>
      <c r="I727" t="s">
        <v>770</v>
      </c>
      <c r="J727" s="27" t="s">
        <v>525</v>
      </c>
      <c r="K727" s="5" t="s">
        <v>15</v>
      </c>
      <c r="L727" s="1" t="s">
        <v>137</v>
      </c>
      <c r="M727" s="1" t="s">
        <v>378</v>
      </c>
      <c r="N727" s="1" t="s">
        <v>307</v>
      </c>
      <c r="O727" s="1" t="s">
        <v>19</v>
      </c>
      <c r="P727" s="9">
        <v>45209</v>
      </c>
      <c r="Q727" s="1" t="s">
        <v>477</v>
      </c>
      <c r="R727" s="1" t="s">
        <v>63</v>
      </c>
      <c r="S727" s="1">
        <v>2</v>
      </c>
      <c r="T727" s="12">
        <v>0.375</v>
      </c>
      <c r="U727" s="12">
        <v>0.45833333333333331</v>
      </c>
      <c r="V727" s="1">
        <v>2</v>
      </c>
      <c r="W727" s="1">
        <v>2</v>
      </c>
      <c r="X727" s="1">
        <f t="shared" si="42"/>
        <v>4</v>
      </c>
      <c r="Y727" s="5" t="str">
        <f t="shared" si="38"/>
        <v>C</v>
      </c>
    </row>
    <row r="728" spans="2:25" x14ac:dyDescent="0.25">
      <c r="B728" s="11">
        <v>45210</v>
      </c>
      <c r="C728" s="7">
        <v>600004173538</v>
      </c>
      <c r="D728" s="5">
        <v>1</v>
      </c>
      <c r="E728" t="s">
        <v>489</v>
      </c>
      <c r="F728" t="s">
        <v>533</v>
      </c>
      <c r="G728" t="s">
        <v>638</v>
      </c>
      <c r="H728" t="s">
        <v>745</v>
      </c>
      <c r="I728" t="s">
        <v>759</v>
      </c>
      <c r="J728" s="27" t="s">
        <v>525</v>
      </c>
      <c r="K728" s="5" t="s">
        <v>15</v>
      </c>
      <c r="L728" s="1" t="s">
        <v>137</v>
      </c>
      <c r="M728" s="1" t="s">
        <v>165</v>
      </c>
      <c r="N728" s="1" t="s">
        <v>138</v>
      </c>
      <c r="O728" s="1" t="s">
        <v>19</v>
      </c>
      <c r="P728" s="9">
        <v>45210</v>
      </c>
      <c r="Q728" s="1" t="s">
        <v>479</v>
      </c>
      <c r="R728" s="1" t="s">
        <v>63</v>
      </c>
      <c r="S728" s="1">
        <v>1</v>
      </c>
      <c r="T728" s="12">
        <v>0.29166666666666669</v>
      </c>
      <c r="U728" s="12">
        <v>0.33333333333333331</v>
      </c>
      <c r="V728" s="1">
        <v>1</v>
      </c>
      <c r="W728" s="1">
        <v>1</v>
      </c>
      <c r="X728" s="1">
        <f t="shared" si="42"/>
        <v>1</v>
      </c>
      <c r="Y728" s="5" t="str">
        <f t="shared" si="38"/>
        <v>C</v>
      </c>
    </row>
    <row r="729" spans="2:25" x14ac:dyDescent="0.25">
      <c r="B729" s="11">
        <v>45209</v>
      </c>
      <c r="C729" s="7">
        <v>600004173177</v>
      </c>
      <c r="D729" s="5">
        <v>1</v>
      </c>
      <c r="E729" t="s">
        <v>515</v>
      </c>
      <c r="F729" t="s">
        <v>559</v>
      </c>
      <c r="G729" t="s">
        <v>664</v>
      </c>
      <c r="H729" t="s">
        <v>745</v>
      </c>
      <c r="I729" t="s">
        <v>785</v>
      </c>
      <c r="J729" s="27" t="s">
        <v>525</v>
      </c>
      <c r="K729" s="5" t="s">
        <v>122</v>
      </c>
      <c r="L729" s="1" t="s">
        <v>36</v>
      </c>
      <c r="M729" s="1" t="s">
        <v>62</v>
      </c>
      <c r="N729" s="1" t="s">
        <v>184</v>
      </c>
      <c r="O729" s="1" t="s">
        <v>19</v>
      </c>
      <c r="P729" s="9">
        <v>45209</v>
      </c>
      <c r="Q729" s="1" t="s">
        <v>475</v>
      </c>
      <c r="R729" s="1" t="s">
        <v>50</v>
      </c>
      <c r="S729" s="1">
        <v>1</v>
      </c>
      <c r="T729" s="12">
        <v>0.29166666666666669</v>
      </c>
      <c r="U729" s="12">
        <v>0.35416666666666669</v>
      </c>
      <c r="V729" s="1">
        <v>1.5</v>
      </c>
      <c r="W729" s="1">
        <v>1.5</v>
      </c>
      <c r="X729" s="1">
        <f t="shared" si="42"/>
        <v>1.5</v>
      </c>
      <c r="Y729" s="5" t="str">
        <f t="shared" si="38"/>
        <v>C</v>
      </c>
    </row>
    <row r="730" spans="2:25" x14ac:dyDescent="0.25">
      <c r="B730" s="11">
        <v>45208</v>
      </c>
      <c r="C730" s="7">
        <v>600004172861</v>
      </c>
      <c r="D730" s="5">
        <v>1</v>
      </c>
      <c r="E730" t="s">
        <v>918</v>
      </c>
      <c r="F730" t="s">
        <v>622</v>
      </c>
      <c r="G730" t="s">
        <v>730</v>
      </c>
      <c r="H730" t="s">
        <v>745</v>
      </c>
      <c r="I730" t="s">
        <v>851</v>
      </c>
      <c r="J730" s="26" t="s">
        <v>525</v>
      </c>
      <c r="K730" s="5" t="s">
        <v>15</v>
      </c>
      <c r="L730" s="1" t="s">
        <v>71</v>
      </c>
      <c r="M730" s="1" t="s">
        <v>55</v>
      </c>
      <c r="N730" s="1" t="s">
        <v>56</v>
      </c>
      <c r="O730" s="1" t="s">
        <v>19</v>
      </c>
      <c r="P730" s="9">
        <v>45208</v>
      </c>
      <c r="Q730" s="1" t="s">
        <v>477</v>
      </c>
      <c r="R730" s="1" t="s">
        <v>63</v>
      </c>
      <c r="S730" s="1">
        <v>2</v>
      </c>
      <c r="T730" s="12">
        <v>0.29166666666666669</v>
      </c>
      <c r="U730" s="12">
        <v>0.41666666666666669</v>
      </c>
      <c r="V730" s="1">
        <v>3</v>
      </c>
      <c r="W730" s="1">
        <v>3</v>
      </c>
      <c r="X730" s="1">
        <f t="shared" si="42"/>
        <v>6</v>
      </c>
      <c r="Y730" s="5" t="str">
        <f t="shared" si="38"/>
        <v>B</v>
      </c>
    </row>
    <row r="731" spans="2:25" x14ac:dyDescent="0.25">
      <c r="B731" s="11">
        <v>45216</v>
      </c>
      <c r="C731" s="7">
        <v>600004175046</v>
      </c>
      <c r="D731" s="5">
        <v>1</v>
      </c>
      <c r="E731" t="s">
        <v>911</v>
      </c>
      <c r="F731" t="s">
        <v>616</v>
      </c>
      <c r="G731" t="s">
        <v>723</v>
      </c>
      <c r="H731" t="s">
        <v>746</v>
      </c>
      <c r="I731" t="s">
        <v>844</v>
      </c>
      <c r="J731" s="26" t="s">
        <v>525</v>
      </c>
      <c r="K731" s="5" t="s">
        <v>372</v>
      </c>
      <c r="L731" s="1" t="s">
        <v>36</v>
      </c>
      <c r="M731" s="1" t="s">
        <v>57</v>
      </c>
      <c r="N731" s="1" t="s">
        <v>209</v>
      </c>
      <c r="O731" s="1" t="s">
        <v>19</v>
      </c>
      <c r="P731" s="9">
        <v>45216</v>
      </c>
      <c r="Q731" s="1" t="s">
        <v>477</v>
      </c>
      <c r="R731" s="1" t="s">
        <v>63</v>
      </c>
      <c r="S731" s="1">
        <v>3</v>
      </c>
      <c r="T731" s="12">
        <v>0.33333333333333331</v>
      </c>
      <c r="U731" s="12">
        <v>0.60416666666666663</v>
      </c>
      <c r="V731" s="1">
        <v>6.5</v>
      </c>
      <c r="W731" s="1">
        <v>6.5</v>
      </c>
      <c r="X731" s="1">
        <f t="shared" si="42"/>
        <v>19.5</v>
      </c>
      <c r="Y731" s="5" t="str">
        <f t="shared" si="38"/>
        <v>B</v>
      </c>
    </row>
    <row r="732" spans="2:25" x14ac:dyDescent="0.25">
      <c r="B732" s="11">
        <v>45203</v>
      </c>
      <c r="C732" s="7">
        <v>600004172126</v>
      </c>
      <c r="D732" s="5">
        <v>1</v>
      </c>
      <c r="E732" t="s">
        <v>493</v>
      </c>
      <c r="F732" t="s">
        <v>537</v>
      </c>
      <c r="G732" t="s">
        <v>642</v>
      </c>
      <c r="H732" t="s">
        <v>745</v>
      </c>
      <c r="I732" t="s">
        <v>763</v>
      </c>
      <c r="J732" s="27" t="s">
        <v>525</v>
      </c>
      <c r="K732" s="5" t="s">
        <v>15</v>
      </c>
      <c r="L732" s="1" t="s">
        <v>79</v>
      </c>
      <c r="M732" s="1" t="s">
        <v>62</v>
      </c>
      <c r="N732" s="1" t="s">
        <v>238</v>
      </c>
      <c r="O732" s="1" t="s">
        <v>19</v>
      </c>
      <c r="P732" s="9">
        <v>45203</v>
      </c>
      <c r="Q732" s="1" t="s">
        <v>475</v>
      </c>
      <c r="R732" s="1" t="s">
        <v>50</v>
      </c>
      <c r="S732" s="1">
        <v>1</v>
      </c>
      <c r="T732" s="12">
        <v>0.33333333333333331</v>
      </c>
      <c r="U732" s="12">
        <v>0.41666666666666669</v>
      </c>
      <c r="V732" s="1">
        <v>2</v>
      </c>
      <c r="W732" s="1">
        <v>2</v>
      </c>
      <c r="X732" s="1">
        <f t="shared" si="42"/>
        <v>2</v>
      </c>
      <c r="Y732" s="5" t="str">
        <f t="shared" si="38"/>
        <v>C</v>
      </c>
    </row>
    <row r="733" spans="2:25" x14ac:dyDescent="0.25">
      <c r="B733" s="11">
        <v>45210</v>
      </c>
      <c r="C733" s="7">
        <v>600004173579</v>
      </c>
      <c r="D733" s="5">
        <v>1</v>
      </c>
      <c r="E733" t="s">
        <v>512</v>
      </c>
      <c r="F733" t="s">
        <v>556</v>
      </c>
      <c r="G733" t="s">
        <v>661</v>
      </c>
      <c r="H733" t="s">
        <v>745</v>
      </c>
      <c r="I733" t="s">
        <v>782</v>
      </c>
      <c r="J733" s="26" t="s">
        <v>525</v>
      </c>
      <c r="K733" s="5" t="s">
        <v>88</v>
      </c>
      <c r="L733" s="1" t="s">
        <v>36</v>
      </c>
      <c r="M733" s="1" t="s">
        <v>57</v>
      </c>
      <c r="N733" s="1" t="s">
        <v>129</v>
      </c>
      <c r="O733" s="1" t="s">
        <v>19</v>
      </c>
      <c r="P733" s="9">
        <v>45210</v>
      </c>
      <c r="Q733" s="1" t="s">
        <v>479</v>
      </c>
      <c r="R733" s="1" t="s">
        <v>63</v>
      </c>
      <c r="S733" s="1">
        <v>1</v>
      </c>
      <c r="T733" s="12">
        <v>0.41666666666666669</v>
      </c>
      <c r="U733" s="12">
        <v>0.45833333333333331</v>
      </c>
      <c r="V733" s="1">
        <v>1</v>
      </c>
      <c r="W733" s="1">
        <v>1</v>
      </c>
      <c r="X733" s="1">
        <f t="shared" si="42"/>
        <v>1</v>
      </c>
      <c r="Y733" s="5" t="str">
        <f t="shared" si="38"/>
        <v>C</v>
      </c>
    </row>
    <row r="734" spans="2:25" x14ac:dyDescent="0.25">
      <c r="B734" s="11">
        <v>45217</v>
      </c>
      <c r="C734" s="7">
        <v>600004175188</v>
      </c>
      <c r="D734" s="5">
        <v>1</v>
      </c>
      <c r="E734" t="s">
        <v>504</v>
      </c>
      <c r="F734" t="s">
        <v>548</v>
      </c>
      <c r="G734" t="s">
        <v>653</v>
      </c>
      <c r="H734" t="s">
        <v>745</v>
      </c>
      <c r="I734" t="s">
        <v>774</v>
      </c>
      <c r="J734" s="27" t="s">
        <v>525</v>
      </c>
      <c r="K734" s="5" t="s">
        <v>15</v>
      </c>
      <c r="L734" s="1" t="s">
        <v>71</v>
      </c>
      <c r="M734" s="1" t="s">
        <v>55</v>
      </c>
      <c r="N734" s="1" t="s">
        <v>235</v>
      </c>
      <c r="O734" s="1" t="s">
        <v>19</v>
      </c>
      <c r="P734" s="9">
        <v>45217</v>
      </c>
      <c r="Q734" s="1" t="s">
        <v>476</v>
      </c>
      <c r="R734" s="1" t="s">
        <v>63</v>
      </c>
      <c r="S734" s="1">
        <v>3</v>
      </c>
      <c r="T734" s="12">
        <v>0.29166666666666669</v>
      </c>
      <c r="U734" s="12">
        <v>0.4375</v>
      </c>
      <c r="V734" s="1">
        <v>3.5</v>
      </c>
      <c r="W734" s="1">
        <v>3.5</v>
      </c>
      <c r="X734" s="1">
        <f>Tabla6[[#This Row],[PERSONAS      INVOLUCRADAS]]*Tabla6[[#This Row],[TIEMPO TAREA]]</f>
        <v>10.5</v>
      </c>
      <c r="Y734" s="5" t="str">
        <f t="shared" si="38"/>
        <v>B</v>
      </c>
    </row>
    <row r="735" spans="2:25" x14ac:dyDescent="0.25">
      <c r="B735" s="11">
        <v>45232</v>
      </c>
      <c r="C735" s="7">
        <v>600004178997</v>
      </c>
      <c r="D735" s="5">
        <v>1</v>
      </c>
      <c r="E735" t="s">
        <v>519</v>
      </c>
      <c r="F735" t="s">
        <v>563</v>
      </c>
      <c r="G735" t="s">
        <v>668</v>
      </c>
      <c r="H735" t="s">
        <v>747</v>
      </c>
      <c r="I735" t="s">
        <v>789</v>
      </c>
      <c r="J735" s="26" t="s">
        <v>524</v>
      </c>
      <c r="K735" s="5" t="s">
        <v>82</v>
      </c>
      <c r="L735" s="1" t="s">
        <v>34</v>
      </c>
      <c r="M735" s="1" t="s">
        <v>96</v>
      </c>
      <c r="N735" s="1" t="s">
        <v>232</v>
      </c>
      <c r="O735" s="1" t="s">
        <v>176</v>
      </c>
      <c r="P735" s="9">
        <v>45233</v>
      </c>
      <c r="Q735" s="1" t="s">
        <v>474</v>
      </c>
      <c r="R735" s="1" t="s">
        <v>63</v>
      </c>
      <c r="S735" s="1">
        <v>2</v>
      </c>
      <c r="T735" s="12">
        <v>0.25</v>
      </c>
      <c r="U735" s="12">
        <v>0.66666666666666663</v>
      </c>
      <c r="V735" s="1">
        <v>10</v>
      </c>
      <c r="W735" s="1">
        <v>10</v>
      </c>
      <c r="X735" s="1">
        <f t="shared" ref="X735:X740" si="43">PRODUCT(S735,V735)</f>
        <v>20</v>
      </c>
      <c r="Y735" s="5" t="str">
        <f t="shared" si="38"/>
        <v>A</v>
      </c>
    </row>
    <row r="736" spans="2:25" x14ac:dyDescent="0.25">
      <c r="B736" s="11">
        <v>45233</v>
      </c>
      <c r="C736" s="7">
        <v>600004180722</v>
      </c>
      <c r="D736" s="5">
        <v>1</v>
      </c>
      <c r="E736" t="s">
        <v>501</v>
      </c>
      <c r="F736" t="s">
        <v>545</v>
      </c>
      <c r="G736" t="s">
        <v>650</v>
      </c>
      <c r="H736" t="s">
        <v>740</v>
      </c>
      <c r="I736" t="s">
        <v>771</v>
      </c>
      <c r="J736" s="27" t="s">
        <v>524</v>
      </c>
      <c r="K736" s="5" t="s">
        <v>70</v>
      </c>
      <c r="L736" s="1" t="s">
        <v>148</v>
      </c>
      <c r="M736" s="1" t="s">
        <v>406</v>
      </c>
      <c r="N736" s="1" t="s">
        <v>153</v>
      </c>
      <c r="O736" s="1" t="s">
        <v>19</v>
      </c>
      <c r="P736" s="9">
        <v>45238</v>
      </c>
      <c r="Q736" s="1" t="s">
        <v>473</v>
      </c>
      <c r="R736" s="1" t="s">
        <v>63</v>
      </c>
      <c r="S736" s="1">
        <v>2</v>
      </c>
      <c r="T736" s="12">
        <v>0.41666666666666669</v>
      </c>
      <c r="U736" s="12">
        <v>0.66666666666666663</v>
      </c>
      <c r="V736" s="1">
        <v>6</v>
      </c>
      <c r="W736" s="1">
        <v>6</v>
      </c>
      <c r="X736" s="1">
        <f t="shared" si="43"/>
        <v>12</v>
      </c>
      <c r="Y736" s="5" t="str">
        <f t="shared" si="38"/>
        <v>B</v>
      </c>
    </row>
    <row r="737" spans="2:25" x14ac:dyDescent="0.25">
      <c r="B737" s="11">
        <v>45236</v>
      </c>
      <c r="C737" s="7">
        <v>600004179716</v>
      </c>
      <c r="D737" s="5">
        <v>1</v>
      </c>
      <c r="E737" t="s">
        <v>517</v>
      </c>
      <c r="F737" t="s">
        <v>561</v>
      </c>
      <c r="G737" t="s">
        <v>666</v>
      </c>
      <c r="H737" t="s">
        <v>745</v>
      </c>
      <c r="I737" t="s">
        <v>787</v>
      </c>
      <c r="J737" s="27" t="s">
        <v>525</v>
      </c>
      <c r="K737" s="5" t="s">
        <v>15</v>
      </c>
      <c r="L737" s="1" t="s">
        <v>16</v>
      </c>
      <c r="M737" s="1" t="s">
        <v>112</v>
      </c>
      <c r="N737" s="1" t="s">
        <v>294</v>
      </c>
      <c r="O737" s="1" t="s">
        <v>19</v>
      </c>
      <c r="P737" s="9">
        <v>45236</v>
      </c>
      <c r="Q737" s="1" t="s">
        <v>479</v>
      </c>
      <c r="R737" s="1" t="s">
        <v>63</v>
      </c>
      <c r="S737" s="1">
        <v>2</v>
      </c>
      <c r="T737" s="12">
        <v>0.375</v>
      </c>
      <c r="U737" s="12">
        <v>0.45833333333333331</v>
      </c>
      <c r="V737" s="1">
        <v>2</v>
      </c>
      <c r="W737" s="1">
        <v>2</v>
      </c>
      <c r="X737" s="1">
        <f t="shared" si="43"/>
        <v>4</v>
      </c>
      <c r="Y737" s="5" t="str">
        <f t="shared" si="38"/>
        <v>C</v>
      </c>
    </row>
    <row r="738" spans="2:25" x14ac:dyDescent="0.25">
      <c r="B738" s="11">
        <v>45236</v>
      </c>
      <c r="C738" s="7">
        <v>600004179828</v>
      </c>
      <c r="D738" s="5">
        <v>1</v>
      </c>
      <c r="E738" t="s">
        <v>517</v>
      </c>
      <c r="F738" t="s">
        <v>561</v>
      </c>
      <c r="G738" t="s">
        <v>666</v>
      </c>
      <c r="H738" t="s">
        <v>745</v>
      </c>
      <c r="I738" t="s">
        <v>787</v>
      </c>
      <c r="J738" s="27" t="s">
        <v>525</v>
      </c>
      <c r="K738" s="5" t="s">
        <v>15</v>
      </c>
      <c r="L738" s="1" t="s">
        <v>16</v>
      </c>
      <c r="M738" s="1" t="s">
        <v>137</v>
      </c>
      <c r="N738" s="1" t="s">
        <v>67</v>
      </c>
      <c r="O738" s="1" t="s">
        <v>19</v>
      </c>
      <c r="P738" s="9">
        <v>45236</v>
      </c>
      <c r="Q738" s="1" t="s">
        <v>477</v>
      </c>
      <c r="R738" s="1" t="s">
        <v>63</v>
      </c>
      <c r="S738" s="1">
        <v>3</v>
      </c>
      <c r="T738" s="12">
        <v>0.5625</v>
      </c>
      <c r="U738" s="12">
        <v>0.64583333333333337</v>
      </c>
      <c r="V738" s="1">
        <v>2</v>
      </c>
      <c r="W738" s="1">
        <v>2</v>
      </c>
      <c r="X738" s="1">
        <f t="shared" si="43"/>
        <v>6</v>
      </c>
      <c r="Y738" s="5" t="str">
        <f t="shared" si="38"/>
        <v>C</v>
      </c>
    </row>
    <row r="739" spans="2:25" x14ac:dyDescent="0.25">
      <c r="B739" s="11">
        <v>45239</v>
      </c>
      <c r="C739" s="7">
        <v>600004180976</v>
      </c>
      <c r="D739" s="5">
        <v>1</v>
      </c>
      <c r="E739" t="s">
        <v>889</v>
      </c>
      <c r="F739" t="s">
        <v>594</v>
      </c>
      <c r="G739" t="s">
        <v>701</v>
      </c>
      <c r="H739" t="s">
        <v>747</v>
      </c>
      <c r="I739" t="s">
        <v>822</v>
      </c>
      <c r="J739" s="27" t="s">
        <v>524</v>
      </c>
      <c r="K739" s="5" t="s">
        <v>191</v>
      </c>
      <c r="L739" s="1" t="s">
        <v>79</v>
      </c>
      <c r="M739" s="1" t="s">
        <v>128</v>
      </c>
      <c r="N739" s="1" t="s">
        <v>80</v>
      </c>
      <c r="O739" s="1" t="s">
        <v>19</v>
      </c>
      <c r="P739" s="9">
        <v>45239</v>
      </c>
      <c r="Q739" s="1" t="s">
        <v>474</v>
      </c>
      <c r="R739" s="1" t="s">
        <v>63</v>
      </c>
      <c r="S739" s="1">
        <v>3</v>
      </c>
      <c r="T739" s="12">
        <v>0.27083333333333331</v>
      </c>
      <c r="U739" s="12">
        <v>0.35416666666666669</v>
      </c>
      <c r="V739" s="1">
        <v>2</v>
      </c>
      <c r="W739" s="1">
        <v>2</v>
      </c>
      <c r="X739" s="1">
        <f t="shared" si="43"/>
        <v>6</v>
      </c>
      <c r="Y739" s="5" t="str">
        <f t="shared" si="38"/>
        <v>C</v>
      </c>
    </row>
    <row r="740" spans="2:25" x14ac:dyDescent="0.25">
      <c r="B740" s="11">
        <v>45240</v>
      </c>
      <c r="C740" s="7">
        <v>600004181152</v>
      </c>
      <c r="D740" s="5">
        <v>1</v>
      </c>
      <c r="E740" t="s">
        <v>501</v>
      </c>
      <c r="F740" t="s">
        <v>545</v>
      </c>
      <c r="G740" t="s">
        <v>650</v>
      </c>
      <c r="H740" t="s">
        <v>740</v>
      </c>
      <c r="I740" t="s">
        <v>771</v>
      </c>
      <c r="J740" s="27" t="s">
        <v>524</v>
      </c>
      <c r="K740" s="5" t="s">
        <v>70</v>
      </c>
      <c r="L740" s="1" t="s">
        <v>57</v>
      </c>
      <c r="M740" s="1" t="s">
        <v>67</v>
      </c>
      <c r="N740" s="1" t="s">
        <v>80</v>
      </c>
      <c r="O740" s="1" t="s">
        <v>19</v>
      </c>
      <c r="P740" s="9">
        <v>45240</v>
      </c>
      <c r="Q740" s="1" t="s">
        <v>474</v>
      </c>
      <c r="R740" s="1" t="s">
        <v>63</v>
      </c>
      <c r="S740" s="1">
        <v>2</v>
      </c>
      <c r="T740" s="12">
        <v>0.41666666666666669</v>
      </c>
      <c r="U740" s="12">
        <v>0.47916666666666669</v>
      </c>
      <c r="V740" s="1">
        <v>1.5</v>
      </c>
      <c r="W740" s="1">
        <v>1.5</v>
      </c>
      <c r="X740" s="1">
        <f t="shared" si="43"/>
        <v>3</v>
      </c>
      <c r="Y740" s="5" t="str">
        <f t="shared" si="38"/>
        <v>C</v>
      </c>
    </row>
    <row r="741" spans="2:25" x14ac:dyDescent="0.25">
      <c r="B741" s="11">
        <v>45247</v>
      </c>
      <c r="C741" s="7">
        <v>600004182784</v>
      </c>
      <c r="D741" s="5">
        <v>1</v>
      </c>
      <c r="E741" t="s">
        <v>894</v>
      </c>
      <c r="F741" t="s">
        <v>599</v>
      </c>
      <c r="G741" t="s">
        <v>706</v>
      </c>
      <c r="H741" t="s">
        <v>741</v>
      </c>
      <c r="I741" t="s">
        <v>827</v>
      </c>
      <c r="J741" s="27" t="s">
        <v>524</v>
      </c>
      <c r="K741" s="5" t="s">
        <v>90</v>
      </c>
      <c r="L741" s="1" t="s">
        <v>36</v>
      </c>
      <c r="M741" s="1" t="s">
        <v>96</v>
      </c>
      <c r="N741" s="1" t="s">
        <v>364</v>
      </c>
      <c r="O741" s="1" t="s">
        <v>19</v>
      </c>
      <c r="P741" s="9">
        <v>45247</v>
      </c>
      <c r="Q741" s="1" t="s">
        <v>473</v>
      </c>
      <c r="R741" s="1" t="s">
        <v>63</v>
      </c>
      <c r="S741" s="1">
        <v>2</v>
      </c>
      <c r="T741" s="12">
        <v>0.25</v>
      </c>
      <c r="U741" s="12">
        <v>0.54166666666666663</v>
      </c>
      <c r="V741" s="1">
        <v>7</v>
      </c>
      <c r="W741" s="1">
        <v>7</v>
      </c>
      <c r="X741" s="1">
        <f t="shared" ref="X741:X754" si="44">PRODUCT(S741,V741)</f>
        <v>14</v>
      </c>
      <c r="Y741" s="5" t="str">
        <f t="shared" si="38"/>
        <v>B</v>
      </c>
    </row>
    <row r="742" spans="2:25" x14ac:dyDescent="0.25">
      <c r="B742" s="11">
        <v>45247</v>
      </c>
      <c r="C742" s="7">
        <v>600004182785</v>
      </c>
      <c r="D742" s="5">
        <v>1</v>
      </c>
      <c r="E742" t="s">
        <v>523</v>
      </c>
      <c r="F742" t="s">
        <v>567</v>
      </c>
      <c r="G742" t="s">
        <v>672</v>
      </c>
      <c r="H742" t="s">
        <v>744</v>
      </c>
      <c r="I742" t="s">
        <v>793</v>
      </c>
      <c r="J742" s="27" t="s">
        <v>524</v>
      </c>
      <c r="K742" s="5" t="s">
        <v>123</v>
      </c>
      <c r="L742" s="1" t="s">
        <v>148</v>
      </c>
      <c r="M742" s="1" t="s">
        <v>279</v>
      </c>
      <c r="N742" s="1" t="s">
        <v>324</v>
      </c>
      <c r="O742" s="1" t="s">
        <v>19</v>
      </c>
      <c r="P742" s="9">
        <v>45247</v>
      </c>
      <c r="Q742" s="1" t="s">
        <v>473</v>
      </c>
      <c r="R742" s="1" t="s">
        <v>63</v>
      </c>
      <c r="S742" s="1">
        <v>1</v>
      </c>
      <c r="T742" s="12">
        <v>0.54166666666666663</v>
      </c>
      <c r="U742" s="12">
        <v>0.58333333333333337</v>
      </c>
      <c r="V742" s="1">
        <v>1</v>
      </c>
      <c r="W742" s="1">
        <v>1</v>
      </c>
      <c r="X742" s="1">
        <f t="shared" si="44"/>
        <v>1</v>
      </c>
      <c r="Y742" s="5" t="str">
        <f t="shared" si="38"/>
        <v>C</v>
      </c>
    </row>
    <row r="743" spans="2:25" x14ac:dyDescent="0.25">
      <c r="B743" s="11">
        <v>45233</v>
      </c>
      <c r="C743" s="7">
        <v>600004179197</v>
      </c>
      <c r="D743" s="5">
        <v>1</v>
      </c>
      <c r="E743" t="s">
        <v>904</v>
      </c>
      <c r="F743" t="s">
        <v>609</v>
      </c>
      <c r="G743" t="s">
        <v>716</v>
      </c>
      <c r="H743" t="s">
        <v>745</v>
      </c>
      <c r="I743" t="s">
        <v>837</v>
      </c>
      <c r="J743" s="27" t="s">
        <v>525</v>
      </c>
      <c r="K743" s="5" t="s">
        <v>321</v>
      </c>
      <c r="L743" s="1" t="s">
        <v>173</v>
      </c>
      <c r="M743" s="1" t="s">
        <v>184</v>
      </c>
      <c r="N743" s="1" t="s">
        <v>110</v>
      </c>
      <c r="O743" s="1" t="s">
        <v>19</v>
      </c>
      <c r="P743" s="9">
        <v>45233</v>
      </c>
      <c r="Q743" s="1" t="s">
        <v>478</v>
      </c>
      <c r="R743" s="1" t="s">
        <v>50</v>
      </c>
      <c r="S743" s="1">
        <v>1</v>
      </c>
      <c r="T743" s="12">
        <v>0.41666666666666669</v>
      </c>
      <c r="U743" s="12">
        <v>0.47916666666666669</v>
      </c>
      <c r="V743" s="1">
        <v>1.5</v>
      </c>
      <c r="W743" s="1">
        <v>1.5</v>
      </c>
      <c r="X743" s="1">
        <f t="shared" si="44"/>
        <v>1.5</v>
      </c>
      <c r="Y743" s="5" t="str">
        <f t="shared" si="38"/>
        <v>C</v>
      </c>
    </row>
    <row r="744" spans="2:25" x14ac:dyDescent="0.25">
      <c r="B744" s="11">
        <v>45240</v>
      </c>
      <c r="C744" s="7">
        <v>600004181196</v>
      </c>
      <c r="D744" s="5">
        <v>1</v>
      </c>
      <c r="E744" t="s">
        <v>506</v>
      </c>
      <c r="F744" t="s">
        <v>550</v>
      </c>
      <c r="G744" t="s">
        <v>655</v>
      </c>
      <c r="H744" t="s">
        <v>745</v>
      </c>
      <c r="I744" t="s">
        <v>776</v>
      </c>
      <c r="J744" s="27" t="s">
        <v>525</v>
      </c>
      <c r="K744" s="5" t="s">
        <v>15</v>
      </c>
      <c r="L744" s="1" t="s">
        <v>57</v>
      </c>
      <c r="M744" s="1" t="s">
        <v>71</v>
      </c>
      <c r="N744" s="1" t="s">
        <v>407</v>
      </c>
      <c r="O744" s="1" t="s">
        <v>19</v>
      </c>
      <c r="P744" s="9">
        <v>45241</v>
      </c>
      <c r="Q744" s="1" t="s">
        <v>476</v>
      </c>
      <c r="R744" s="1" t="s">
        <v>63</v>
      </c>
      <c r="S744" s="1">
        <v>1</v>
      </c>
      <c r="T744" s="12">
        <v>0.25</v>
      </c>
      <c r="U744" s="12">
        <v>0.33333333333333331</v>
      </c>
      <c r="V744" s="1">
        <v>2</v>
      </c>
      <c r="W744" s="1">
        <v>2</v>
      </c>
      <c r="X744" s="1">
        <f t="shared" si="44"/>
        <v>2</v>
      </c>
      <c r="Y744" s="5" t="str">
        <f t="shared" si="38"/>
        <v>C</v>
      </c>
    </row>
    <row r="745" spans="2:25" x14ac:dyDescent="0.25">
      <c r="B745" s="11">
        <v>45243</v>
      </c>
      <c r="C745" s="7">
        <v>600004181598</v>
      </c>
      <c r="D745" s="5">
        <v>1</v>
      </c>
      <c r="E745" t="s">
        <v>512</v>
      </c>
      <c r="F745" t="s">
        <v>556</v>
      </c>
      <c r="G745" t="s">
        <v>661</v>
      </c>
      <c r="H745" t="s">
        <v>745</v>
      </c>
      <c r="I745" t="s">
        <v>782</v>
      </c>
      <c r="J745" s="26" t="s">
        <v>525</v>
      </c>
      <c r="K745" s="5" t="s">
        <v>88</v>
      </c>
      <c r="L745" s="1" t="s">
        <v>89</v>
      </c>
      <c r="M745" s="1" t="s">
        <v>205</v>
      </c>
      <c r="N745" s="1" t="s">
        <v>67</v>
      </c>
      <c r="O745" s="1" t="s">
        <v>19</v>
      </c>
      <c r="P745" s="9">
        <v>45243</v>
      </c>
      <c r="Q745" s="1" t="s">
        <v>476</v>
      </c>
      <c r="R745" s="1" t="s">
        <v>63</v>
      </c>
      <c r="S745" s="1">
        <v>2</v>
      </c>
      <c r="T745" s="12">
        <v>0.375</v>
      </c>
      <c r="U745" s="12">
        <v>0.4375</v>
      </c>
      <c r="V745" s="1">
        <v>1.5</v>
      </c>
      <c r="W745" s="1">
        <v>1.5</v>
      </c>
      <c r="X745" s="1">
        <f t="shared" si="44"/>
        <v>3</v>
      </c>
      <c r="Y745" s="5" t="str">
        <f t="shared" si="38"/>
        <v>C</v>
      </c>
    </row>
    <row r="746" spans="2:25" x14ac:dyDescent="0.25">
      <c r="B746" s="11">
        <v>45246</v>
      </c>
      <c r="C746" s="7">
        <v>600004182324</v>
      </c>
      <c r="D746" s="5">
        <v>1</v>
      </c>
      <c r="E746" t="s">
        <v>517</v>
      </c>
      <c r="F746" t="s">
        <v>561</v>
      </c>
      <c r="G746" t="s">
        <v>666</v>
      </c>
      <c r="H746" t="s">
        <v>745</v>
      </c>
      <c r="I746" t="s">
        <v>787</v>
      </c>
      <c r="J746" s="27" t="s">
        <v>525</v>
      </c>
      <c r="K746" s="5" t="s">
        <v>15</v>
      </c>
      <c r="L746" s="1" t="s">
        <v>16</v>
      </c>
      <c r="M746" s="1" t="s">
        <v>137</v>
      </c>
      <c r="N746" s="1" t="s">
        <v>52</v>
      </c>
      <c r="O746" s="1" t="s">
        <v>19</v>
      </c>
      <c r="P746" s="9">
        <v>45246</v>
      </c>
      <c r="Q746" s="1" t="s">
        <v>479</v>
      </c>
      <c r="R746" s="1" t="s">
        <v>63</v>
      </c>
      <c r="S746" s="1">
        <v>2</v>
      </c>
      <c r="T746" s="12">
        <v>0.29166666666666669</v>
      </c>
      <c r="U746" s="12">
        <v>0.375</v>
      </c>
      <c r="V746" s="1">
        <v>2</v>
      </c>
      <c r="W746" s="1">
        <v>2</v>
      </c>
      <c r="X746" s="1">
        <f t="shared" si="44"/>
        <v>4</v>
      </c>
      <c r="Y746" s="5" t="str">
        <f t="shared" si="38"/>
        <v>C</v>
      </c>
    </row>
    <row r="747" spans="2:25" x14ac:dyDescent="0.25">
      <c r="B747" s="11">
        <v>45252</v>
      </c>
      <c r="C747" s="7">
        <v>600004183795</v>
      </c>
      <c r="D747" s="5">
        <v>1</v>
      </c>
      <c r="E747" t="s">
        <v>919</v>
      </c>
      <c r="F747" t="s">
        <v>623</v>
      </c>
      <c r="G747" t="s">
        <v>731</v>
      </c>
      <c r="H747" t="s">
        <v>745</v>
      </c>
      <c r="I747" t="s">
        <v>852</v>
      </c>
      <c r="J747" s="26" t="s">
        <v>525</v>
      </c>
      <c r="K747" s="5" t="s">
        <v>15</v>
      </c>
      <c r="L747" s="1" t="s">
        <v>16</v>
      </c>
      <c r="M747" s="1" t="s">
        <v>57</v>
      </c>
      <c r="N747" s="1" t="s">
        <v>119</v>
      </c>
      <c r="O747" s="1" t="s">
        <v>19</v>
      </c>
      <c r="P747" s="9">
        <v>45252</v>
      </c>
      <c r="Q747" s="1" t="s">
        <v>475</v>
      </c>
      <c r="R747" s="1" t="s">
        <v>50</v>
      </c>
      <c r="S747" s="1">
        <v>1</v>
      </c>
      <c r="T747" s="12">
        <v>0.41666666666666669</v>
      </c>
      <c r="U747" s="12">
        <v>0.5</v>
      </c>
      <c r="V747" s="1">
        <v>2</v>
      </c>
      <c r="W747" s="1">
        <v>2</v>
      </c>
      <c r="X747" s="1">
        <f t="shared" si="44"/>
        <v>2</v>
      </c>
      <c r="Y747" s="5" t="str">
        <f t="shared" si="38"/>
        <v>C</v>
      </c>
    </row>
    <row r="748" spans="2:25" x14ac:dyDescent="0.25">
      <c r="B748" s="11">
        <v>45236</v>
      </c>
      <c r="C748" s="7">
        <v>600004179718</v>
      </c>
      <c r="D748" s="5">
        <v>1</v>
      </c>
      <c r="E748" t="s">
        <v>489</v>
      </c>
      <c r="F748" t="s">
        <v>533</v>
      </c>
      <c r="G748" t="s">
        <v>638</v>
      </c>
      <c r="H748" t="s">
        <v>745</v>
      </c>
      <c r="I748" t="s">
        <v>759</v>
      </c>
      <c r="J748" s="27" t="s">
        <v>525</v>
      </c>
      <c r="K748" s="5" t="s">
        <v>15</v>
      </c>
      <c r="L748" s="1" t="s">
        <v>16</v>
      </c>
      <c r="M748" s="1" t="s">
        <v>137</v>
      </c>
      <c r="N748" s="1" t="s">
        <v>52</v>
      </c>
      <c r="O748" s="1" t="s">
        <v>19</v>
      </c>
      <c r="P748" s="9">
        <v>45234</v>
      </c>
      <c r="Q748" s="1" t="s">
        <v>477</v>
      </c>
      <c r="R748" s="1" t="s">
        <v>63</v>
      </c>
      <c r="S748" s="1">
        <v>2</v>
      </c>
      <c r="T748" s="12">
        <v>0.27083333333333331</v>
      </c>
      <c r="U748" s="12">
        <v>0.35416666666666669</v>
      </c>
      <c r="V748" s="1">
        <v>2</v>
      </c>
      <c r="W748" s="1">
        <v>2</v>
      </c>
      <c r="X748" s="1">
        <f t="shared" si="44"/>
        <v>4</v>
      </c>
      <c r="Y748" s="5" t="str">
        <f t="shared" si="38"/>
        <v>C</v>
      </c>
    </row>
    <row r="749" spans="2:25" x14ac:dyDescent="0.25">
      <c r="B749" s="11">
        <v>45252</v>
      </c>
      <c r="C749" s="7">
        <v>600004183782</v>
      </c>
      <c r="D749" s="5">
        <v>1</v>
      </c>
      <c r="E749" t="s">
        <v>512</v>
      </c>
      <c r="F749" t="s">
        <v>556</v>
      </c>
      <c r="G749" t="s">
        <v>661</v>
      </c>
      <c r="H749" t="s">
        <v>745</v>
      </c>
      <c r="I749" t="s">
        <v>782</v>
      </c>
      <c r="J749" s="26" t="s">
        <v>525</v>
      </c>
      <c r="K749" s="5" t="s">
        <v>88</v>
      </c>
      <c r="L749" s="1" t="s">
        <v>36</v>
      </c>
      <c r="M749" s="1" t="s">
        <v>408</v>
      </c>
      <c r="N749" s="1" t="s">
        <v>396</v>
      </c>
      <c r="O749" s="1" t="s">
        <v>19</v>
      </c>
      <c r="P749" s="9">
        <v>45252</v>
      </c>
      <c r="Q749" s="1" t="s">
        <v>477</v>
      </c>
      <c r="R749" s="1" t="s">
        <v>63</v>
      </c>
      <c r="S749" s="1">
        <v>3</v>
      </c>
      <c r="T749" s="12">
        <v>0.625</v>
      </c>
      <c r="U749" s="12">
        <v>0.66666666666666663</v>
      </c>
      <c r="V749" s="1">
        <v>1</v>
      </c>
      <c r="W749" s="1">
        <v>1</v>
      </c>
      <c r="X749" s="1">
        <f t="shared" si="44"/>
        <v>3</v>
      </c>
      <c r="Y749" s="5" t="str">
        <f t="shared" ref="Y749:Y812" si="45">IF(W749=0,"D",IF(W749&lt;=2,"C",IF(W749&lt;=8,"B",IF(W749&gt;8,"A"))))</f>
        <v>C</v>
      </c>
    </row>
    <row r="750" spans="2:25" x14ac:dyDescent="0.25">
      <c r="B750" s="11">
        <v>45254</v>
      </c>
      <c r="C750" s="7">
        <v>600004184180</v>
      </c>
      <c r="D750" s="5">
        <v>1</v>
      </c>
      <c r="E750" t="s">
        <v>900</v>
      </c>
      <c r="F750" t="s">
        <v>605</v>
      </c>
      <c r="G750" t="s">
        <v>712</v>
      </c>
      <c r="H750" t="s">
        <v>745</v>
      </c>
      <c r="I750" t="s">
        <v>833</v>
      </c>
      <c r="J750" s="27" t="s">
        <v>525</v>
      </c>
      <c r="K750" s="5" t="s">
        <v>88</v>
      </c>
      <c r="L750" s="1" t="s">
        <v>34</v>
      </c>
      <c r="M750" s="1" t="s">
        <v>57</v>
      </c>
      <c r="N750" s="1" t="s">
        <v>409</v>
      </c>
      <c r="O750" s="1" t="s">
        <v>19</v>
      </c>
      <c r="P750" s="9">
        <v>45254</v>
      </c>
      <c r="Q750" s="1" t="s">
        <v>477</v>
      </c>
      <c r="R750" s="1" t="s">
        <v>63</v>
      </c>
      <c r="S750" s="1">
        <v>2</v>
      </c>
      <c r="T750" s="12">
        <v>0.39583333333333331</v>
      </c>
      <c r="U750" s="12">
        <v>0.5</v>
      </c>
      <c r="V750" s="1">
        <v>2.5</v>
      </c>
      <c r="W750" s="1">
        <v>2.5</v>
      </c>
      <c r="X750" s="1">
        <f t="shared" si="44"/>
        <v>5</v>
      </c>
      <c r="Y750" s="5" t="str">
        <f t="shared" si="45"/>
        <v>B</v>
      </c>
    </row>
    <row r="751" spans="2:25" x14ac:dyDescent="0.25">
      <c r="B751" s="11">
        <v>45233</v>
      </c>
      <c r="C751" s="7">
        <v>600004179199</v>
      </c>
      <c r="D751" s="5">
        <v>1</v>
      </c>
      <c r="E751" t="s">
        <v>920</v>
      </c>
      <c r="F751" t="s">
        <v>624</v>
      </c>
      <c r="G751" t="s">
        <v>732</v>
      </c>
      <c r="H751" t="s">
        <v>746</v>
      </c>
      <c r="I751" t="s">
        <v>853</v>
      </c>
      <c r="J751" s="26" t="s">
        <v>525</v>
      </c>
      <c r="K751" s="5" t="s">
        <v>410</v>
      </c>
      <c r="L751" s="1" t="s">
        <v>36</v>
      </c>
      <c r="M751" s="1" t="s">
        <v>251</v>
      </c>
      <c r="N751" s="1" t="s">
        <v>186</v>
      </c>
      <c r="O751" s="1" t="s">
        <v>19</v>
      </c>
      <c r="P751" s="9">
        <v>45233</v>
      </c>
      <c r="Q751" s="1" t="s">
        <v>477</v>
      </c>
      <c r="R751" s="1" t="s">
        <v>63</v>
      </c>
      <c r="S751" s="1">
        <v>3</v>
      </c>
      <c r="T751" s="12">
        <v>0.29166666666666669</v>
      </c>
      <c r="U751" s="12">
        <v>0.41666666666666669</v>
      </c>
      <c r="V751" s="1">
        <v>3</v>
      </c>
      <c r="W751" s="1">
        <v>3</v>
      </c>
      <c r="X751" s="1">
        <f t="shared" si="44"/>
        <v>9</v>
      </c>
      <c r="Y751" s="5" t="str">
        <f t="shared" si="45"/>
        <v>B</v>
      </c>
    </row>
    <row r="752" spans="2:25" x14ac:dyDescent="0.25">
      <c r="B752" s="11">
        <v>45231</v>
      </c>
      <c r="C752" s="7">
        <v>600004178758</v>
      </c>
      <c r="D752" s="5">
        <v>1</v>
      </c>
      <c r="E752" t="s">
        <v>885</v>
      </c>
      <c r="F752" t="s">
        <v>591</v>
      </c>
      <c r="G752" t="s">
        <v>697</v>
      </c>
      <c r="H752" t="s">
        <v>745</v>
      </c>
      <c r="I752" t="s">
        <v>818</v>
      </c>
      <c r="J752" s="27" t="s">
        <v>525</v>
      </c>
      <c r="K752" s="5" t="s">
        <v>15</v>
      </c>
      <c r="L752" s="1" t="s">
        <v>16</v>
      </c>
      <c r="M752" s="1" t="s">
        <v>119</v>
      </c>
      <c r="N752" s="1" t="s">
        <v>67</v>
      </c>
      <c r="O752" s="1" t="s">
        <v>19</v>
      </c>
      <c r="P752" s="9">
        <v>45231</v>
      </c>
      <c r="Q752" s="1" t="s">
        <v>477</v>
      </c>
      <c r="R752" s="1" t="s">
        <v>63</v>
      </c>
      <c r="S752" s="1">
        <v>2</v>
      </c>
      <c r="T752" s="12">
        <v>0.375</v>
      </c>
      <c r="U752" s="12">
        <v>0.45833333333333331</v>
      </c>
      <c r="V752" s="1">
        <v>2</v>
      </c>
      <c r="W752" s="1">
        <v>2</v>
      </c>
      <c r="X752" s="1">
        <f t="shared" si="44"/>
        <v>4</v>
      </c>
      <c r="Y752" s="5" t="str">
        <f t="shared" si="45"/>
        <v>C</v>
      </c>
    </row>
    <row r="753" spans="2:25" x14ac:dyDescent="0.25">
      <c r="B753" s="11">
        <v>45257</v>
      </c>
      <c r="C753" s="7">
        <v>600004184704</v>
      </c>
      <c r="D753" s="5">
        <v>1</v>
      </c>
      <c r="E753" t="s">
        <v>875</v>
      </c>
      <c r="F753" t="s">
        <v>581</v>
      </c>
      <c r="G753" t="s">
        <v>687</v>
      </c>
      <c r="H753" t="s">
        <v>745</v>
      </c>
      <c r="I753" t="s">
        <v>808</v>
      </c>
      <c r="J753" s="27" t="s">
        <v>525</v>
      </c>
      <c r="K753" s="5" t="s">
        <v>15</v>
      </c>
      <c r="L753" s="1" t="s">
        <v>71</v>
      </c>
      <c r="M753" s="1" t="s">
        <v>60</v>
      </c>
      <c r="N753" s="1" t="s">
        <v>67</v>
      </c>
      <c r="O753" s="1" t="s">
        <v>19</v>
      </c>
      <c r="P753" s="9">
        <v>45257</v>
      </c>
      <c r="Q753" s="1" t="s">
        <v>475</v>
      </c>
      <c r="R753" s="1" t="s">
        <v>63</v>
      </c>
      <c r="S753" s="1">
        <v>1</v>
      </c>
      <c r="T753" s="12">
        <v>0.33333333333333331</v>
      </c>
      <c r="U753" s="12">
        <v>0.39583333333333331</v>
      </c>
      <c r="V753" s="1">
        <v>1.5</v>
      </c>
      <c r="W753" s="1">
        <v>1.5</v>
      </c>
      <c r="X753" s="1">
        <f t="shared" si="44"/>
        <v>1.5</v>
      </c>
      <c r="Y753" s="5" t="str">
        <f t="shared" si="45"/>
        <v>C</v>
      </c>
    </row>
    <row r="754" spans="2:25" x14ac:dyDescent="0.25">
      <c r="B754" s="11">
        <v>45257</v>
      </c>
      <c r="C754" s="7">
        <v>600004184700</v>
      </c>
      <c r="D754" s="5">
        <v>1</v>
      </c>
      <c r="E754" t="s">
        <v>918</v>
      </c>
      <c r="F754" t="s">
        <v>622</v>
      </c>
      <c r="G754" t="s">
        <v>730</v>
      </c>
      <c r="H754" t="s">
        <v>745</v>
      </c>
      <c r="I754" t="s">
        <v>851</v>
      </c>
      <c r="J754" s="26" t="s">
        <v>525</v>
      </c>
      <c r="K754" s="5" t="s">
        <v>15</v>
      </c>
      <c r="L754" s="1" t="s">
        <v>71</v>
      </c>
      <c r="M754" s="1" t="s">
        <v>62</v>
      </c>
      <c r="N754" s="1" t="s">
        <v>67</v>
      </c>
      <c r="O754" s="1" t="s">
        <v>19</v>
      </c>
      <c r="P754" s="9">
        <v>45257</v>
      </c>
      <c r="Q754" s="1" t="s">
        <v>477</v>
      </c>
      <c r="R754" s="1" t="s">
        <v>63</v>
      </c>
      <c r="S754" s="1">
        <v>2</v>
      </c>
      <c r="T754" s="12">
        <v>0.625</v>
      </c>
      <c r="U754" s="12">
        <v>0.6875</v>
      </c>
      <c r="V754" s="1">
        <v>1.5</v>
      </c>
      <c r="W754" s="1">
        <v>1.5</v>
      </c>
      <c r="X754" s="1">
        <f t="shared" si="44"/>
        <v>3</v>
      </c>
      <c r="Y754" s="5" t="str">
        <f t="shared" si="45"/>
        <v>C</v>
      </c>
    </row>
    <row r="755" spans="2:25" x14ac:dyDescent="0.25">
      <c r="B755" s="11">
        <v>45265</v>
      </c>
      <c r="C755" s="7">
        <v>600004186932</v>
      </c>
      <c r="D755" s="5">
        <v>1</v>
      </c>
      <c r="E755" t="s">
        <v>501</v>
      </c>
      <c r="F755" t="s">
        <v>545</v>
      </c>
      <c r="G755" t="s">
        <v>650</v>
      </c>
      <c r="H755" t="s">
        <v>740</v>
      </c>
      <c r="I755" t="s">
        <v>771</v>
      </c>
      <c r="J755" s="27" t="s">
        <v>524</v>
      </c>
      <c r="K755" s="5" t="s">
        <v>70</v>
      </c>
      <c r="L755" s="1" t="s">
        <v>71</v>
      </c>
      <c r="M755" s="1" t="s">
        <v>163</v>
      </c>
      <c r="N755" s="1" t="s">
        <v>67</v>
      </c>
      <c r="O755" s="1" t="s">
        <v>19</v>
      </c>
      <c r="P755" s="9">
        <v>45265</v>
      </c>
      <c r="Q755" s="1" t="s">
        <v>474</v>
      </c>
      <c r="R755" s="1" t="s">
        <v>63</v>
      </c>
      <c r="S755" s="1">
        <v>2</v>
      </c>
      <c r="T755" s="12">
        <v>0.58333333333333337</v>
      </c>
      <c r="U755" s="12">
        <v>0.66666666666666663</v>
      </c>
      <c r="V755" s="1">
        <v>1</v>
      </c>
      <c r="W755" s="1">
        <v>1</v>
      </c>
      <c r="X755" s="1">
        <f t="shared" ref="X755:X767" si="46">PRODUCT(S755,V755)</f>
        <v>2</v>
      </c>
      <c r="Y755" s="5" t="str">
        <f t="shared" si="45"/>
        <v>C</v>
      </c>
    </row>
    <row r="756" spans="2:25" x14ac:dyDescent="0.25">
      <c r="B756" s="11">
        <v>45261</v>
      </c>
      <c r="C756" s="7">
        <v>600004185977</v>
      </c>
      <c r="D756" s="5">
        <v>1</v>
      </c>
      <c r="E756" t="s">
        <v>918</v>
      </c>
      <c r="F756" t="s">
        <v>622</v>
      </c>
      <c r="G756" t="s">
        <v>730</v>
      </c>
      <c r="H756" t="s">
        <v>745</v>
      </c>
      <c r="I756" t="s">
        <v>851</v>
      </c>
      <c r="J756" s="26" t="s">
        <v>525</v>
      </c>
      <c r="K756" s="5" t="s">
        <v>15</v>
      </c>
      <c r="L756" s="1" t="s">
        <v>71</v>
      </c>
      <c r="M756" s="1" t="s">
        <v>58</v>
      </c>
      <c r="N756" s="1" t="s">
        <v>116</v>
      </c>
      <c r="O756" s="1" t="s">
        <v>19</v>
      </c>
      <c r="P756" s="9">
        <v>45261</v>
      </c>
      <c r="Q756" s="1" t="s">
        <v>479</v>
      </c>
      <c r="R756" s="1" t="s">
        <v>63</v>
      </c>
      <c r="S756" s="1">
        <v>2</v>
      </c>
      <c r="T756" s="12">
        <v>0.52083333333333337</v>
      </c>
      <c r="U756" s="12">
        <v>0.60416666666666663</v>
      </c>
      <c r="V756" s="1">
        <v>2</v>
      </c>
      <c r="W756" s="1">
        <v>2</v>
      </c>
      <c r="X756" s="1">
        <f t="shared" si="46"/>
        <v>4</v>
      </c>
      <c r="Y756" s="5" t="str">
        <f t="shared" si="45"/>
        <v>C</v>
      </c>
    </row>
    <row r="757" spans="2:25" x14ac:dyDescent="0.25">
      <c r="B757" s="11">
        <v>45264</v>
      </c>
      <c r="C757" s="7">
        <v>600004186446</v>
      </c>
      <c r="D757" s="5">
        <v>1</v>
      </c>
      <c r="E757" t="s">
        <v>906</v>
      </c>
      <c r="F757" t="s">
        <v>611</v>
      </c>
      <c r="G757" t="s">
        <v>718</v>
      </c>
      <c r="H757" t="s">
        <v>745</v>
      </c>
      <c r="I757" t="s">
        <v>839</v>
      </c>
      <c r="J757" s="27" t="s">
        <v>525</v>
      </c>
      <c r="K757" s="5" t="s">
        <v>339</v>
      </c>
      <c r="L757" s="1" t="s">
        <v>36</v>
      </c>
      <c r="M757" s="1" t="s">
        <v>41</v>
      </c>
      <c r="N757" s="1" t="s">
        <v>94</v>
      </c>
      <c r="O757" s="1" t="s">
        <v>176</v>
      </c>
      <c r="P757" s="9">
        <v>45264</v>
      </c>
      <c r="Q757" s="1" t="s">
        <v>479</v>
      </c>
      <c r="R757" s="1" t="s">
        <v>63</v>
      </c>
      <c r="S757" s="1">
        <v>2</v>
      </c>
      <c r="T757" s="12">
        <v>0.60416666666666663</v>
      </c>
      <c r="U757" s="12">
        <v>0.66666666666666663</v>
      </c>
      <c r="V757" s="1">
        <v>1.5</v>
      </c>
      <c r="W757" s="1">
        <v>1.5</v>
      </c>
      <c r="X757" s="1">
        <f t="shared" si="46"/>
        <v>3</v>
      </c>
      <c r="Y757" s="5" t="str">
        <f t="shared" si="45"/>
        <v>C</v>
      </c>
    </row>
    <row r="758" spans="2:25" x14ac:dyDescent="0.25">
      <c r="B758" s="11">
        <v>45264</v>
      </c>
      <c r="C758" s="7">
        <v>600004186541</v>
      </c>
      <c r="D758" s="5">
        <v>1</v>
      </c>
      <c r="E758" t="s">
        <v>906</v>
      </c>
      <c r="F758" t="s">
        <v>611</v>
      </c>
      <c r="G758" t="s">
        <v>718</v>
      </c>
      <c r="H758" t="s">
        <v>745</v>
      </c>
      <c r="I758" t="s">
        <v>839</v>
      </c>
      <c r="J758" s="27" t="s">
        <v>525</v>
      </c>
      <c r="K758" s="5" t="s">
        <v>339</v>
      </c>
      <c r="L758" s="1" t="s">
        <v>79</v>
      </c>
      <c r="M758" s="1" t="s">
        <v>110</v>
      </c>
      <c r="N758" s="1" t="s">
        <v>411</v>
      </c>
      <c r="O758" s="1" t="s">
        <v>19</v>
      </c>
      <c r="P758" s="9">
        <v>45264</v>
      </c>
      <c r="Q758" s="1" t="s">
        <v>479</v>
      </c>
      <c r="R758" s="1" t="s">
        <v>50</v>
      </c>
      <c r="S758" s="1">
        <v>2</v>
      </c>
      <c r="T758" s="12">
        <v>0.29166666666666669</v>
      </c>
      <c r="U758" s="12">
        <v>0.375</v>
      </c>
      <c r="V758" s="1">
        <v>2</v>
      </c>
      <c r="W758" s="1">
        <v>2</v>
      </c>
      <c r="X758" s="1">
        <f t="shared" si="46"/>
        <v>4</v>
      </c>
      <c r="Y758" s="5" t="str">
        <f t="shared" si="45"/>
        <v>C</v>
      </c>
    </row>
    <row r="759" spans="2:25" x14ac:dyDescent="0.25">
      <c r="B759" s="11">
        <v>45264</v>
      </c>
      <c r="C759" s="7">
        <v>600004186540</v>
      </c>
      <c r="D759" s="5">
        <v>1</v>
      </c>
      <c r="E759" t="s">
        <v>862</v>
      </c>
      <c r="F759" t="s">
        <v>569</v>
      </c>
      <c r="G759" t="s">
        <v>674</v>
      </c>
      <c r="H759" t="s">
        <v>745</v>
      </c>
      <c r="I759" t="s">
        <v>795</v>
      </c>
      <c r="J759" s="27" t="s">
        <v>525</v>
      </c>
      <c r="K759" s="5" t="s">
        <v>140</v>
      </c>
      <c r="L759" s="1" t="s">
        <v>57</v>
      </c>
      <c r="M759" s="1" t="s">
        <v>141</v>
      </c>
      <c r="N759" s="1" t="s">
        <v>115</v>
      </c>
      <c r="O759" s="1" t="s">
        <v>19</v>
      </c>
      <c r="P759" s="9">
        <v>45264</v>
      </c>
      <c r="Q759" s="1" t="s">
        <v>479</v>
      </c>
      <c r="R759" s="1" t="s">
        <v>63</v>
      </c>
      <c r="S759" s="1">
        <v>2</v>
      </c>
      <c r="T759" s="12">
        <v>0.39583333333333331</v>
      </c>
      <c r="U759" s="12">
        <v>0.47916666666666669</v>
      </c>
      <c r="V759" s="1">
        <v>2</v>
      </c>
      <c r="W759" s="1">
        <v>2</v>
      </c>
      <c r="X759" s="1">
        <f t="shared" si="46"/>
        <v>4</v>
      </c>
      <c r="Y759" s="5" t="str">
        <f t="shared" si="45"/>
        <v>C</v>
      </c>
    </row>
    <row r="760" spans="2:25" x14ac:dyDescent="0.25">
      <c r="B760" s="11">
        <v>45264</v>
      </c>
      <c r="C760" s="7">
        <v>600004186539</v>
      </c>
      <c r="D760" s="5">
        <v>1</v>
      </c>
      <c r="E760" t="s">
        <v>494</v>
      </c>
      <c r="F760" t="s">
        <v>538</v>
      </c>
      <c r="G760" t="s">
        <v>643</v>
      </c>
      <c r="H760" t="s">
        <v>745</v>
      </c>
      <c r="I760" t="s">
        <v>764</v>
      </c>
      <c r="J760" s="29" t="s">
        <v>525</v>
      </c>
      <c r="K760" s="4" t="s">
        <v>15</v>
      </c>
      <c r="L760" s="1" t="s">
        <v>57</v>
      </c>
      <c r="M760" s="1" t="s">
        <v>261</v>
      </c>
      <c r="N760" s="1" t="s">
        <v>167</v>
      </c>
      <c r="O760" s="1" t="s">
        <v>19</v>
      </c>
      <c r="P760" s="9">
        <v>45264</v>
      </c>
      <c r="Q760" s="1" t="s">
        <v>479</v>
      </c>
      <c r="R760" s="1" t="s">
        <v>63</v>
      </c>
      <c r="S760" s="1">
        <v>2</v>
      </c>
      <c r="T760" s="12">
        <v>0.52083333333333337</v>
      </c>
      <c r="U760" s="12">
        <v>0.60416666666666663</v>
      </c>
      <c r="V760" s="1">
        <v>2</v>
      </c>
      <c r="W760" s="1">
        <v>2</v>
      </c>
      <c r="X760" s="1">
        <f t="shared" si="46"/>
        <v>4</v>
      </c>
      <c r="Y760" s="5" t="str">
        <f t="shared" si="45"/>
        <v>C</v>
      </c>
    </row>
    <row r="761" spans="2:25" x14ac:dyDescent="0.25">
      <c r="B761" s="11">
        <v>45266</v>
      </c>
      <c r="C761" s="7">
        <v>600004187297</v>
      </c>
      <c r="D761" s="5">
        <v>1</v>
      </c>
      <c r="E761" t="s">
        <v>862</v>
      </c>
      <c r="F761" t="s">
        <v>569</v>
      </c>
      <c r="G761" t="s">
        <v>674</v>
      </c>
      <c r="H761" t="s">
        <v>745</v>
      </c>
      <c r="I761" t="s">
        <v>795</v>
      </c>
      <c r="J761" s="27" t="s">
        <v>525</v>
      </c>
      <c r="K761" s="5" t="s">
        <v>140</v>
      </c>
      <c r="L761" s="1" t="s">
        <v>33</v>
      </c>
      <c r="M761" s="1" t="s">
        <v>114</v>
      </c>
      <c r="N761" s="1" t="s">
        <v>376</v>
      </c>
      <c r="O761" s="1" t="s">
        <v>19</v>
      </c>
      <c r="P761" s="9">
        <v>45266</v>
      </c>
      <c r="Q761" s="1" t="s">
        <v>479</v>
      </c>
      <c r="R761" s="1" t="s">
        <v>63</v>
      </c>
      <c r="S761" s="1">
        <v>2</v>
      </c>
      <c r="T761" s="12">
        <v>0.58333333333333337</v>
      </c>
      <c r="U761" s="12">
        <v>0.66666666666666663</v>
      </c>
      <c r="V761" s="1">
        <v>2</v>
      </c>
      <c r="W761" s="1">
        <v>2</v>
      </c>
      <c r="X761" s="1">
        <f t="shared" si="46"/>
        <v>4</v>
      </c>
      <c r="Y761" s="5" t="str">
        <f t="shared" si="45"/>
        <v>C</v>
      </c>
    </row>
    <row r="762" spans="2:25" x14ac:dyDescent="0.25">
      <c r="B762" s="11">
        <v>45266</v>
      </c>
      <c r="C762" s="7">
        <v>600004187286</v>
      </c>
      <c r="D762" s="5">
        <v>1</v>
      </c>
      <c r="E762" t="s">
        <v>515</v>
      </c>
      <c r="F762" t="s">
        <v>559</v>
      </c>
      <c r="G762" t="s">
        <v>664</v>
      </c>
      <c r="H762" t="s">
        <v>745</v>
      </c>
      <c r="I762" t="s">
        <v>785</v>
      </c>
      <c r="J762" s="26" t="s">
        <v>525</v>
      </c>
      <c r="K762" s="5" t="s">
        <v>122</v>
      </c>
      <c r="L762" s="1" t="s">
        <v>57</v>
      </c>
      <c r="M762" s="1" t="s">
        <v>123</v>
      </c>
      <c r="N762" s="1" t="s">
        <v>367</v>
      </c>
      <c r="O762" s="1" t="s">
        <v>19</v>
      </c>
      <c r="P762" s="9">
        <v>45266</v>
      </c>
      <c r="Q762" s="1" t="s">
        <v>479</v>
      </c>
      <c r="R762" s="1" t="s">
        <v>63</v>
      </c>
      <c r="S762" s="1">
        <v>2</v>
      </c>
      <c r="T762" s="12">
        <v>0.5</v>
      </c>
      <c r="U762" s="12">
        <v>0.58333333333333337</v>
      </c>
      <c r="V762" s="1">
        <v>2</v>
      </c>
      <c r="W762" s="1">
        <v>2</v>
      </c>
      <c r="X762" s="1">
        <f t="shared" si="46"/>
        <v>4</v>
      </c>
      <c r="Y762" s="5" t="str">
        <f t="shared" si="45"/>
        <v>C</v>
      </c>
    </row>
    <row r="763" spans="2:25" x14ac:dyDescent="0.25">
      <c r="B763" s="11">
        <v>45266</v>
      </c>
      <c r="C763" s="7">
        <v>600004187296</v>
      </c>
      <c r="D763" s="5">
        <v>1</v>
      </c>
      <c r="E763" t="s">
        <v>869</v>
      </c>
      <c r="F763" t="s">
        <v>576</v>
      </c>
      <c r="G763" t="s">
        <v>681</v>
      </c>
      <c r="H763" t="s">
        <v>745</v>
      </c>
      <c r="I763" t="s">
        <v>802</v>
      </c>
      <c r="J763" s="27" t="s">
        <v>525</v>
      </c>
      <c r="K763" s="5" t="s">
        <v>15</v>
      </c>
      <c r="L763" s="1" t="s">
        <v>16</v>
      </c>
      <c r="M763" s="1" t="s">
        <v>52</v>
      </c>
      <c r="N763" s="1" t="s">
        <v>232</v>
      </c>
      <c r="O763" s="1" t="s">
        <v>19</v>
      </c>
      <c r="P763" s="9">
        <v>45267</v>
      </c>
      <c r="Q763" s="1" t="s">
        <v>477</v>
      </c>
      <c r="R763" s="1" t="s">
        <v>63</v>
      </c>
      <c r="S763" s="1">
        <v>2</v>
      </c>
      <c r="T763" s="12">
        <v>0.3125</v>
      </c>
      <c r="U763" s="12">
        <v>0.41666666666666669</v>
      </c>
      <c r="V763" s="1">
        <v>2.5</v>
      </c>
      <c r="W763" s="1">
        <v>2.5</v>
      </c>
      <c r="X763" s="1">
        <f t="shared" si="46"/>
        <v>5</v>
      </c>
      <c r="Y763" s="5" t="str">
        <f t="shared" si="45"/>
        <v>B</v>
      </c>
    </row>
    <row r="764" spans="2:25" x14ac:dyDescent="0.25">
      <c r="B764" s="11">
        <v>45266</v>
      </c>
      <c r="C764" s="7">
        <v>600004187315</v>
      </c>
      <c r="D764" s="5">
        <v>1</v>
      </c>
      <c r="E764" t="s">
        <v>900</v>
      </c>
      <c r="F764" t="s">
        <v>605</v>
      </c>
      <c r="G764" t="s">
        <v>712</v>
      </c>
      <c r="H764" t="s">
        <v>745</v>
      </c>
      <c r="I764" t="s">
        <v>833</v>
      </c>
      <c r="J764" s="27" t="s">
        <v>525</v>
      </c>
      <c r="K764" s="5" t="s">
        <v>88</v>
      </c>
      <c r="L764" s="1" t="s">
        <v>57</v>
      </c>
      <c r="M764" s="1" t="s">
        <v>88</v>
      </c>
      <c r="N764" s="1" t="s">
        <v>333</v>
      </c>
      <c r="O764" s="1" t="s">
        <v>176</v>
      </c>
      <c r="P764" s="9">
        <v>45267</v>
      </c>
      <c r="Q764" s="1" t="s">
        <v>479</v>
      </c>
      <c r="R764" s="1" t="s">
        <v>63</v>
      </c>
      <c r="S764" s="1">
        <v>2</v>
      </c>
      <c r="T764" s="12">
        <v>0.4375</v>
      </c>
      <c r="U764" s="12">
        <v>0.5</v>
      </c>
      <c r="V764" s="1">
        <v>1.5</v>
      </c>
      <c r="W764" s="1">
        <v>1.5</v>
      </c>
      <c r="X764" s="1">
        <f t="shared" si="46"/>
        <v>3</v>
      </c>
      <c r="Y764" s="5" t="str">
        <f t="shared" si="45"/>
        <v>C</v>
      </c>
    </row>
    <row r="765" spans="2:25" x14ac:dyDescent="0.25">
      <c r="B765" s="11">
        <v>45272</v>
      </c>
      <c r="C765" s="7">
        <v>600004188722</v>
      </c>
      <c r="D765" s="5">
        <v>1</v>
      </c>
      <c r="E765" t="s">
        <v>904</v>
      </c>
      <c r="F765" t="s">
        <v>609</v>
      </c>
      <c r="G765" t="s">
        <v>716</v>
      </c>
      <c r="H765" t="s">
        <v>745</v>
      </c>
      <c r="I765" t="s">
        <v>837</v>
      </c>
      <c r="J765" s="27" t="s">
        <v>525</v>
      </c>
      <c r="K765" s="5" t="s">
        <v>321</v>
      </c>
      <c r="L765" s="1" t="s">
        <v>79</v>
      </c>
      <c r="M765" s="1" t="s">
        <v>57</v>
      </c>
      <c r="N765" s="1" t="s">
        <v>110</v>
      </c>
      <c r="O765" s="1" t="s">
        <v>176</v>
      </c>
      <c r="P765" s="9">
        <v>45272</v>
      </c>
      <c r="Q765" s="1" t="s">
        <v>476</v>
      </c>
      <c r="R765" s="1" t="s">
        <v>50</v>
      </c>
      <c r="S765" s="1">
        <v>2</v>
      </c>
      <c r="T765" s="12">
        <v>0.29166666666666669</v>
      </c>
      <c r="U765" s="12">
        <v>0.39583333333333331</v>
      </c>
      <c r="V765" s="1">
        <v>2.5</v>
      </c>
      <c r="W765" s="1">
        <v>2.5</v>
      </c>
      <c r="X765" s="1">
        <f t="shared" si="46"/>
        <v>5</v>
      </c>
      <c r="Y765" s="5" t="str">
        <f t="shared" si="45"/>
        <v>B</v>
      </c>
    </row>
    <row r="766" spans="2:25" x14ac:dyDescent="0.25">
      <c r="B766" s="11">
        <v>45279</v>
      </c>
      <c r="C766" s="7">
        <v>600004180248</v>
      </c>
      <c r="D766" s="5">
        <v>1</v>
      </c>
      <c r="E766" t="s">
        <v>486</v>
      </c>
      <c r="F766" t="s">
        <v>530</v>
      </c>
      <c r="G766" t="s">
        <v>635</v>
      </c>
      <c r="H766" t="s">
        <v>740</v>
      </c>
      <c r="I766" t="s">
        <v>756</v>
      </c>
      <c r="J766" s="27" t="s">
        <v>525</v>
      </c>
      <c r="K766" s="5" t="s">
        <v>69</v>
      </c>
      <c r="L766" s="1" t="s">
        <v>57</v>
      </c>
      <c r="M766" s="1" t="s">
        <v>45</v>
      </c>
      <c r="N766" s="1" t="s">
        <v>409</v>
      </c>
      <c r="O766" s="1" t="s">
        <v>176</v>
      </c>
      <c r="P766" s="9">
        <v>45279</v>
      </c>
      <c r="Q766" s="1" t="s">
        <v>473</v>
      </c>
      <c r="R766" s="1" t="s">
        <v>63</v>
      </c>
      <c r="S766" s="1">
        <v>1</v>
      </c>
      <c r="T766" s="12">
        <v>0.41666666666666669</v>
      </c>
      <c r="U766" s="12">
        <v>0.47916666666666669</v>
      </c>
      <c r="V766" s="1">
        <v>1.5</v>
      </c>
      <c r="W766" s="1">
        <v>1.5</v>
      </c>
      <c r="X766" s="1">
        <f t="shared" si="46"/>
        <v>1.5</v>
      </c>
      <c r="Y766" s="5" t="str">
        <f t="shared" si="45"/>
        <v>C</v>
      </c>
    </row>
    <row r="767" spans="2:25" x14ac:dyDescent="0.25">
      <c r="B767" s="11">
        <v>45279</v>
      </c>
      <c r="C767" s="7">
        <v>600004190285</v>
      </c>
      <c r="D767" s="5">
        <v>1</v>
      </c>
      <c r="E767" t="s">
        <v>883</v>
      </c>
      <c r="F767" t="s">
        <v>589</v>
      </c>
      <c r="G767" t="s">
        <v>695</v>
      </c>
      <c r="H767" t="s">
        <v>741</v>
      </c>
      <c r="I767" t="s">
        <v>816</v>
      </c>
      <c r="J767" s="27" t="s">
        <v>524</v>
      </c>
      <c r="K767" s="5" t="s">
        <v>127</v>
      </c>
      <c r="L767" s="1" t="s">
        <v>79</v>
      </c>
      <c r="M767" s="1" t="s">
        <v>57</v>
      </c>
      <c r="N767" s="1" t="s">
        <v>412</v>
      </c>
      <c r="O767" s="1" t="s">
        <v>19</v>
      </c>
      <c r="P767" s="9">
        <v>45279</v>
      </c>
      <c r="Q767" s="1" t="s">
        <v>473</v>
      </c>
      <c r="R767" s="1" t="s">
        <v>50</v>
      </c>
      <c r="S767" s="1">
        <v>1</v>
      </c>
      <c r="T767" s="12">
        <v>0.54166666666666663</v>
      </c>
      <c r="U767" s="12">
        <v>0.66666666666666663</v>
      </c>
      <c r="V767" s="1">
        <v>3</v>
      </c>
      <c r="W767" s="1">
        <v>3</v>
      </c>
      <c r="X767" s="1">
        <f t="shared" si="46"/>
        <v>3</v>
      </c>
      <c r="Y767" s="5" t="str">
        <f t="shared" si="45"/>
        <v>B</v>
      </c>
    </row>
    <row r="768" spans="2:25" x14ac:dyDescent="0.25">
      <c r="B768" s="11">
        <v>45295</v>
      </c>
      <c r="C768" s="7">
        <v>600004193203</v>
      </c>
      <c r="D768" s="5">
        <v>1</v>
      </c>
      <c r="E768" t="s">
        <v>906</v>
      </c>
      <c r="F768" t="s">
        <v>611</v>
      </c>
      <c r="G768" t="s">
        <v>718</v>
      </c>
      <c r="H768" t="s">
        <v>745</v>
      </c>
      <c r="I768" t="s">
        <v>839</v>
      </c>
      <c r="J768" s="27" t="s">
        <v>525</v>
      </c>
      <c r="K768" s="5" t="s">
        <v>339</v>
      </c>
      <c r="L768" s="1" t="s">
        <v>413</v>
      </c>
      <c r="M768" s="1" t="s">
        <v>114</v>
      </c>
      <c r="N768" s="1" t="s">
        <v>115</v>
      </c>
      <c r="O768" s="1" t="s">
        <v>176</v>
      </c>
      <c r="P768" s="9">
        <v>45295</v>
      </c>
      <c r="Q768" s="1" t="s">
        <v>477</v>
      </c>
      <c r="R768" s="1" t="s">
        <v>63</v>
      </c>
      <c r="S768" s="1">
        <v>2</v>
      </c>
      <c r="T768" s="12">
        <v>0.29166666666666669</v>
      </c>
      <c r="U768" s="12">
        <v>0.35416666666666669</v>
      </c>
      <c r="V768" s="1">
        <v>1.5</v>
      </c>
      <c r="W768" s="1">
        <v>1.5</v>
      </c>
      <c r="X768" s="1">
        <f t="shared" ref="X768:X779" si="47">PRODUCT(S768,V768)</f>
        <v>3</v>
      </c>
      <c r="Y768" s="5" t="str">
        <f t="shared" si="45"/>
        <v>C</v>
      </c>
    </row>
    <row r="769" spans="1:25" x14ac:dyDescent="0.25">
      <c r="B769" s="11">
        <v>45295</v>
      </c>
      <c r="C769" s="7">
        <v>600004193990</v>
      </c>
      <c r="D769" s="5">
        <v>1</v>
      </c>
      <c r="E769" t="s">
        <v>506</v>
      </c>
      <c r="F769" t="s">
        <v>550</v>
      </c>
      <c r="G769" t="s">
        <v>655</v>
      </c>
      <c r="H769" t="s">
        <v>745</v>
      </c>
      <c r="I769" t="s">
        <v>776</v>
      </c>
      <c r="J769" s="27" t="s">
        <v>525</v>
      </c>
      <c r="K769" s="5" t="s">
        <v>15</v>
      </c>
      <c r="L769" s="1" t="s">
        <v>79</v>
      </c>
      <c r="M769" s="1" t="s">
        <v>263</v>
      </c>
      <c r="N769" s="1" t="s">
        <v>133</v>
      </c>
      <c r="O769" s="1" t="s">
        <v>19</v>
      </c>
      <c r="P769" s="9">
        <v>45295</v>
      </c>
      <c r="Q769" s="1" t="s">
        <v>478</v>
      </c>
      <c r="R769" s="1" t="s">
        <v>50</v>
      </c>
      <c r="S769" s="1">
        <v>1</v>
      </c>
      <c r="T769" s="12">
        <v>0.29166666666666669</v>
      </c>
      <c r="U769" s="12">
        <v>0.375</v>
      </c>
      <c r="V769" s="1">
        <v>2</v>
      </c>
      <c r="W769" s="1">
        <v>0</v>
      </c>
      <c r="X769" s="1">
        <f t="shared" si="47"/>
        <v>2</v>
      </c>
      <c r="Y769" s="5" t="str">
        <f t="shared" si="45"/>
        <v>D</v>
      </c>
    </row>
    <row r="770" spans="1:25" x14ac:dyDescent="0.25">
      <c r="B770" s="11">
        <v>45295</v>
      </c>
      <c r="C770" s="7">
        <v>600004194074</v>
      </c>
      <c r="D770" s="5">
        <v>1</v>
      </c>
      <c r="E770" t="s">
        <v>862</v>
      </c>
      <c r="F770" t="s">
        <v>569</v>
      </c>
      <c r="G770" t="s">
        <v>674</v>
      </c>
      <c r="H770" t="s">
        <v>745</v>
      </c>
      <c r="I770" t="s">
        <v>795</v>
      </c>
      <c r="J770" s="27" t="s">
        <v>525</v>
      </c>
      <c r="K770" s="5" t="s">
        <v>140</v>
      </c>
      <c r="L770" s="1" t="s">
        <v>57</v>
      </c>
      <c r="M770" s="1" t="s">
        <v>33</v>
      </c>
      <c r="N770" s="1" t="s">
        <v>141</v>
      </c>
      <c r="O770" s="1" t="s">
        <v>19</v>
      </c>
      <c r="P770" s="9">
        <v>45295</v>
      </c>
      <c r="Q770" s="1" t="s">
        <v>477</v>
      </c>
      <c r="R770" s="1" t="s">
        <v>63</v>
      </c>
      <c r="S770" s="1">
        <v>1</v>
      </c>
      <c r="T770" s="12">
        <v>0.375</v>
      </c>
      <c r="U770" s="12">
        <v>0.41666666666666669</v>
      </c>
      <c r="V770" s="1">
        <v>1</v>
      </c>
      <c r="W770" s="1">
        <v>1</v>
      </c>
      <c r="X770" s="1">
        <f t="shared" si="47"/>
        <v>1</v>
      </c>
      <c r="Y770" s="5" t="str">
        <f t="shared" si="45"/>
        <v>C</v>
      </c>
    </row>
    <row r="771" spans="1:25" x14ac:dyDescent="0.25">
      <c r="B771" s="11">
        <v>45296</v>
      </c>
      <c r="C771" s="7">
        <v>600004194363</v>
      </c>
      <c r="D771" s="5">
        <v>1</v>
      </c>
      <c r="E771" t="s">
        <v>862</v>
      </c>
      <c r="F771" t="s">
        <v>569</v>
      </c>
      <c r="G771" t="s">
        <v>674</v>
      </c>
      <c r="H771" t="s">
        <v>745</v>
      </c>
      <c r="I771" t="s">
        <v>795</v>
      </c>
      <c r="J771" s="27" t="s">
        <v>525</v>
      </c>
      <c r="K771" s="5" t="s">
        <v>140</v>
      </c>
      <c r="L771" s="1" t="s">
        <v>57</v>
      </c>
      <c r="M771" s="1" t="s">
        <v>141</v>
      </c>
      <c r="N771" s="1" t="s">
        <v>134</v>
      </c>
      <c r="O771" s="1" t="s">
        <v>19</v>
      </c>
      <c r="P771" s="9">
        <v>45296</v>
      </c>
      <c r="Q771" s="1" t="s">
        <v>477</v>
      </c>
      <c r="R771" s="1" t="s">
        <v>63</v>
      </c>
      <c r="S771" s="1">
        <v>2</v>
      </c>
      <c r="T771" s="12">
        <v>0.375</v>
      </c>
      <c r="U771" s="12">
        <v>0.41666666666666669</v>
      </c>
      <c r="V771" s="1">
        <v>1</v>
      </c>
      <c r="W771" s="1">
        <v>1</v>
      </c>
      <c r="X771" s="1">
        <f t="shared" si="47"/>
        <v>2</v>
      </c>
      <c r="Y771" s="5" t="str">
        <f t="shared" si="45"/>
        <v>C</v>
      </c>
    </row>
    <row r="772" spans="1:25" x14ac:dyDescent="0.25">
      <c r="B772" s="11">
        <v>45300</v>
      </c>
      <c r="C772" s="7">
        <v>600004195547</v>
      </c>
      <c r="D772" s="5">
        <v>1</v>
      </c>
      <c r="E772" t="s">
        <v>505</v>
      </c>
      <c r="F772" t="s">
        <v>549</v>
      </c>
      <c r="G772" t="s">
        <v>654</v>
      </c>
      <c r="H772" t="s">
        <v>745</v>
      </c>
      <c r="I772" t="s">
        <v>775</v>
      </c>
      <c r="J772" s="27" t="s">
        <v>525</v>
      </c>
      <c r="K772" s="5" t="s">
        <v>15</v>
      </c>
      <c r="L772" s="1" t="s">
        <v>71</v>
      </c>
      <c r="M772" s="1" t="s">
        <v>58</v>
      </c>
      <c r="N772" s="1" t="s">
        <v>45</v>
      </c>
      <c r="O772" s="1" t="s">
        <v>176</v>
      </c>
      <c r="P772" s="9">
        <v>45302</v>
      </c>
      <c r="Q772" s="1" t="s">
        <v>479</v>
      </c>
      <c r="R772" s="1" t="s">
        <v>63</v>
      </c>
      <c r="S772" s="1">
        <v>2</v>
      </c>
      <c r="T772" s="12">
        <v>0.29166666666666669</v>
      </c>
      <c r="U772" s="12">
        <v>0.375</v>
      </c>
      <c r="V772" s="1">
        <v>2</v>
      </c>
      <c r="W772" s="1">
        <v>2</v>
      </c>
      <c r="X772" s="1">
        <f t="shared" si="47"/>
        <v>4</v>
      </c>
      <c r="Y772" s="5" t="str">
        <f t="shared" si="45"/>
        <v>C</v>
      </c>
    </row>
    <row r="773" spans="1:25" x14ac:dyDescent="0.25">
      <c r="B773" s="11">
        <v>45302</v>
      </c>
      <c r="C773" s="7">
        <v>600004196227</v>
      </c>
      <c r="D773" s="5">
        <v>1</v>
      </c>
      <c r="E773" t="s">
        <v>500</v>
      </c>
      <c r="F773" t="s">
        <v>544</v>
      </c>
      <c r="G773" t="s">
        <v>649</v>
      </c>
      <c r="H773" t="s">
        <v>745</v>
      </c>
      <c r="I773" t="s">
        <v>770</v>
      </c>
      <c r="J773" s="27" t="s">
        <v>525</v>
      </c>
      <c r="K773" s="5" t="s">
        <v>15</v>
      </c>
      <c r="L773" s="1" t="s">
        <v>301</v>
      </c>
      <c r="M773" s="1" t="s">
        <v>57</v>
      </c>
      <c r="N773" s="1" t="s">
        <v>84</v>
      </c>
      <c r="O773" s="1" t="s">
        <v>176</v>
      </c>
      <c r="P773" s="9">
        <v>45302</v>
      </c>
      <c r="Q773" s="1" t="s">
        <v>479</v>
      </c>
      <c r="R773" s="1" t="s">
        <v>63</v>
      </c>
      <c r="S773" s="1">
        <v>2</v>
      </c>
      <c r="T773" s="12">
        <v>0.58333333333333337</v>
      </c>
      <c r="U773" s="12">
        <v>0.625</v>
      </c>
      <c r="V773" s="1">
        <v>1</v>
      </c>
      <c r="W773" s="1">
        <v>1</v>
      </c>
      <c r="X773" s="1">
        <f t="shared" si="47"/>
        <v>2</v>
      </c>
      <c r="Y773" s="5" t="str">
        <f t="shared" si="45"/>
        <v>C</v>
      </c>
    </row>
    <row r="774" spans="1:25" x14ac:dyDescent="0.25">
      <c r="B774" s="11">
        <v>45301</v>
      </c>
      <c r="C774" s="7">
        <v>600004195821</v>
      </c>
      <c r="D774" s="5">
        <v>1</v>
      </c>
      <c r="E774" t="s">
        <v>505</v>
      </c>
      <c r="F774" t="s">
        <v>549</v>
      </c>
      <c r="G774" t="s">
        <v>654</v>
      </c>
      <c r="H774" t="s">
        <v>745</v>
      </c>
      <c r="I774" t="s">
        <v>775</v>
      </c>
      <c r="J774" s="27" t="s">
        <v>525</v>
      </c>
      <c r="K774" s="5" t="s">
        <v>15</v>
      </c>
      <c r="L774" s="1" t="s">
        <v>79</v>
      </c>
      <c r="M774" s="1" t="s">
        <v>281</v>
      </c>
      <c r="N774" s="1" t="s">
        <v>238</v>
      </c>
      <c r="O774" s="1" t="s">
        <v>19</v>
      </c>
      <c r="P774" s="9">
        <v>45301</v>
      </c>
      <c r="Q774" s="1" t="s">
        <v>475</v>
      </c>
      <c r="R774" s="1" t="s">
        <v>50</v>
      </c>
      <c r="S774" s="1">
        <v>1</v>
      </c>
      <c r="T774" s="12">
        <v>0.29166666666666669</v>
      </c>
      <c r="U774" s="12">
        <v>0.35416666666666669</v>
      </c>
      <c r="V774" s="1">
        <v>1.5</v>
      </c>
      <c r="W774" s="1">
        <v>1.5</v>
      </c>
      <c r="X774" s="1">
        <f t="shared" si="47"/>
        <v>1.5</v>
      </c>
      <c r="Y774" s="5" t="str">
        <f t="shared" si="45"/>
        <v>C</v>
      </c>
    </row>
    <row r="775" spans="1:25" x14ac:dyDescent="0.25">
      <c r="A775" s="1" t="s">
        <v>414</v>
      </c>
      <c r="B775" s="11">
        <v>45302</v>
      </c>
      <c r="C775" s="7">
        <v>600004196174</v>
      </c>
      <c r="D775" s="5">
        <v>1</v>
      </c>
      <c r="E775" t="s">
        <v>919</v>
      </c>
      <c r="F775" t="s">
        <v>623</v>
      </c>
      <c r="G775" t="s">
        <v>731</v>
      </c>
      <c r="H775" t="s">
        <v>745</v>
      </c>
      <c r="I775" t="s">
        <v>852</v>
      </c>
      <c r="J775" s="26" t="s">
        <v>525</v>
      </c>
      <c r="K775" s="5" t="s">
        <v>15</v>
      </c>
      <c r="L775" s="1" t="s">
        <v>79</v>
      </c>
      <c r="M775" s="1" t="s">
        <v>62</v>
      </c>
      <c r="N775" s="1" t="s">
        <v>415</v>
      </c>
      <c r="O775" s="1" t="s">
        <v>19</v>
      </c>
      <c r="P775" s="9">
        <v>45302</v>
      </c>
      <c r="Q775" s="1" t="s">
        <v>475</v>
      </c>
      <c r="R775" s="1" t="s">
        <v>50</v>
      </c>
      <c r="S775" s="1">
        <v>1</v>
      </c>
      <c r="T775" s="12">
        <v>0.41666666666666669</v>
      </c>
      <c r="U775" s="12">
        <v>0.625</v>
      </c>
      <c r="V775" s="1">
        <v>5</v>
      </c>
      <c r="W775" s="1">
        <v>5</v>
      </c>
      <c r="X775" s="1">
        <f t="shared" si="47"/>
        <v>5</v>
      </c>
      <c r="Y775" s="5" t="str">
        <f t="shared" si="45"/>
        <v>B</v>
      </c>
    </row>
    <row r="776" spans="1:25" x14ac:dyDescent="0.25">
      <c r="B776" s="11">
        <v>45296</v>
      </c>
      <c r="C776" s="7">
        <v>600004194339</v>
      </c>
      <c r="D776" s="5">
        <v>1</v>
      </c>
      <c r="E776" t="s">
        <v>900</v>
      </c>
      <c r="F776" t="s">
        <v>605</v>
      </c>
      <c r="G776" t="s">
        <v>712</v>
      </c>
      <c r="H776" t="s">
        <v>745</v>
      </c>
      <c r="I776" t="s">
        <v>833</v>
      </c>
      <c r="J776" s="27" t="s">
        <v>525</v>
      </c>
      <c r="K776" s="5" t="s">
        <v>88</v>
      </c>
      <c r="L776" s="1" t="s">
        <v>89</v>
      </c>
      <c r="M776" s="1" t="s">
        <v>57</v>
      </c>
      <c r="N776" s="1" t="s">
        <v>45</v>
      </c>
      <c r="O776" s="1" t="s">
        <v>19</v>
      </c>
      <c r="P776" s="9">
        <v>45296</v>
      </c>
      <c r="Q776" s="1" t="s">
        <v>479</v>
      </c>
      <c r="R776" s="1" t="s">
        <v>63</v>
      </c>
      <c r="S776" s="1">
        <v>2</v>
      </c>
      <c r="T776" s="12">
        <v>0.29166666666666669</v>
      </c>
      <c r="U776" s="12">
        <v>0.375</v>
      </c>
      <c r="V776" s="1">
        <v>2</v>
      </c>
      <c r="W776" s="1">
        <v>2</v>
      </c>
      <c r="X776" s="1">
        <f t="shared" si="47"/>
        <v>4</v>
      </c>
      <c r="Y776" s="5" t="str">
        <f t="shared" si="45"/>
        <v>C</v>
      </c>
    </row>
    <row r="777" spans="1:25" x14ac:dyDescent="0.25">
      <c r="B777" s="11">
        <v>45299</v>
      </c>
      <c r="C777" s="7">
        <v>600004195008</v>
      </c>
      <c r="D777" s="5">
        <v>1</v>
      </c>
      <c r="E777" t="s">
        <v>866</v>
      </c>
      <c r="F777" t="s">
        <v>573</v>
      </c>
      <c r="G777" t="s">
        <v>678</v>
      </c>
      <c r="H777" t="s">
        <v>745</v>
      </c>
      <c r="I777" t="s">
        <v>799</v>
      </c>
      <c r="J777" s="27" t="s">
        <v>524</v>
      </c>
      <c r="K777" s="5" t="s">
        <v>15</v>
      </c>
      <c r="L777" s="1" t="s">
        <v>16</v>
      </c>
      <c r="M777" s="1" t="s">
        <v>45</v>
      </c>
      <c r="N777" s="1" t="s">
        <v>415</v>
      </c>
      <c r="O777" s="1" t="s">
        <v>19</v>
      </c>
      <c r="P777" s="9">
        <v>45299</v>
      </c>
      <c r="Q777" s="1" t="s">
        <v>475</v>
      </c>
      <c r="R777" s="1" t="s">
        <v>50</v>
      </c>
      <c r="S777" s="1">
        <v>1</v>
      </c>
      <c r="T777" s="12">
        <v>0.3125</v>
      </c>
      <c r="U777" s="12">
        <v>0.5</v>
      </c>
      <c r="V777" s="1">
        <v>4.5</v>
      </c>
      <c r="W777" s="1">
        <v>4.5</v>
      </c>
      <c r="X777" s="1">
        <f t="shared" si="47"/>
        <v>4.5</v>
      </c>
      <c r="Y777" s="5" t="str">
        <f t="shared" si="45"/>
        <v>B</v>
      </c>
    </row>
    <row r="778" spans="1:25" x14ac:dyDescent="0.25">
      <c r="B778" s="11">
        <v>45300</v>
      </c>
      <c r="C778" s="7">
        <v>600004195546</v>
      </c>
      <c r="D778" s="4">
        <v>1</v>
      </c>
      <c r="E778" t="s">
        <v>499</v>
      </c>
      <c r="F778" t="s">
        <v>543</v>
      </c>
      <c r="G778" t="s">
        <v>648</v>
      </c>
      <c r="H778" t="s">
        <v>745</v>
      </c>
      <c r="I778" t="s">
        <v>769</v>
      </c>
      <c r="J778" s="28" t="s">
        <v>525</v>
      </c>
      <c r="K778" s="4" t="s">
        <v>15</v>
      </c>
      <c r="L778" s="1" t="s">
        <v>57</v>
      </c>
      <c r="M778" s="1" t="s">
        <v>62</v>
      </c>
      <c r="N778" s="1" t="s">
        <v>120</v>
      </c>
      <c r="O778" s="1" t="s">
        <v>19</v>
      </c>
      <c r="P778" s="9">
        <v>45300</v>
      </c>
      <c r="Q778" s="1" t="s">
        <v>476</v>
      </c>
      <c r="R778" s="1" t="s">
        <v>63</v>
      </c>
      <c r="S778" s="1">
        <v>1</v>
      </c>
      <c r="T778" s="12">
        <v>0.58333333333333337</v>
      </c>
      <c r="U778" s="12">
        <v>0.625</v>
      </c>
      <c r="V778" s="1">
        <v>1</v>
      </c>
      <c r="W778" s="1">
        <v>1</v>
      </c>
      <c r="X778" s="1">
        <f t="shared" si="47"/>
        <v>1</v>
      </c>
      <c r="Y778" s="5" t="str">
        <f t="shared" si="45"/>
        <v>C</v>
      </c>
    </row>
    <row r="779" spans="1:25" x14ac:dyDescent="0.25">
      <c r="B779" s="11">
        <v>45303</v>
      </c>
      <c r="C779" s="7">
        <v>600004196601</v>
      </c>
      <c r="D779" s="5">
        <v>1</v>
      </c>
      <c r="E779" t="s">
        <v>889</v>
      </c>
      <c r="F779" t="s">
        <v>594</v>
      </c>
      <c r="G779" t="s">
        <v>701</v>
      </c>
      <c r="H779" t="s">
        <v>747</v>
      </c>
      <c r="I779" t="s">
        <v>822</v>
      </c>
      <c r="J779" s="27" t="s">
        <v>524</v>
      </c>
      <c r="K779" s="5" t="s">
        <v>191</v>
      </c>
      <c r="L779" s="1" t="s">
        <v>57</v>
      </c>
      <c r="M779" s="1" t="s">
        <v>162</v>
      </c>
      <c r="N779" s="1" t="s">
        <v>67</v>
      </c>
      <c r="O779" s="1" t="s">
        <v>19</v>
      </c>
      <c r="P779" s="9">
        <v>45303</v>
      </c>
      <c r="Q779" s="1" t="s">
        <v>473</v>
      </c>
      <c r="R779" s="1" t="s">
        <v>63</v>
      </c>
      <c r="S779" s="1">
        <v>1</v>
      </c>
      <c r="T779" s="12">
        <v>0.41666666666666669</v>
      </c>
      <c r="U779" s="12">
        <v>0.47916666666666669</v>
      </c>
      <c r="V779" s="1">
        <v>1.5</v>
      </c>
      <c r="W779" s="1">
        <v>1.5</v>
      </c>
      <c r="X779" s="1">
        <f t="shared" si="47"/>
        <v>1.5</v>
      </c>
      <c r="Y779" s="5" t="str">
        <f t="shared" si="45"/>
        <v>C</v>
      </c>
    </row>
    <row r="780" spans="1:25" x14ac:dyDescent="0.25">
      <c r="B780" s="11">
        <v>45335</v>
      </c>
      <c r="C780" s="7">
        <v>600004203678</v>
      </c>
      <c r="D780" s="5">
        <v>1</v>
      </c>
      <c r="E780" t="s">
        <v>862</v>
      </c>
      <c r="F780" t="s">
        <v>569</v>
      </c>
      <c r="G780" t="s">
        <v>674</v>
      </c>
      <c r="H780" t="s">
        <v>745</v>
      </c>
      <c r="I780" t="s">
        <v>795</v>
      </c>
      <c r="J780" s="27" t="s">
        <v>525</v>
      </c>
      <c r="K780" s="5" t="s">
        <v>140</v>
      </c>
      <c r="L780" s="1" t="s">
        <v>57</v>
      </c>
      <c r="M780" s="1" t="s">
        <v>33</v>
      </c>
      <c r="N780" s="1" t="s">
        <v>41</v>
      </c>
      <c r="O780" s="1" t="s">
        <v>19</v>
      </c>
      <c r="P780" s="9">
        <v>45335</v>
      </c>
      <c r="Q780" s="1" t="s">
        <v>481</v>
      </c>
      <c r="R780" s="1" t="s">
        <v>63</v>
      </c>
      <c r="S780" s="1">
        <v>1</v>
      </c>
      <c r="T780" s="12">
        <v>0.25</v>
      </c>
      <c r="U780" s="12">
        <v>0.625</v>
      </c>
      <c r="V780" s="1">
        <v>9</v>
      </c>
      <c r="W780" s="1">
        <v>9</v>
      </c>
      <c r="X780" s="1">
        <f t="shared" ref="X780:X789" si="48">PRODUCT(S780,V780)</f>
        <v>9</v>
      </c>
      <c r="Y780" s="5" t="str">
        <f t="shared" si="45"/>
        <v>A</v>
      </c>
    </row>
    <row r="781" spans="1:25" x14ac:dyDescent="0.25">
      <c r="B781" s="11">
        <v>45335</v>
      </c>
      <c r="C781" s="7">
        <v>600004203682</v>
      </c>
      <c r="D781" s="5">
        <v>1</v>
      </c>
      <c r="E781" t="s">
        <v>900</v>
      </c>
      <c r="F781" t="s">
        <v>605</v>
      </c>
      <c r="G781" t="s">
        <v>712</v>
      </c>
      <c r="H781" t="s">
        <v>745</v>
      </c>
      <c r="I781" t="s">
        <v>833</v>
      </c>
      <c r="J781" s="27" t="s">
        <v>525</v>
      </c>
      <c r="K781" s="5" t="s">
        <v>88</v>
      </c>
      <c r="L781" s="1" t="s">
        <v>36</v>
      </c>
      <c r="M781" s="1" t="s">
        <v>129</v>
      </c>
      <c r="N781" s="1" t="s">
        <v>396</v>
      </c>
      <c r="O781" s="1" t="s">
        <v>176</v>
      </c>
      <c r="P781" s="9">
        <v>45337</v>
      </c>
      <c r="Q781" s="1" t="s">
        <v>481</v>
      </c>
      <c r="R781" s="1" t="s">
        <v>63</v>
      </c>
      <c r="S781" s="1">
        <v>1</v>
      </c>
      <c r="T781" s="12">
        <v>0.25</v>
      </c>
      <c r="U781" s="12">
        <v>0.625</v>
      </c>
      <c r="V781" s="1">
        <v>9</v>
      </c>
      <c r="W781" s="1">
        <v>9</v>
      </c>
      <c r="X781" s="1">
        <f t="shared" si="48"/>
        <v>9</v>
      </c>
      <c r="Y781" s="5" t="str">
        <f t="shared" si="45"/>
        <v>A</v>
      </c>
    </row>
    <row r="782" spans="1:25" x14ac:dyDescent="0.25">
      <c r="B782" s="11">
        <v>45323</v>
      </c>
      <c r="C782" s="7">
        <v>600004201404</v>
      </c>
      <c r="D782" s="5">
        <v>1</v>
      </c>
      <c r="E782" t="s">
        <v>874</v>
      </c>
      <c r="F782" t="s">
        <v>572</v>
      </c>
      <c r="G782" t="s">
        <v>686</v>
      </c>
      <c r="H782" t="s">
        <v>745</v>
      </c>
      <c r="I782" t="s">
        <v>807</v>
      </c>
      <c r="J782" s="27" t="s">
        <v>525</v>
      </c>
      <c r="K782" s="5" t="s">
        <v>168</v>
      </c>
      <c r="L782" s="1" t="s">
        <v>57</v>
      </c>
      <c r="M782" s="1" t="s">
        <v>342</v>
      </c>
      <c r="N782" s="1" t="s">
        <v>343</v>
      </c>
      <c r="O782" s="1" t="s">
        <v>176</v>
      </c>
      <c r="P782" s="9">
        <v>45323</v>
      </c>
      <c r="Q782" s="1" t="s">
        <v>474</v>
      </c>
      <c r="R782" s="1" t="s">
        <v>63</v>
      </c>
      <c r="S782" s="1">
        <v>2</v>
      </c>
      <c r="T782" s="12">
        <v>0.29166666666666669</v>
      </c>
      <c r="U782" s="12">
        <v>0.375</v>
      </c>
      <c r="V782" s="1">
        <v>2</v>
      </c>
      <c r="W782" s="1">
        <v>2</v>
      </c>
      <c r="X782" s="1">
        <f t="shared" si="48"/>
        <v>4</v>
      </c>
      <c r="Y782" s="5" t="str">
        <f t="shared" si="45"/>
        <v>C</v>
      </c>
    </row>
    <row r="783" spans="1:25" x14ac:dyDescent="0.25">
      <c r="B783" s="11">
        <v>45323</v>
      </c>
      <c r="C783" s="7">
        <v>600004201414</v>
      </c>
      <c r="D783" s="5">
        <v>1</v>
      </c>
      <c r="E783" t="s">
        <v>907</v>
      </c>
      <c r="F783" t="s">
        <v>612</v>
      </c>
      <c r="G783" t="s">
        <v>719</v>
      </c>
      <c r="H783" t="s">
        <v>746</v>
      </c>
      <c r="I783" t="s">
        <v>840</v>
      </c>
      <c r="J783" s="26" t="s">
        <v>525</v>
      </c>
      <c r="K783" s="5" t="s">
        <v>357</v>
      </c>
      <c r="L783" s="1" t="s">
        <v>57</v>
      </c>
      <c r="M783" s="1" t="s">
        <v>417</v>
      </c>
      <c r="N783" s="1" t="s">
        <v>359</v>
      </c>
      <c r="O783" s="1" t="s">
        <v>176</v>
      </c>
      <c r="P783" s="9">
        <v>45323</v>
      </c>
      <c r="Q783" s="1" t="s">
        <v>480</v>
      </c>
      <c r="R783" s="1" t="s">
        <v>63</v>
      </c>
      <c r="S783" s="1">
        <v>1</v>
      </c>
      <c r="T783" s="12">
        <v>0.625</v>
      </c>
      <c r="U783" s="12">
        <v>0.66666666666666663</v>
      </c>
      <c r="V783" s="1">
        <v>1</v>
      </c>
      <c r="W783" s="1">
        <v>1</v>
      </c>
      <c r="X783" s="1">
        <f t="shared" si="48"/>
        <v>1</v>
      </c>
      <c r="Y783" s="5" t="str">
        <f t="shared" si="45"/>
        <v>C</v>
      </c>
    </row>
    <row r="784" spans="1:25" x14ac:dyDescent="0.25">
      <c r="B784" s="11">
        <v>45335</v>
      </c>
      <c r="C784" s="7">
        <v>600004203660</v>
      </c>
      <c r="D784" s="5">
        <v>1</v>
      </c>
      <c r="E784" t="s">
        <v>906</v>
      </c>
      <c r="F784" t="s">
        <v>611</v>
      </c>
      <c r="G784" t="s">
        <v>718</v>
      </c>
      <c r="H784" t="s">
        <v>745</v>
      </c>
      <c r="I784" t="s">
        <v>839</v>
      </c>
      <c r="J784" s="27" t="s">
        <v>525</v>
      </c>
      <c r="K784" s="5" t="s">
        <v>339</v>
      </c>
      <c r="L784" s="1" t="s">
        <v>57</v>
      </c>
      <c r="M784" s="1" t="s">
        <v>114</v>
      </c>
      <c r="N784" s="1" t="s">
        <v>115</v>
      </c>
      <c r="O784" s="1" t="s">
        <v>19</v>
      </c>
      <c r="P784" s="9">
        <v>45335</v>
      </c>
      <c r="Q784" s="1" t="s">
        <v>474</v>
      </c>
      <c r="R784" s="1" t="s">
        <v>63</v>
      </c>
      <c r="S784" s="1">
        <v>1</v>
      </c>
      <c r="T784" s="12">
        <v>0.52083333333333337</v>
      </c>
      <c r="U784" s="12">
        <v>0.5625</v>
      </c>
      <c r="V784" s="1">
        <v>1</v>
      </c>
      <c r="W784" s="1">
        <v>1</v>
      </c>
      <c r="X784" s="1">
        <f t="shared" si="48"/>
        <v>1</v>
      </c>
      <c r="Y784" s="5" t="str">
        <f t="shared" si="45"/>
        <v>C</v>
      </c>
    </row>
    <row r="785" spans="2:25" x14ac:dyDescent="0.25">
      <c r="B785" s="11">
        <v>45332</v>
      </c>
      <c r="C785" s="7">
        <v>600004203107</v>
      </c>
      <c r="D785" s="5">
        <v>1</v>
      </c>
      <c r="E785" t="s">
        <v>874</v>
      </c>
      <c r="F785" t="s">
        <v>572</v>
      </c>
      <c r="G785" t="s">
        <v>686</v>
      </c>
      <c r="H785" t="s">
        <v>745</v>
      </c>
      <c r="I785" t="s">
        <v>807</v>
      </c>
      <c r="J785" s="27" t="s">
        <v>525</v>
      </c>
      <c r="K785" s="5" t="s">
        <v>168</v>
      </c>
      <c r="L785" s="1" t="s">
        <v>148</v>
      </c>
      <c r="M785" s="1" t="s">
        <v>45</v>
      </c>
      <c r="N785" s="1" t="s">
        <v>328</v>
      </c>
      <c r="O785" s="1" t="s">
        <v>19</v>
      </c>
      <c r="P785" s="9">
        <v>45332</v>
      </c>
      <c r="Q785" s="1" t="s">
        <v>479</v>
      </c>
      <c r="R785" s="1" t="s">
        <v>63</v>
      </c>
      <c r="S785" s="1">
        <v>2</v>
      </c>
      <c r="T785" s="12">
        <v>0.35416666666666669</v>
      </c>
      <c r="U785" s="12">
        <v>0.41666666666666669</v>
      </c>
      <c r="V785" s="1">
        <v>1.5</v>
      </c>
      <c r="W785" s="1">
        <v>1.5</v>
      </c>
      <c r="X785" s="1">
        <f t="shared" si="48"/>
        <v>3</v>
      </c>
      <c r="Y785" s="5" t="str">
        <f t="shared" si="45"/>
        <v>C</v>
      </c>
    </row>
    <row r="786" spans="2:25" x14ac:dyDescent="0.25">
      <c r="B786" s="11">
        <v>45335</v>
      </c>
      <c r="C786" s="7">
        <v>600004203654</v>
      </c>
      <c r="D786" s="5">
        <v>1</v>
      </c>
      <c r="E786" t="s">
        <v>915</v>
      </c>
      <c r="F786" t="s">
        <v>620</v>
      </c>
      <c r="G786" t="s">
        <v>727</v>
      </c>
      <c r="H786" t="s">
        <v>746</v>
      </c>
      <c r="I786" t="s">
        <v>848</v>
      </c>
      <c r="J786" s="26" t="s">
        <v>525</v>
      </c>
      <c r="K786" s="5" t="s">
        <v>387</v>
      </c>
      <c r="L786" s="1" t="s">
        <v>89</v>
      </c>
      <c r="M786" s="1" t="s">
        <v>57</v>
      </c>
      <c r="N786" s="1" t="s">
        <v>67</v>
      </c>
      <c r="O786" s="1" t="s">
        <v>19</v>
      </c>
      <c r="P786" s="9">
        <v>45335</v>
      </c>
      <c r="Q786" s="1" t="s">
        <v>478</v>
      </c>
      <c r="R786" s="1" t="s">
        <v>63</v>
      </c>
      <c r="S786" s="1">
        <v>2</v>
      </c>
      <c r="T786" s="12">
        <v>0.375</v>
      </c>
      <c r="U786" s="12">
        <v>0.45833333333333331</v>
      </c>
      <c r="V786" s="1">
        <v>2</v>
      </c>
      <c r="W786" s="1">
        <v>2</v>
      </c>
      <c r="X786" s="1">
        <f t="shared" si="48"/>
        <v>4</v>
      </c>
      <c r="Y786" s="5" t="str">
        <f t="shared" si="45"/>
        <v>C</v>
      </c>
    </row>
    <row r="787" spans="2:25" x14ac:dyDescent="0.25">
      <c r="B787" s="11">
        <v>45339</v>
      </c>
      <c r="C787" s="7">
        <v>600004204384</v>
      </c>
      <c r="D787" s="5">
        <v>1</v>
      </c>
      <c r="E787" t="s">
        <v>872</v>
      </c>
      <c r="F787" t="s">
        <v>579</v>
      </c>
      <c r="G787" t="s">
        <v>684</v>
      </c>
      <c r="H787" t="s">
        <v>746</v>
      </c>
      <c r="I787" t="s">
        <v>805</v>
      </c>
      <c r="J787" s="26" t="s">
        <v>525</v>
      </c>
      <c r="K787" s="5" t="s">
        <v>76</v>
      </c>
      <c r="L787" s="5" t="s">
        <v>57</v>
      </c>
      <c r="M787" s="5" t="s">
        <v>135</v>
      </c>
      <c r="N787" s="5" t="s">
        <v>134</v>
      </c>
      <c r="O787" s="5" t="s">
        <v>19</v>
      </c>
      <c r="P787" s="9">
        <v>45339</v>
      </c>
      <c r="Q787" s="1" t="s">
        <v>479</v>
      </c>
      <c r="R787" s="1" t="s">
        <v>63</v>
      </c>
      <c r="S787" s="1">
        <v>1</v>
      </c>
      <c r="T787" s="12">
        <v>0.29166666666666669</v>
      </c>
      <c r="U787" s="12">
        <v>0.375</v>
      </c>
      <c r="V787" s="1">
        <v>2</v>
      </c>
      <c r="W787" s="1">
        <v>2</v>
      </c>
      <c r="X787" s="1">
        <f t="shared" si="48"/>
        <v>2</v>
      </c>
      <c r="Y787" s="5" t="str">
        <f t="shared" si="45"/>
        <v>C</v>
      </c>
    </row>
    <row r="788" spans="2:25" x14ac:dyDescent="0.25">
      <c r="B788" s="11">
        <v>45331</v>
      </c>
      <c r="C788" s="7">
        <v>600004202888</v>
      </c>
      <c r="D788" s="5">
        <v>1</v>
      </c>
      <c r="E788" t="s">
        <v>506</v>
      </c>
      <c r="F788" t="s">
        <v>550</v>
      </c>
      <c r="G788" t="s">
        <v>655</v>
      </c>
      <c r="H788" t="s">
        <v>745</v>
      </c>
      <c r="I788" t="s">
        <v>776</v>
      </c>
      <c r="J788" s="27" t="s">
        <v>525</v>
      </c>
      <c r="K788" s="5" t="s">
        <v>15</v>
      </c>
      <c r="L788" s="1" t="s">
        <v>57</v>
      </c>
      <c r="M788" s="1" t="s">
        <v>148</v>
      </c>
      <c r="N788" s="1" t="s">
        <v>418</v>
      </c>
      <c r="O788" s="1" t="s">
        <v>19</v>
      </c>
      <c r="P788" s="9">
        <v>45331</v>
      </c>
      <c r="Q788" s="1" t="s">
        <v>479</v>
      </c>
      <c r="R788" s="1" t="s">
        <v>63</v>
      </c>
      <c r="S788" s="1">
        <v>2</v>
      </c>
      <c r="T788" s="12">
        <v>0.25</v>
      </c>
      <c r="U788" s="12">
        <v>0.58333333333333337</v>
      </c>
      <c r="V788" s="1">
        <v>8</v>
      </c>
      <c r="W788" s="1">
        <v>8</v>
      </c>
      <c r="X788" s="1">
        <f t="shared" si="48"/>
        <v>16</v>
      </c>
      <c r="Y788" s="5" t="str">
        <f t="shared" si="45"/>
        <v>B</v>
      </c>
    </row>
    <row r="789" spans="2:25" x14ac:dyDescent="0.25">
      <c r="B789" s="11">
        <v>45337</v>
      </c>
      <c r="C789" s="7">
        <v>600004203960</v>
      </c>
      <c r="D789" s="1">
        <v>1</v>
      </c>
      <c r="E789" t="s">
        <v>884</v>
      </c>
      <c r="F789" t="s">
        <v>590</v>
      </c>
      <c r="G789" t="s">
        <v>696</v>
      </c>
      <c r="H789" t="s">
        <v>745</v>
      </c>
      <c r="I789" t="s">
        <v>817</v>
      </c>
      <c r="J789" s="26" t="s">
        <v>525</v>
      </c>
      <c r="K789" s="1" t="s">
        <v>44</v>
      </c>
      <c r="L789" s="1" t="s">
        <v>57</v>
      </c>
      <c r="M789" s="1" t="s">
        <v>419</v>
      </c>
      <c r="N789" s="1" t="s">
        <v>420</v>
      </c>
      <c r="O789" s="1" t="s">
        <v>19</v>
      </c>
      <c r="P789" s="9">
        <v>45337</v>
      </c>
      <c r="Q789" s="1" t="s">
        <v>475</v>
      </c>
      <c r="R789" s="1" t="s">
        <v>50</v>
      </c>
      <c r="S789" s="1">
        <v>1</v>
      </c>
      <c r="T789" s="12">
        <v>0.45833333333333331</v>
      </c>
      <c r="U789" s="12">
        <v>0.54166666666666663</v>
      </c>
      <c r="V789" s="1">
        <v>2</v>
      </c>
      <c r="W789" s="1">
        <v>2</v>
      </c>
      <c r="X789" s="1">
        <f t="shared" si="48"/>
        <v>2</v>
      </c>
      <c r="Y789" s="5" t="str">
        <f t="shared" si="45"/>
        <v>C</v>
      </c>
    </row>
    <row r="790" spans="2:25" x14ac:dyDescent="0.25">
      <c r="B790" s="11">
        <v>45355</v>
      </c>
      <c r="C790" s="7">
        <v>600004208610</v>
      </c>
      <c r="D790" s="5">
        <v>1</v>
      </c>
      <c r="E790" t="s">
        <v>501</v>
      </c>
      <c r="F790" t="s">
        <v>545</v>
      </c>
      <c r="G790" t="s">
        <v>650</v>
      </c>
      <c r="H790" t="s">
        <v>740</v>
      </c>
      <c r="I790" t="s">
        <v>771</v>
      </c>
      <c r="J790" s="27" t="s">
        <v>524</v>
      </c>
      <c r="K790" s="5" t="s">
        <v>70</v>
      </c>
      <c r="L790" s="1" t="s">
        <v>36</v>
      </c>
      <c r="M790" s="1" t="s">
        <v>391</v>
      </c>
      <c r="N790" s="1" t="s">
        <v>112</v>
      </c>
      <c r="O790" s="1" t="s">
        <v>19</v>
      </c>
      <c r="P790" s="9">
        <v>45356</v>
      </c>
      <c r="Q790" s="1" t="s">
        <v>474</v>
      </c>
      <c r="R790" s="1" t="s">
        <v>63</v>
      </c>
      <c r="S790" s="1">
        <v>2</v>
      </c>
      <c r="T790" s="12">
        <v>0.29166666666666669</v>
      </c>
      <c r="U790" s="12">
        <v>0.47916666666666669</v>
      </c>
      <c r="V790" s="1">
        <v>4.5</v>
      </c>
      <c r="W790" s="1">
        <v>4.5</v>
      </c>
      <c r="X790" s="1">
        <f t="shared" ref="X790:X797" si="49">PRODUCT(S790,V790)</f>
        <v>9</v>
      </c>
      <c r="Y790" s="5" t="str">
        <f t="shared" si="45"/>
        <v>B</v>
      </c>
    </row>
    <row r="791" spans="2:25" x14ac:dyDescent="0.25">
      <c r="B791" s="11">
        <v>45358</v>
      </c>
      <c r="C791" s="7">
        <v>600004209509</v>
      </c>
      <c r="D791" s="5">
        <v>1</v>
      </c>
      <c r="E791" t="s">
        <v>882</v>
      </c>
      <c r="F791" t="s">
        <v>588</v>
      </c>
      <c r="G791" t="s">
        <v>694</v>
      </c>
      <c r="H791" t="s">
        <v>745</v>
      </c>
      <c r="I791" t="s">
        <v>815</v>
      </c>
      <c r="J791" s="27" t="s">
        <v>525</v>
      </c>
      <c r="K791" s="5" t="s">
        <v>15</v>
      </c>
      <c r="L791" s="1" t="s">
        <v>16</v>
      </c>
      <c r="M791" s="1" t="s">
        <v>281</v>
      </c>
      <c r="N791" s="1" t="s">
        <v>378</v>
      </c>
      <c r="O791" s="1" t="s">
        <v>19</v>
      </c>
      <c r="P791" s="9">
        <v>45358</v>
      </c>
      <c r="Q791" s="1" t="s">
        <v>479</v>
      </c>
      <c r="R791" s="1" t="s">
        <v>63</v>
      </c>
      <c r="S791" s="1">
        <v>2</v>
      </c>
      <c r="T791" s="12">
        <v>0.625</v>
      </c>
      <c r="U791" s="12">
        <v>0.66666666666666663</v>
      </c>
      <c r="V791" s="1">
        <v>1</v>
      </c>
      <c r="W791" s="1">
        <v>1</v>
      </c>
      <c r="X791" s="1">
        <f t="shared" si="49"/>
        <v>2</v>
      </c>
      <c r="Y791" s="5" t="str">
        <f t="shared" si="45"/>
        <v>C</v>
      </c>
    </row>
    <row r="792" spans="2:25" x14ac:dyDescent="0.25">
      <c r="B792" s="11">
        <v>45359</v>
      </c>
      <c r="C792" s="7">
        <v>600004209656</v>
      </c>
      <c r="D792" s="5">
        <v>1</v>
      </c>
      <c r="E792" t="s">
        <v>874</v>
      </c>
      <c r="F792" t="s">
        <v>572</v>
      </c>
      <c r="G792" t="s">
        <v>686</v>
      </c>
      <c r="H792" t="s">
        <v>745</v>
      </c>
      <c r="I792" t="s">
        <v>807</v>
      </c>
      <c r="J792" s="27" t="s">
        <v>525</v>
      </c>
      <c r="K792" s="5" t="s">
        <v>168</v>
      </c>
      <c r="L792" s="1" t="s">
        <v>71</v>
      </c>
      <c r="M792" s="1" t="s">
        <v>57</v>
      </c>
      <c r="N792" s="1" t="s">
        <v>56</v>
      </c>
      <c r="O792" s="1" t="s">
        <v>19</v>
      </c>
      <c r="P792" s="9">
        <v>45359</v>
      </c>
      <c r="Q792" s="1" t="s">
        <v>479</v>
      </c>
      <c r="R792" s="1" t="s">
        <v>63</v>
      </c>
      <c r="S792" s="1">
        <v>1</v>
      </c>
      <c r="T792" s="12">
        <v>0.29166666666666669</v>
      </c>
      <c r="U792" s="12">
        <v>0.375</v>
      </c>
      <c r="V792" s="1">
        <v>2</v>
      </c>
      <c r="W792" s="1">
        <v>2</v>
      </c>
      <c r="X792" s="1">
        <f t="shared" si="49"/>
        <v>2</v>
      </c>
      <c r="Y792" s="5" t="str">
        <f t="shared" si="45"/>
        <v>C</v>
      </c>
    </row>
    <row r="793" spans="2:25" x14ac:dyDescent="0.25">
      <c r="B793" s="11">
        <v>45358</v>
      </c>
      <c r="C793" s="7">
        <v>600004209472</v>
      </c>
      <c r="D793" s="5">
        <v>1</v>
      </c>
      <c r="E793" t="s">
        <v>894</v>
      </c>
      <c r="F793" t="s">
        <v>599</v>
      </c>
      <c r="G793" t="s">
        <v>706</v>
      </c>
      <c r="H793" t="s">
        <v>741</v>
      </c>
      <c r="I793" t="s">
        <v>827</v>
      </c>
      <c r="J793" s="27" t="s">
        <v>524</v>
      </c>
      <c r="K793" s="5" t="s">
        <v>90</v>
      </c>
      <c r="L793" s="1" t="s">
        <v>57</v>
      </c>
      <c r="M793" s="1" t="s">
        <v>421</v>
      </c>
      <c r="N793" s="1" t="s">
        <v>364</v>
      </c>
      <c r="O793" s="1" t="s">
        <v>19</v>
      </c>
      <c r="P793" s="9">
        <v>45358</v>
      </c>
      <c r="Q793" s="1" t="s">
        <v>474</v>
      </c>
      <c r="R793" s="1" t="s">
        <v>63</v>
      </c>
      <c r="S793" s="1">
        <v>2</v>
      </c>
      <c r="T793" s="12">
        <v>0.33333333333333331</v>
      </c>
      <c r="U793" s="12">
        <v>0.41666666666666669</v>
      </c>
      <c r="V793" s="1">
        <v>2</v>
      </c>
      <c r="W793" s="1">
        <v>2</v>
      </c>
      <c r="X793" s="1">
        <f t="shared" si="49"/>
        <v>4</v>
      </c>
      <c r="Y793" s="5" t="str">
        <f t="shared" si="45"/>
        <v>C</v>
      </c>
    </row>
    <row r="794" spans="2:25" x14ac:dyDescent="0.25">
      <c r="B794" s="11">
        <v>45356</v>
      </c>
      <c r="C794" s="7">
        <v>600004208926</v>
      </c>
      <c r="D794" s="5">
        <v>1</v>
      </c>
      <c r="E794" t="s">
        <v>918</v>
      </c>
      <c r="F794" t="s">
        <v>622</v>
      </c>
      <c r="G794" t="s">
        <v>730</v>
      </c>
      <c r="H794" t="s">
        <v>745</v>
      </c>
      <c r="I794" t="s">
        <v>851</v>
      </c>
      <c r="J794" s="26" t="s">
        <v>525</v>
      </c>
      <c r="K794" s="5" t="s">
        <v>15</v>
      </c>
      <c r="L794" s="1" t="s">
        <v>71</v>
      </c>
      <c r="M794" s="1" t="s">
        <v>55</v>
      </c>
      <c r="N794" s="1" t="s">
        <v>124</v>
      </c>
      <c r="O794" s="1" t="s">
        <v>19</v>
      </c>
      <c r="P794" s="9">
        <v>45356</v>
      </c>
      <c r="Q794" s="1" t="s">
        <v>479</v>
      </c>
      <c r="R794" s="1" t="s">
        <v>63</v>
      </c>
      <c r="S794" s="1">
        <v>2</v>
      </c>
      <c r="T794" s="12">
        <v>0.29166666666666669</v>
      </c>
      <c r="U794" s="12">
        <v>0.39583333333333331</v>
      </c>
      <c r="V794" s="1">
        <v>2.5</v>
      </c>
      <c r="W794" s="1">
        <v>2.5</v>
      </c>
      <c r="X794" s="1">
        <f t="shared" si="49"/>
        <v>5</v>
      </c>
      <c r="Y794" s="5" t="str">
        <f t="shared" si="45"/>
        <v>B</v>
      </c>
    </row>
    <row r="795" spans="2:25" x14ac:dyDescent="0.25">
      <c r="B795" s="11">
        <v>45355</v>
      </c>
      <c r="C795" s="7">
        <v>600004208716</v>
      </c>
      <c r="D795" s="5">
        <v>1</v>
      </c>
      <c r="E795" t="s">
        <v>494</v>
      </c>
      <c r="F795" t="s">
        <v>538</v>
      </c>
      <c r="G795" t="s">
        <v>643</v>
      </c>
      <c r="H795" t="s">
        <v>745</v>
      </c>
      <c r="I795" t="s">
        <v>764</v>
      </c>
      <c r="J795" s="29" t="s">
        <v>525</v>
      </c>
      <c r="K795" s="4" t="s">
        <v>15</v>
      </c>
      <c r="L795" s="1" t="s">
        <v>89</v>
      </c>
      <c r="M795" s="1" t="s">
        <v>57</v>
      </c>
      <c r="N795" s="1" t="s">
        <v>67</v>
      </c>
      <c r="O795" s="1" t="s">
        <v>176</v>
      </c>
      <c r="P795" s="9">
        <v>45355</v>
      </c>
      <c r="Q795" s="1" t="s">
        <v>479</v>
      </c>
      <c r="R795" s="1" t="s">
        <v>63</v>
      </c>
      <c r="S795" s="1">
        <v>2</v>
      </c>
      <c r="T795" s="12">
        <v>0.29166666666666669</v>
      </c>
      <c r="U795" s="12">
        <v>0.33333333333333331</v>
      </c>
      <c r="V795" s="1">
        <v>1</v>
      </c>
      <c r="W795" s="1">
        <v>1</v>
      </c>
      <c r="X795" s="1">
        <f t="shared" si="49"/>
        <v>2</v>
      </c>
      <c r="Y795" s="5" t="str">
        <f t="shared" si="45"/>
        <v>C</v>
      </c>
    </row>
    <row r="796" spans="2:25" x14ac:dyDescent="0.25">
      <c r="B796" s="11">
        <v>45357</v>
      </c>
      <c r="C796" s="7">
        <v>600004209301</v>
      </c>
      <c r="D796" s="5">
        <v>1</v>
      </c>
      <c r="E796" t="s">
        <v>489</v>
      </c>
      <c r="F796" t="s">
        <v>533</v>
      </c>
      <c r="G796" t="s">
        <v>638</v>
      </c>
      <c r="H796" t="s">
        <v>745</v>
      </c>
      <c r="I796" t="s">
        <v>759</v>
      </c>
      <c r="J796" s="27" t="s">
        <v>525</v>
      </c>
      <c r="K796" s="5" t="s">
        <v>15</v>
      </c>
      <c r="L796" s="1" t="s">
        <v>137</v>
      </c>
      <c r="M796" s="1" t="s">
        <v>65</v>
      </c>
      <c r="N796" s="1" t="s">
        <v>67</v>
      </c>
      <c r="O796" s="1" t="s">
        <v>19</v>
      </c>
      <c r="P796" s="9">
        <v>45358</v>
      </c>
      <c r="Q796" s="1" t="s">
        <v>479</v>
      </c>
      <c r="R796" s="1" t="s">
        <v>63</v>
      </c>
      <c r="S796" s="1">
        <v>4</v>
      </c>
      <c r="T796" s="12">
        <v>0.58333333333333337</v>
      </c>
      <c r="U796" s="12">
        <v>0.66666666666666663</v>
      </c>
      <c r="V796" s="1">
        <v>2</v>
      </c>
      <c r="W796" s="1">
        <v>2</v>
      </c>
      <c r="X796" s="1">
        <f t="shared" si="49"/>
        <v>8</v>
      </c>
      <c r="Y796" s="5" t="str">
        <f t="shared" si="45"/>
        <v>C</v>
      </c>
    </row>
    <row r="797" spans="2:25" x14ac:dyDescent="0.25">
      <c r="B797" s="11">
        <v>45357</v>
      </c>
      <c r="C797" s="7">
        <v>600004209178</v>
      </c>
      <c r="D797" s="5">
        <v>1</v>
      </c>
      <c r="E797" t="s">
        <v>515</v>
      </c>
      <c r="F797" t="s">
        <v>559</v>
      </c>
      <c r="G797" t="s">
        <v>664</v>
      </c>
      <c r="H797" t="s">
        <v>745</v>
      </c>
      <c r="I797" t="s">
        <v>785</v>
      </c>
      <c r="J797" s="26" t="s">
        <v>525</v>
      </c>
      <c r="K797" s="5" t="s">
        <v>122</v>
      </c>
      <c r="L797" s="1" t="s">
        <v>89</v>
      </c>
      <c r="M797" s="1" t="s">
        <v>57</v>
      </c>
      <c r="N797" s="1" t="s">
        <v>45</v>
      </c>
      <c r="O797" s="1" t="s">
        <v>19</v>
      </c>
      <c r="P797" s="9">
        <v>45357</v>
      </c>
      <c r="Q797" s="1" t="s">
        <v>475</v>
      </c>
      <c r="R797" s="1" t="s">
        <v>63</v>
      </c>
      <c r="S797" s="1">
        <v>1</v>
      </c>
      <c r="T797" s="12">
        <v>0.29166666666666669</v>
      </c>
      <c r="U797" s="12">
        <v>0.5</v>
      </c>
      <c r="V797" s="1">
        <v>5</v>
      </c>
      <c r="W797" s="1">
        <v>5</v>
      </c>
      <c r="X797" s="1">
        <f t="shared" si="49"/>
        <v>5</v>
      </c>
      <c r="Y797" s="5" t="str">
        <f t="shared" si="45"/>
        <v>B</v>
      </c>
    </row>
    <row r="798" spans="2:25" x14ac:dyDescent="0.25">
      <c r="B798" s="11">
        <v>45356</v>
      </c>
      <c r="C798" s="7">
        <v>600004209009</v>
      </c>
      <c r="D798" s="5">
        <v>1</v>
      </c>
      <c r="E798" t="s">
        <v>918</v>
      </c>
      <c r="F798" t="s">
        <v>622</v>
      </c>
      <c r="G798" t="s">
        <v>730</v>
      </c>
      <c r="H798" t="s">
        <v>745</v>
      </c>
      <c r="I798" t="s">
        <v>851</v>
      </c>
      <c r="J798" s="26" t="s">
        <v>525</v>
      </c>
      <c r="K798" s="5" t="s">
        <v>15</v>
      </c>
      <c r="L798" s="1" t="s">
        <v>79</v>
      </c>
      <c r="M798" s="1" t="s">
        <v>57</v>
      </c>
      <c r="N798" s="1" t="s">
        <v>204</v>
      </c>
      <c r="O798" s="1" t="s">
        <v>19</v>
      </c>
      <c r="P798" s="9">
        <v>45356</v>
      </c>
      <c r="Q798" s="1" t="s">
        <v>478</v>
      </c>
      <c r="R798" s="1" t="s">
        <v>50</v>
      </c>
      <c r="S798" s="1">
        <v>1</v>
      </c>
      <c r="T798" s="12">
        <v>0.54166666666666663</v>
      </c>
      <c r="U798" s="12">
        <v>0.625</v>
      </c>
      <c r="V798" s="1">
        <v>2</v>
      </c>
      <c r="W798" s="1">
        <v>2</v>
      </c>
      <c r="X798" s="1">
        <f t="shared" ref="X798:X810" si="50">PRODUCT(S798,V798)</f>
        <v>2</v>
      </c>
      <c r="Y798" s="5" t="str">
        <f t="shared" si="45"/>
        <v>C</v>
      </c>
    </row>
    <row r="799" spans="2:25" x14ac:dyDescent="0.25">
      <c r="B799" s="11">
        <v>45355</v>
      </c>
      <c r="C799" s="7">
        <v>600004208545</v>
      </c>
      <c r="D799" s="5">
        <v>1</v>
      </c>
      <c r="E799" t="s">
        <v>483</v>
      </c>
      <c r="F799" t="s">
        <v>527</v>
      </c>
      <c r="G799" t="s">
        <v>632</v>
      </c>
      <c r="H799" t="s">
        <v>741</v>
      </c>
      <c r="I799" t="s">
        <v>753</v>
      </c>
      <c r="J799" s="27" t="s">
        <v>524</v>
      </c>
      <c r="K799" s="5" t="s">
        <v>90</v>
      </c>
      <c r="L799" s="1" t="s">
        <v>79</v>
      </c>
      <c r="M799" s="1" t="s">
        <v>57</v>
      </c>
      <c r="N799" s="1" t="s">
        <v>146</v>
      </c>
      <c r="O799" s="1" t="s">
        <v>19</v>
      </c>
      <c r="P799" s="9">
        <v>45355</v>
      </c>
      <c r="Q799" s="1" t="s">
        <v>478</v>
      </c>
      <c r="R799" s="1" t="s">
        <v>50</v>
      </c>
      <c r="S799" s="1">
        <v>1</v>
      </c>
      <c r="T799" s="12">
        <v>0.41666666666666669</v>
      </c>
      <c r="U799" s="12">
        <v>0.5</v>
      </c>
      <c r="V799" s="1">
        <v>2</v>
      </c>
      <c r="W799" s="1">
        <v>2</v>
      </c>
      <c r="X799" s="1">
        <f t="shared" si="50"/>
        <v>2</v>
      </c>
      <c r="Y799" s="5" t="str">
        <f t="shared" si="45"/>
        <v>C</v>
      </c>
    </row>
    <row r="800" spans="2:25" x14ac:dyDescent="0.25">
      <c r="B800" s="11">
        <v>45392</v>
      </c>
      <c r="C800" s="7">
        <v>600004218031</v>
      </c>
      <c r="D800" s="5">
        <v>1</v>
      </c>
      <c r="E800" t="s">
        <v>903</v>
      </c>
      <c r="F800" t="s">
        <v>608</v>
      </c>
      <c r="G800" t="s">
        <v>715</v>
      </c>
      <c r="H800" t="s">
        <v>745</v>
      </c>
      <c r="I800" t="s">
        <v>836</v>
      </c>
      <c r="J800" s="27" t="s">
        <v>525</v>
      </c>
      <c r="K800" s="5" t="s">
        <v>319</v>
      </c>
      <c r="L800" s="1" t="s">
        <v>297</v>
      </c>
      <c r="M800" s="1" t="s">
        <v>55</v>
      </c>
      <c r="N800" s="1" t="s">
        <v>422</v>
      </c>
      <c r="O800" s="1" t="s">
        <v>176</v>
      </c>
      <c r="P800" s="9">
        <v>45392</v>
      </c>
      <c r="Q800" s="1" t="s">
        <v>473</v>
      </c>
      <c r="R800" s="1" t="s">
        <v>63</v>
      </c>
      <c r="S800" s="1">
        <v>2</v>
      </c>
      <c r="T800" s="12">
        <v>0.45833333333333331</v>
      </c>
      <c r="U800" s="12">
        <v>0.66666666666666663</v>
      </c>
      <c r="V800" s="1">
        <v>5</v>
      </c>
      <c r="W800" s="1">
        <v>5</v>
      </c>
      <c r="X800" s="1">
        <f t="shared" si="50"/>
        <v>10</v>
      </c>
      <c r="Y800" s="5" t="str">
        <f t="shared" si="45"/>
        <v>B</v>
      </c>
    </row>
    <row r="801" spans="2:25" x14ac:dyDescent="0.25">
      <c r="B801" s="11">
        <v>45397</v>
      </c>
      <c r="C801" s="7">
        <v>600004219109</v>
      </c>
      <c r="D801" s="5">
        <v>1</v>
      </c>
      <c r="E801" t="s">
        <v>916</v>
      </c>
      <c r="F801" t="s">
        <v>621</v>
      </c>
      <c r="G801" t="s">
        <v>728</v>
      </c>
      <c r="H801" t="s">
        <v>745</v>
      </c>
      <c r="I801" t="s">
        <v>849</v>
      </c>
      <c r="J801" s="26" t="s">
        <v>525</v>
      </c>
      <c r="K801" s="5" t="s">
        <v>15</v>
      </c>
      <c r="L801" s="1" t="s">
        <v>16</v>
      </c>
      <c r="M801" s="1" t="s">
        <v>65</v>
      </c>
      <c r="N801" s="1" t="s">
        <v>52</v>
      </c>
      <c r="O801" s="1" t="s">
        <v>19</v>
      </c>
      <c r="P801" s="9">
        <v>45397</v>
      </c>
      <c r="Q801" s="1" t="s">
        <v>477</v>
      </c>
      <c r="R801" s="1" t="s">
        <v>63</v>
      </c>
      <c r="S801" s="1">
        <v>2</v>
      </c>
      <c r="T801" s="12">
        <v>0.52083333333333337</v>
      </c>
      <c r="U801" s="12">
        <v>0.5625</v>
      </c>
      <c r="V801" s="1">
        <v>1</v>
      </c>
      <c r="W801" s="1">
        <v>1</v>
      </c>
      <c r="X801" s="1">
        <f t="shared" si="50"/>
        <v>2</v>
      </c>
      <c r="Y801" s="5" t="str">
        <f t="shared" si="45"/>
        <v>C</v>
      </c>
    </row>
    <row r="802" spans="2:25" x14ac:dyDescent="0.25">
      <c r="B802" s="11">
        <v>45398</v>
      </c>
      <c r="C802" s="7">
        <v>600004219305</v>
      </c>
      <c r="D802" s="5">
        <v>1</v>
      </c>
      <c r="E802" t="s">
        <v>900</v>
      </c>
      <c r="F802" t="s">
        <v>605</v>
      </c>
      <c r="G802" t="s">
        <v>712</v>
      </c>
      <c r="H802" t="s">
        <v>745</v>
      </c>
      <c r="I802" t="s">
        <v>833</v>
      </c>
      <c r="J802" s="27" t="s">
        <v>525</v>
      </c>
      <c r="K802" s="5" t="s">
        <v>88</v>
      </c>
      <c r="L802" s="1" t="s">
        <v>89</v>
      </c>
      <c r="M802" s="1" t="s">
        <v>57</v>
      </c>
      <c r="N802" s="1" t="s">
        <v>67</v>
      </c>
      <c r="O802" s="1" t="s">
        <v>19</v>
      </c>
      <c r="P802" s="9">
        <v>45398</v>
      </c>
      <c r="Q802" s="1" t="s">
        <v>477</v>
      </c>
      <c r="R802" s="1" t="s">
        <v>63</v>
      </c>
      <c r="S802" s="1">
        <v>1</v>
      </c>
      <c r="T802" s="12">
        <v>0.3125</v>
      </c>
      <c r="U802" s="12">
        <v>0.41666666666666669</v>
      </c>
      <c r="V802" s="1">
        <v>2.5</v>
      </c>
      <c r="W802" s="1">
        <v>2.5</v>
      </c>
      <c r="X802" s="1">
        <f t="shared" si="50"/>
        <v>2.5</v>
      </c>
      <c r="Y802" s="5" t="str">
        <f t="shared" si="45"/>
        <v>B</v>
      </c>
    </row>
    <row r="803" spans="2:25" x14ac:dyDescent="0.25">
      <c r="B803" s="11">
        <v>45391</v>
      </c>
      <c r="C803" s="7">
        <v>600004217759</v>
      </c>
      <c r="D803" s="5">
        <v>1</v>
      </c>
      <c r="E803" t="s">
        <v>493</v>
      </c>
      <c r="F803" t="s">
        <v>537</v>
      </c>
      <c r="G803" t="s">
        <v>642</v>
      </c>
      <c r="H803" t="s">
        <v>745</v>
      </c>
      <c r="I803" t="s">
        <v>763</v>
      </c>
      <c r="J803" s="27" t="s">
        <v>525</v>
      </c>
      <c r="K803" s="5" t="s">
        <v>15</v>
      </c>
      <c r="L803" s="1" t="s">
        <v>71</v>
      </c>
      <c r="M803" s="1" t="s">
        <v>57</v>
      </c>
      <c r="N803" s="1" t="s">
        <v>84</v>
      </c>
      <c r="O803" s="1" t="s">
        <v>19</v>
      </c>
      <c r="P803" s="9">
        <v>45391</v>
      </c>
      <c r="Q803" s="1" t="s">
        <v>476</v>
      </c>
      <c r="R803" s="1" t="s">
        <v>63</v>
      </c>
      <c r="S803" s="1">
        <v>2</v>
      </c>
      <c r="T803" s="12">
        <v>0.375</v>
      </c>
      <c r="U803" s="12">
        <v>0.45833333333333331</v>
      </c>
      <c r="V803" s="1">
        <v>2</v>
      </c>
      <c r="W803" s="1">
        <v>2</v>
      </c>
      <c r="X803" s="1">
        <f t="shared" si="50"/>
        <v>4</v>
      </c>
      <c r="Y803" s="5" t="str">
        <f t="shared" si="45"/>
        <v>C</v>
      </c>
    </row>
    <row r="804" spans="2:25" x14ac:dyDescent="0.25">
      <c r="B804" s="11">
        <v>45391</v>
      </c>
      <c r="C804" s="7">
        <v>600004217760</v>
      </c>
      <c r="D804" s="1">
        <v>1</v>
      </c>
      <c r="E804" t="s">
        <v>881</v>
      </c>
      <c r="F804" t="s">
        <v>587</v>
      </c>
      <c r="G804" t="s">
        <v>693</v>
      </c>
      <c r="H804" t="s">
        <v>745</v>
      </c>
      <c r="I804" t="s">
        <v>814</v>
      </c>
      <c r="J804" s="26" t="s">
        <v>525</v>
      </c>
      <c r="K804" s="1" t="s">
        <v>44</v>
      </c>
      <c r="L804" s="1" t="s">
        <v>57</v>
      </c>
      <c r="M804" s="1" t="s">
        <v>114</v>
      </c>
      <c r="N804" s="1" t="s">
        <v>115</v>
      </c>
      <c r="O804" s="1" t="s">
        <v>19</v>
      </c>
      <c r="P804" s="9">
        <v>45392</v>
      </c>
      <c r="Q804" s="1" t="s">
        <v>476</v>
      </c>
      <c r="R804" s="1" t="s">
        <v>63</v>
      </c>
      <c r="S804" s="1">
        <v>1</v>
      </c>
      <c r="T804" s="12">
        <v>0.54166666666666663</v>
      </c>
      <c r="U804" s="12">
        <v>0.625</v>
      </c>
      <c r="V804" s="1">
        <v>2</v>
      </c>
      <c r="W804" s="1">
        <v>2</v>
      </c>
      <c r="X804" s="1">
        <f t="shared" si="50"/>
        <v>2</v>
      </c>
      <c r="Y804" s="5" t="str">
        <f t="shared" si="45"/>
        <v>C</v>
      </c>
    </row>
    <row r="805" spans="2:25" x14ac:dyDescent="0.25">
      <c r="B805" s="11">
        <v>45394</v>
      </c>
      <c r="C805" s="7">
        <v>600004218338</v>
      </c>
      <c r="D805" s="5">
        <v>1</v>
      </c>
      <c r="E805" t="s">
        <v>507</v>
      </c>
      <c r="F805" t="s">
        <v>551</v>
      </c>
      <c r="G805" t="s">
        <v>656</v>
      </c>
      <c r="H805" t="s">
        <v>745</v>
      </c>
      <c r="I805" t="s">
        <v>777</v>
      </c>
      <c r="J805" s="27" t="s">
        <v>525</v>
      </c>
      <c r="K805" s="5" t="s">
        <v>15</v>
      </c>
      <c r="L805" s="1" t="s">
        <v>71</v>
      </c>
      <c r="M805" s="1" t="s">
        <v>57</v>
      </c>
      <c r="N805" s="1" t="s">
        <v>116</v>
      </c>
      <c r="O805" s="1" t="s">
        <v>19</v>
      </c>
      <c r="P805" s="9">
        <v>45394</v>
      </c>
      <c r="Q805" s="1" t="s">
        <v>479</v>
      </c>
      <c r="R805" s="1" t="s">
        <v>63</v>
      </c>
      <c r="S805" s="1">
        <v>1</v>
      </c>
      <c r="T805" s="12">
        <v>0.29166666666666669</v>
      </c>
      <c r="U805" s="12">
        <v>0.33333333333333331</v>
      </c>
      <c r="V805" s="1">
        <v>1</v>
      </c>
      <c r="W805" s="1">
        <v>1</v>
      </c>
      <c r="X805" s="1">
        <f t="shared" si="50"/>
        <v>1</v>
      </c>
      <c r="Y805" s="5" t="str">
        <f t="shared" si="45"/>
        <v>C</v>
      </c>
    </row>
    <row r="806" spans="2:25" x14ac:dyDescent="0.25">
      <c r="B806" s="11">
        <v>45393</v>
      </c>
      <c r="C806" s="7">
        <v>600004218204</v>
      </c>
      <c r="D806" s="5">
        <v>1</v>
      </c>
      <c r="E806" t="s">
        <v>914</v>
      </c>
      <c r="F806" t="s">
        <v>619</v>
      </c>
      <c r="G806" t="s">
        <v>726</v>
      </c>
      <c r="H806" t="s">
        <v>746</v>
      </c>
      <c r="I806" t="s">
        <v>847</v>
      </c>
      <c r="J806" s="26" t="s">
        <v>525</v>
      </c>
      <c r="K806" s="5" t="s">
        <v>185</v>
      </c>
      <c r="L806" s="1" t="s">
        <v>57</v>
      </c>
      <c r="M806" s="1" t="s">
        <v>423</v>
      </c>
      <c r="N806" s="1" t="s">
        <v>424</v>
      </c>
      <c r="O806" s="1" t="s">
        <v>176</v>
      </c>
      <c r="P806" s="9">
        <v>45393</v>
      </c>
      <c r="Q806" s="1" t="s">
        <v>477</v>
      </c>
      <c r="R806" s="1" t="s">
        <v>63</v>
      </c>
      <c r="S806" s="1">
        <v>1</v>
      </c>
      <c r="T806" s="12">
        <v>0.5625</v>
      </c>
      <c r="U806" s="12">
        <v>0.625</v>
      </c>
      <c r="V806" s="1">
        <v>1.5</v>
      </c>
      <c r="W806" s="1">
        <v>1.5</v>
      </c>
      <c r="X806" s="1">
        <f t="shared" si="50"/>
        <v>1.5</v>
      </c>
      <c r="Y806" s="5" t="str">
        <f t="shared" si="45"/>
        <v>C</v>
      </c>
    </row>
    <row r="807" spans="2:25" x14ac:dyDescent="0.25">
      <c r="B807" s="11">
        <v>45387</v>
      </c>
      <c r="C807" s="7">
        <v>600004216884</v>
      </c>
      <c r="D807" s="1">
        <v>1</v>
      </c>
      <c r="E807" t="s">
        <v>884</v>
      </c>
      <c r="F807" t="s">
        <v>590</v>
      </c>
      <c r="G807" t="s">
        <v>696</v>
      </c>
      <c r="H807" t="s">
        <v>745</v>
      </c>
      <c r="I807" t="s">
        <v>817</v>
      </c>
      <c r="J807" s="26" t="s">
        <v>525</v>
      </c>
      <c r="K807" s="1" t="s">
        <v>44</v>
      </c>
      <c r="L807" s="1" t="s">
        <v>79</v>
      </c>
      <c r="M807" s="1" t="s">
        <v>57</v>
      </c>
      <c r="N807" s="1" t="s">
        <v>146</v>
      </c>
      <c r="O807" s="1" t="s">
        <v>176</v>
      </c>
      <c r="P807" s="9">
        <v>45388</v>
      </c>
      <c r="Q807" s="1" t="s">
        <v>475</v>
      </c>
      <c r="R807" s="1" t="s">
        <v>50</v>
      </c>
      <c r="S807" s="1">
        <v>1</v>
      </c>
      <c r="T807" s="12">
        <v>0.29166666666666669</v>
      </c>
      <c r="U807" s="12">
        <v>0.625</v>
      </c>
      <c r="V807" s="1">
        <v>8</v>
      </c>
      <c r="W807" s="1">
        <v>8</v>
      </c>
      <c r="X807" s="1">
        <f t="shared" si="50"/>
        <v>8</v>
      </c>
      <c r="Y807" s="5" t="str">
        <f t="shared" si="45"/>
        <v>B</v>
      </c>
    </row>
    <row r="808" spans="2:25" x14ac:dyDescent="0.25">
      <c r="B808" s="11">
        <v>45390</v>
      </c>
      <c r="C808" s="7">
        <v>600004217526</v>
      </c>
      <c r="D808" s="5">
        <v>1</v>
      </c>
      <c r="E808" t="s">
        <v>919</v>
      </c>
      <c r="F808" t="s">
        <v>623</v>
      </c>
      <c r="G808" t="s">
        <v>731</v>
      </c>
      <c r="H808" t="s">
        <v>745</v>
      </c>
      <c r="I808" t="s">
        <v>852</v>
      </c>
      <c r="J808" s="26" t="s">
        <v>525</v>
      </c>
      <c r="K808" s="5" t="s">
        <v>15</v>
      </c>
      <c r="L808" s="1" t="s">
        <v>16</v>
      </c>
      <c r="M808" s="1" t="s">
        <v>57</v>
      </c>
      <c r="N808" s="1" t="s">
        <v>119</v>
      </c>
      <c r="O808" s="1" t="s">
        <v>19</v>
      </c>
      <c r="P808" s="9">
        <v>45391</v>
      </c>
      <c r="Q808" s="1" t="s">
        <v>479</v>
      </c>
      <c r="R808" s="1" t="s">
        <v>63</v>
      </c>
      <c r="S808" s="1">
        <v>2</v>
      </c>
      <c r="T808" s="12">
        <v>0.29166666666666669</v>
      </c>
      <c r="U808" s="12">
        <v>0.375</v>
      </c>
      <c r="V808" s="1">
        <v>2</v>
      </c>
      <c r="W808" s="1">
        <v>2</v>
      </c>
      <c r="X808" s="1">
        <f t="shared" si="50"/>
        <v>4</v>
      </c>
      <c r="Y808" s="5" t="str">
        <f t="shared" si="45"/>
        <v>C</v>
      </c>
    </row>
    <row r="809" spans="2:25" x14ac:dyDescent="0.25">
      <c r="B809" s="11">
        <v>45390</v>
      </c>
      <c r="C809" s="7">
        <v>600004217532</v>
      </c>
      <c r="D809" s="5">
        <v>1</v>
      </c>
      <c r="E809" t="s">
        <v>919</v>
      </c>
      <c r="F809" t="s">
        <v>623</v>
      </c>
      <c r="G809" t="s">
        <v>731</v>
      </c>
      <c r="H809" t="s">
        <v>745</v>
      </c>
      <c r="I809" t="s">
        <v>852</v>
      </c>
      <c r="J809" s="26" t="s">
        <v>525</v>
      </c>
      <c r="K809" s="5" t="s">
        <v>15</v>
      </c>
      <c r="L809" s="1" t="s">
        <v>79</v>
      </c>
      <c r="M809" s="1" t="s">
        <v>43</v>
      </c>
      <c r="N809" s="1" t="s">
        <v>317</v>
      </c>
      <c r="O809" s="1" t="s">
        <v>19</v>
      </c>
      <c r="P809" s="9">
        <v>45390</v>
      </c>
      <c r="Q809" s="1" t="s">
        <v>475</v>
      </c>
      <c r="R809" s="1" t="s">
        <v>50</v>
      </c>
      <c r="S809" s="1">
        <v>1</v>
      </c>
      <c r="T809" s="12">
        <v>0.45833333333333331</v>
      </c>
      <c r="U809" s="12">
        <v>0.47916666666666669</v>
      </c>
      <c r="V809" s="1">
        <v>0.5</v>
      </c>
      <c r="W809" s="1">
        <v>0.5</v>
      </c>
      <c r="X809" s="1">
        <f t="shared" si="50"/>
        <v>0.5</v>
      </c>
      <c r="Y809" s="5" t="str">
        <f t="shared" si="45"/>
        <v>C</v>
      </c>
    </row>
    <row r="810" spans="2:25" x14ac:dyDescent="0.25">
      <c r="B810" s="11">
        <v>45392</v>
      </c>
      <c r="C810" s="7">
        <v>600004218034</v>
      </c>
      <c r="D810" s="5">
        <v>1</v>
      </c>
      <c r="E810" t="s">
        <v>919</v>
      </c>
      <c r="F810" t="s">
        <v>623</v>
      </c>
      <c r="G810" t="s">
        <v>731</v>
      </c>
      <c r="H810" t="s">
        <v>745</v>
      </c>
      <c r="I810" t="s">
        <v>852</v>
      </c>
      <c r="J810" s="26" t="s">
        <v>525</v>
      </c>
      <c r="K810" s="5" t="s">
        <v>15</v>
      </c>
      <c r="L810" s="1" t="s">
        <v>79</v>
      </c>
      <c r="M810" s="1" t="s">
        <v>62</v>
      </c>
      <c r="N810" s="1" t="s">
        <v>110</v>
      </c>
      <c r="O810" s="1" t="s">
        <v>19</v>
      </c>
      <c r="P810" s="9">
        <v>45392</v>
      </c>
      <c r="Q810" s="1" t="s">
        <v>475</v>
      </c>
      <c r="R810" s="1" t="s">
        <v>50</v>
      </c>
      <c r="S810" s="1">
        <v>1</v>
      </c>
      <c r="T810" s="12">
        <v>0.375</v>
      </c>
      <c r="U810" s="12">
        <v>0.41666666666666669</v>
      </c>
      <c r="V810" s="1">
        <v>1</v>
      </c>
      <c r="W810" s="1">
        <v>1</v>
      </c>
      <c r="X810" s="1">
        <f t="shared" si="50"/>
        <v>1</v>
      </c>
      <c r="Y810" s="5" t="str">
        <f t="shared" si="45"/>
        <v>C</v>
      </c>
    </row>
    <row r="811" spans="2:25" x14ac:dyDescent="0.25">
      <c r="B811" s="11">
        <v>45400</v>
      </c>
      <c r="C811" s="7">
        <v>600004219938</v>
      </c>
      <c r="D811" s="5">
        <v>1</v>
      </c>
      <c r="E811" t="s">
        <v>921</v>
      </c>
      <c r="F811" t="s">
        <v>625</v>
      </c>
      <c r="G811" t="s">
        <v>733</v>
      </c>
      <c r="H811" t="s">
        <v>742</v>
      </c>
      <c r="I811" t="s">
        <v>854</v>
      </c>
      <c r="J811" s="26" t="s">
        <v>524</v>
      </c>
      <c r="K811" s="5" t="s">
        <v>426</v>
      </c>
      <c r="L811" s="1" t="s">
        <v>31</v>
      </c>
      <c r="M811" s="1" t="s">
        <v>57</v>
      </c>
      <c r="N811" s="1" t="s">
        <v>168</v>
      </c>
      <c r="O811" s="1" t="s">
        <v>19</v>
      </c>
      <c r="P811" s="9">
        <v>45401</v>
      </c>
      <c r="Q811" s="1" t="s">
        <v>473</v>
      </c>
      <c r="R811" s="1" t="s">
        <v>63</v>
      </c>
      <c r="S811" s="1">
        <v>1</v>
      </c>
      <c r="T811" s="12">
        <v>0.41666666666666669</v>
      </c>
      <c r="U811" s="12">
        <v>0.5</v>
      </c>
      <c r="V811" s="1">
        <v>2</v>
      </c>
      <c r="W811" s="1">
        <v>2</v>
      </c>
      <c r="X811" s="1">
        <f t="shared" ref="X811:X819" si="51">PRODUCT(S811,V811)</f>
        <v>2</v>
      </c>
      <c r="Y811" s="5" t="str">
        <f t="shared" si="45"/>
        <v>C</v>
      </c>
    </row>
    <row r="812" spans="2:25" x14ac:dyDescent="0.25">
      <c r="B812" s="11">
        <v>45401</v>
      </c>
      <c r="C812" s="7">
        <v>600004220254</v>
      </c>
      <c r="D812" s="5">
        <v>1</v>
      </c>
      <c r="E812" t="s">
        <v>500</v>
      </c>
      <c r="F812" t="s">
        <v>544</v>
      </c>
      <c r="G812" t="s">
        <v>649</v>
      </c>
      <c r="H812" t="s">
        <v>745</v>
      </c>
      <c r="I812" t="s">
        <v>770</v>
      </c>
      <c r="J812" s="27" t="s">
        <v>525</v>
      </c>
      <c r="K812" s="5" t="s">
        <v>15</v>
      </c>
      <c r="L812" s="1" t="s">
        <v>79</v>
      </c>
      <c r="M812" s="1" t="s">
        <v>62</v>
      </c>
      <c r="N812" s="1" t="s">
        <v>110</v>
      </c>
      <c r="O812" s="1" t="s">
        <v>19</v>
      </c>
      <c r="P812" s="9">
        <v>45401</v>
      </c>
      <c r="Q812" s="1" t="s">
        <v>475</v>
      </c>
      <c r="R812" s="1" t="s">
        <v>50</v>
      </c>
      <c r="S812" s="1">
        <v>1</v>
      </c>
      <c r="T812" s="12">
        <v>0.58333333333333337</v>
      </c>
      <c r="U812" s="12">
        <v>0.625</v>
      </c>
      <c r="V812" s="1">
        <v>1</v>
      </c>
      <c r="W812" s="1">
        <v>1</v>
      </c>
      <c r="X812" s="1">
        <f t="shared" si="51"/>
        <v>1</v>
      </c>
      <c r="Y812" s="5" t="str">
        <f t="shared" si="45"/>
        <v>C</v>
      </c>
    </row>
    <row r="813" spans="2:25" x14ac:dyDescent="0.25">
      <c r="B813" s="11">
        <v>45401</v>
      </c>
      <c r="C813" s="7">
        <v>600004220236</v>
      </c>
      <c r="D813" s="5">
        <v>1</v>
      </c>
      <c r="E813" t="s">
        <v>501</v>
      </c>
      <c r="F813" t="s">
        <v>545</v>
      </c>
      <c r="G813" t="s">
        <v>650</v>
      </c>
      <c r="H813" t="s">
        <v>740</v>
      </c>
      <c r="I813" t="s">
        <v>771</v>
      </c>
      <c r="J813" s="27" t="s">
        <v>524</v>
      </c>
      <c r="K813" s="5" t="s">
        <v>70</v>
      </c>
      <c r="L813" s="1" t="s">
        <v>57</v>
      </c>
      <c r="M813" s="1" t="s">
        <v>344</v>
      </c>
      <c r="N813" s="1" t="s">
        <v>115</v>
      </c>
      <c r="O813" s="1" t="s">
        <v>19</v>
      </c>
      <c r="P813" s="9">
        <v>45401</v>
      </c>
      <c r="Q813" s="1" t="s">
        <v>473</v>
      </c>
      <c r="R813" s="1" t="s">
        <v>63</v>
      </c>
      <c r="S813" s="1">
        <v>1</v>
      </c>
      <c r="T813" s="12">
        <v>0.29166666666666669</v>
      </c>
      <c r="U813" s="12">
        <v>0.375</v>
      </c>
      <c r="V813" s="1">
        <v>2</v>
      </c>
      <c r="W813" s="1">
        <v>2</v>
      </c>
      <c r="X813" s="1">
        <f t="shared" si="51"/>
        <v>2</v>
      </c>
      <c r="Y813" s="5" t="str">
        <f t="shared" ref="Y813:Y876" si="52">IF(W813=0,"D",IF(W813&lt;=2,"C",IF(W813&lt;=8,"B",IF(W813&gt;8,"A"))))</f>
        <v>C</v>
      </c>
    </row>
    <row r="814" spans="2:25" x14ac:dyDescent="0.25">
      <c r="B814" s="11">
        <v>45399</v>
      </c>
      <c r="C814" s="7">
        <v>600004219648</v>
      </c>
      <c r="D814" s="5">
        <v>1</v>
      </c>
      <c r="E814" t="s">
        <v>496</v>
      </c>
      <c r="F814" t="s">
        <v>540</v>
      </c>
      <c r="G814" t="s">
        <v>645</v>
      </c>
      <c r="H814" t="s">
        <v>745</v>
      </c>
      <c r="I814" t="s">
        <v>766</v>
      </c>
      <c r="J814" s="27" t="s">
        <v>525</v>
      </c>
      <c r="K814" s="5" t="s">
        <v>15</v>
      </c>
      <c r="L814" s="1" t="s">
        <v>79</v>
      </c>
      <c r="M814" s="1" t="s">
        <v>62</v>
      </c>
      <c r="N814" s="1" t="s">
        <v>110</v>
      </c>
      <c r="O814" s="1" t="s">
        <v>19</v>
      </c>
      <c r="P814" s="9">
        <v>45399</v>
      </c>
      <c r="Q814" s="1" t="s">
        <v>478</v>
      </c>
      <c r="R814" s="1" t="s">
        <v>50</v>
      </c>
      <c r="S814" s="1">
        <v>2</v>
      </c>
      <c r="T814" s="12">
        <v>0.41666666666666669</v>
      </c>
      <c r="U814" s="12">
        <v>0.45833333333333331</v>
      </c>
      <c r="V814" s="1">
        <v>1</v>
      </c>
      <c r="W814" s="1">
        <v>1</v>
      </c>
      <c r="X814" s="1">
        <f t="shared" si="51"/>
        <v>2</v>
      </c>
      <c r="Y814" s="5" t="str">
        <f t="shared" si="52"/>
        <v>C</v>
      </c>
    </row>
    <row r="815" spans="2:25" x14ac:dyDescent="0.25">
      <c r="B815" s="11">
        <v>45401</v>
      </c>
      <c r="C815" s="7">
        <v>600004220155</v>
      </c>
      <c r="D815" s="5">
        <v>1</v>
      </c>
      <c r="E815" t="s">
        <v>500</v>
      </c>
      <c r="F815" t="s">
        <v>544</v>
      </c>
      <c r="G815" t="s">
        <v>649</v>
      </c>
      <c r="H815" t="s">
        <v>745</v>
      </c>
      <c r="I815" t="s">
        <v>770</v>
      </c>
      <c r="J815" s="27" t="s">
        <v>525</v>
      </c>
      <c r="K815" s="5" t="s">
        <v>15</v>
      </c>
      <c r="L815" s="1" t="s">
        <v>79</v>
      </c>
      <c r="M815" s="1" t="s">
        <v>36</v>
      </c>
      <c r="N815" s="1" t="s">
        <v>34</v>
      </c>
      <c r="O815" s="1" t="s">
        <v>19</v>
      </c>
      <c r="P815" s="9">
        <v>45401</v>
      </c>
      <c r="Q815" s="1" t="s">
        <v>475</v>
      </c>
      <c r="R815" s="1" t="s">
        <v>50</v>
      </c>
      <c r="S815" s="1">
        <v>1</v>
      </c>
      <c r="T815" s="12">
        <v>0.29166666666666669</v>
      </c>
      <c r="U815" s="12">
        <v>0.33333333333333331</v>
      </c>
      <c r="V815" s="1">
        <v>1</v>
      </c>
      <c r="W815" s="1">
        <v>1</v>
      </c>
      <c r="X815" s="1">
        <f t="shared" si="51"/>
        <v>1</v>
      </c>
      <c r="Y815" s="5" t="str">
        <f t="shared" si="52"/>
        <v>C</v>
      </c>
    </row>
    <row r="816" spans="2:25" x14ac:dyDescent="0.25">
      <c r="B816" s="11">
        <v>45401</v>
      </c>
      <c r="C816" s="7">
        <v>600004220215</v>
      </c>
      <c r="D816" s="5">
        <v>1</v>
      </c>
      <c r="E816" t="s">
        <v>496</v>
      </c>
      <c r="F816" t="s">
        <v>540</v>
      </c>
      <c r="G816" t="s">
        <v>645</v>
      </c>
      <c r="H816" t="s">
        <v>745</v>
      </c>
      <c r="I816" t="s">
        <v>766</v>
      </c>
      <c r="J816" s="27" t="s">
        <v>525</v>
      </c>
      <c r="K816" s="5" t="s">
        <v>15</v>
      </c>
      <c r="L816" s="1" t="s">
        <v>79</v>
      </c>
      <c r="M816" s="1" t="s">
        <v>253</v>
      </c>
      <c r="N816" s="1" t="s">
        <v>110</v>
      </c>
      <c r="O816" s="1" t="s">
        <v>19</v>
      </c>
      <c r="P816" s="9">
        <v>45401</v>
      </c>
      <c r="Q816" s="1" t="s">
        <v>475</v>
      </c>
      <c r="R816" s="1" t="s">
        <v>50</v>
      </c>
      <c r="S816" s="1">
        <v>1</v>
      </c>
      <c r="T816" s="12">
        <v>0.47916666666666669</v>
      </c>
      <c r="U816" s="12">
        <v>0.58333333333333337</v>
      </c>
      <c r="V816" s="1">
        <v>2.5</v>
      </c>
      <c r="W816" s="1">
        <v>2.5</v>
      </c>
      <c r="X816" s="1">
        <f t="shared" si="51"/>
        <v>2.5</v>
      </c>
      <c r="Y816" s="5" t="str">
        <f t="shared" si="52"/>
        <v>B</v>
      </c>
    </row>
    <row r="817" spans="2:25" x14ac:dyDescent="0.25">
      <c r="B817" s="11">
        <v>45408</v>
      </c>
      <c r="C817" s="7">
        <v>600004221670</v>
      </c>
      <c r="D817" s="5">
        <v>1</v>
      </c>
      <c r="E817" t="s">
        <v>874</v>
      </c>
      <c r="F817" t="s">
        <v>572</v>
      </c>
      <c r="G817" t="s">
        <v>686</v>
      </c>
      <c r="H817" t="s">
        <v>745</v>
      </c>
      <c r="I817" t="s">
        <v>807</v>
      </c>
      <c r="J817" s="27" t="s">
        <v>525</v>
      </c>
      <c r="K817" s="5" t="s">
        <v>168</v>
      </c>
      <c r="L817" s="1" t="s">
        <v>79</v>
      </c>
      <c r="M817" s="1" t="s">
        <v>427</v>
      </c>
      <c r="N817" s="1" t="s">
        <v>415</v>
      </c>
      <c r="O817" s="1" t="s">
        <v>19</v>
      </c>
      <c r="P817" s="9">
        <v>45408</v>
      </c>
      <c r="Q817" s="1" t="s">
        <v>475</v>
      </c>
      <c r="R817" s="1" t="s">
        <v>50</v>
      </c>
      <c r="S817" s="1">
        <v>1</v>
      </c>
      <c r="T817" s="12">
        <v>0.41666666666666669</v>
      </c>
      <c r="U817" s="12">
        <v>0.45833333333333331</v>
      </c>
      <c r="V817" s="1">
        <v>1</v>
      </c>
      <c r="W817" s="1">
        <v>1</v>
      </c>
      <c r="X817" s="1">
        <f t="shared" si="51"/>
        <v>1</v>
      </c>
      <c r="Y817" s="5" t="str">
        <f t="shared" si="52"/>
        <v>C</v>
      </c>
    </row>
    <row r="818" spans="2:25" x14ac:dyDescent="0.25">
      <c r="B818" s="11">
        <v>45406</v>
      </c>
      <c r="C818" s="7">
        <v>600004221215</v>
      </c>
      <c r="D818" s="5">
        <v>1</v>
      </c>
      <c r="E818" t="s">
        <v>919</v>
      </c>
      <c r="F818" t="s">
        <v>623</v>
      </c>
      <c r="G818" t="s">
        <v>731</v>
      </c>
      <c r="H818" t="s">
        <v>745</v>
      </c>
      <c r="I818" t="s">
        <v>852</v>
      </c>
      <c r="J818" s="26" t="s">
        <v>525</v>
      </c>
      <c r="K818" s="5" t="s">
        <v>15</v>
      </c>
      <c r="L818" s="1" t="s">
        <v>79</v>
      </c>
      <c r="M818" s="1" t="s">
        <v>43</v>
      </c>
      <c r="N818" s="1" t="s">
        <v>317</v>
      </c>
      <c r="O818" s="1" t="s">
        <v>19</v>
      </c>
      <c r="P818" s="9">
        <v>45406</v>
      </c>
      <c r="Q818" s="1" t="s">
        <v>475</v>
      </c>
      <c r="R818" s="1" t="s">
        <v>50</v>
      </c>
      <c r="S818" s="1">
        <v>2</v>
      </c>
      <c r="T818" s="12">
        <v>0.3125</v>
      </c>
      <c r="U818" s="12">
        <v>0.625</v>
      </c>
      <c r="V818" s="1">
        <v>7.5</v>
      </c>
      <c r="W818" s="1">
        <v>7.5</v>
      </c>
      <c r="X818" s="1">
        <f t="shared" si="51"/>
        <v>15</v>
      </c>
      <c r="Y818" s="5" t="str">
        <f t="shared" si="52"/>
        <v>B</v>
      </c>
    </row>
    <row r="819" spans="2:25" x14ac:dyDescent="0.25">
      <c r="B819" s="11">
        <v>45392</v>
      </c>
      <c r="C819" s="7">
        <v>600004218033</v>
      </c>
      <c r="D819" s="5">
        <v>1</v>
      </c>
      <c r="E819" t="s">
        <v>922</v>
      </c>
      <c r="F819" t="s">
        <v>626</v>
      </c>
      <c r="G819" t="s">
        <v>734</v>
      </c>
      <c r="H819" t="s">
        <v>749</v>
      </c>
      <c r="I819" t="s">
        <v>855</v>
      </c>
      <c r="J819" s="26" t="s">
        <v>524</v>
      </c>
      <c r="K819" s="5" t="s">
        <v>70</v>
      </c>
      <c r="L819" s="1" t="s">
        <v>36</v>
      </c>
      <c r="M819" s="1" t="s">
        <v>70</v>
      </c>
      <c r="N819" s="1" t="s">
        <v>112</v>
      </c>
      <c r="O819" s="1" t="s">
        <v>19</v>
      </c>
      <c r="P819" s="9">
        <v>45392</v>
      </c>
      <c r="Q819" s="1" t="s">
        <v>473</v>
      </c>
      <c r="R819" s="1" t="s">
        <v>63</v>
      </c>
      <c r="S819" s="1">
        <v>2</v>
      </c>
      <c r="T819" s="12">
        <v>0.25</v>
      </c>
      <c r="U819" s="12">
        <v>0.45833333333333331</v>
      </c>
      <c r="V819" s="1">
        <v>5</v>
      </c>
      <c r="W819" s="1">
        <v>5</v>
      </c>
      <c r="X819" s="1">
        <f t="shared" si="51"/>
        <v>10</v>
      </c>
      <c r="Y819" s="5" t="str">
        <f t="shared" si="52"/>
        <v>B</v>
      </c>
    </row>
    <row r="820" spans="2:25" x14ac:dyDescent="0.25">
      <c r="B820" s="11">
        <v>45422</v>
      </c>
      <c r="C820" s="7">
        <v>600004224834</v>
      </c>
      <c r="D820" s="5">
        <v>1</v>
      </c>
      <c r="E820" t="s">
        <v>903</v>
      </c>
      <c r="F820" t="s">
        <v>608</v>
      </c>
      <c r="G820" t="s">
        <v>715</v>
      </c>
      <c r="H820" t="s">
        <v>745</v>
      </c>
      <c r="I820" t="s">
        <v>836</v>
      </c>
      <c r="J820" s="27" t="s">
        <v>525</v>
      </c>
      <c r="K820" s="5" t="s">
        <v>319</v>
      </c>
      <c r="L820" s="1" t="s">
        <v>57</v>
      </c>
      <c r="M820" s="1" t="s">
        <v>55</v>
      </c>
      <c r="N820" s="1" t="s">
        <v>422</v>
      </c>
      <c r="O820" s="1" t="s">
        <v>19</v>
      </c>
      <c r="P820" s="9">
        <v>45422</v>
      </c>
      <c r="Q820" s="1" t="s">
        <v>473</v>
      </c>
      <c r="R820" s="1" t="s">
        <v>63</v>
      </c>
      <c r="S820" s="1">
        <v>1</v>
      </c>
      <c r="T820" s="12">
        <v>0.29166666666666669</v>
      </c>
      <c r="U820" s="12">
        <v>0.41666666666666669</v>
      </c>
      <c r="V820" s="1">
        <v>3</v>
      </c>
      <c r="W820" s="1">
        <v>3</v>
      </c>
      <c r="X820" s="1">
        <f t="shared" ref="X820:X825" si="53">PRODUCT(S820,V820)</f>
        <v>3</v>
      </c>
      <c r="Y820" s="5" t="str">
        <f t="shared" si="52"/>
        <v>B</v>
      </c>
    </row>
    <row r="821" spans="2:25" x14ac:dyDescent="0.25">
      <c r="B821" s="11">
        <v>45414</v>
      </c>
      <c r="C821" s="7">
        <v>600004223121</v>
      </c>
      <c r="D821" s="5">
        <v>1</v>
      </c>
      <c r="E821" t="s">
        <v>889</v>
      </c>
      <c r="F821" t="s">
        <v>594</v>
      </c>
      <c r="G821" t="s">
        <v>701</v>
      </c>
      <c r="H821" t="s">
        <v>747</v>
      </c>
      <c r="I821" t="s">
        <v>822</v>
      </c>
      <c r="J821" s="27" t="s">
        <v>524</v>
      </c>
      <c r="K821" s="5" t="s">
        <v>191</v>
      </c>
      <c r="L821" s="1" t="s">
        <v>57</v>
      </c>
      <c r="M821" s="1" t="s">
        <v>112</v>
      </c>
      <c r="N821" s="1" t="s">
        <v>67</v>
      </c>
      <c r="O821" s="1" t="s">
        <v>19</v>
      </c>
      <c r="P821" s="9">
        <v>45414</v>
      </c>
      <c r="Q821" s="1" t="s">
        <v>473</v>
      </c>
      <c r="R821" s="1" t="s">
        <v>63</v>
      </c>
      <c r="S821" s="1">
        <v>2</v>
      </c>
      <c r="T821" s="12">
        <v>0.33333333333333331</v>
      </c>
      <c r="U821" s="12">
        <v>0.58333333333333337</v>
      </c>
      <c r="V821" s="1">
        <v>6</v>
      </c>
      <c r="W821" s="1">
        <v>6</v>
      </c>
      <c r="X821" s="1">
        <f t="shared" si="53"/>
        <v>12</v>
      </c>
      <c r="Y821" s="5" t="str">
        <f t="shared" si="52"/>
        <v>B</v>
      </c>
    </row>
    <row r="822" spans="2:25" x14ac:dyDescent="0.25">
      <c r="B822" s="11">
        <v>45415</v>
      </c>
      <c r="C822" s="7">
        <v>600004223303</v>
      </c>
      <c r="D822" s="5">
        <v>1</v>
      </c>
      <c r="E822" t="s">
        <v>504</v>
      </c>
      <c r="F822" t="s">
        <v>548</v>
      </c>
      <c r="G822" t="s">
        <v>653</v>
      </c>
      <c r="H822" t="s">
        <v>745</v>
      </c>
      <c r="I822" t="s">
        <v>774</v>
      </c>
      <c r="J822" s="27" t="s">
        <v>525</v>
      </c>
      <c r="K822" s="5" t="s">
        <v>15</v>
      </c>
      <c r="L822" s="1" t="s">
        <v>71</v>
      </c>
      <c r="M822" s="1" t="s">
        <v>303</v>
      </c>
      <c r="N822" s="1" t="s">
        <v>55</v>
      </c>
      <c r="O822" s="1" t="s">
        <v>19</v>
      </c>
      <c r="P822" s="9">
        <v>45415</v>
      </c>
      <c r="Q822" s="1" t="s">
        <v>477</v>
      </c>
      <c r="R822" s="1" t="s">
        <v>63</v>
      </c>
      <c r="S822" s="1">
        <v>2</v>
      </c>
      <c r="T822" s="12">
        <v>0.58333333333333337</v>
      </c>
      <c r="U822" s="12">
        <v>0.66666666666666663</v>
      </c>
      <c r="V822" s="1">
        <v>2</v>
      </c>
      <c r="W822" s="1">
        <v>2</v>
      </c>
      <c r="X822" s="1">
        <f t="shared" si="53"/>
        <v>4</v>
      </c>
      <c r="Y822" s="5" t="str">
        <f t="shared" si="52"/>
        <v>C</v>
      </c>
    </row>
    <row r="823" spans="2:25" x14ac:dyDescent="0.25">
      <c r="B823" s="11">
        <v>45418</v>
      </c>
      <c r="C823" s="7">
        <v>600004223775</v>
      </c>
      <c r="D823" s="5">
        <v>1</v>
      </c>
      <c r="E823" t="s">
        <v>918</v>
      </c>
      <c r="F823" t="s">
        <v>622</v>
      </c>
      <c r="G823" t="s">
        <v>730</v>
      </c>
      <c r="H823" t="s">
        <v>745</v>
      </c>
      <c r="I823" t="s">
        <v>851</v>
      </c>
      <c r="J823" s="26" t="s">
        <v>525</v>
      </c>
      <c r="K823" s="5" t="s">
        <v>15</v>
      </c>
      <c r="L823" s="1" t="s">
        <v>71</v>
      </c>
      <c r="M823" s="1" t="s">
        <v>126</v>
      </c>
      <c r="N823" s="1" t="s">
        <v>120</v>
      </c>
      <c r="O823" s="1" t="s">
        <v>19</v>
      </c>
      <c r="P823" s="9">
        <v>45418</v>
      </c>
      <c r="Q823" s="1" t="s">
        <v>477</v>
      </c>
      <c r="R823" s="1" t="s">
        <v>63</v>
      </c>
      <c r="S823" s="1">
        <v>2</v>
      </c>
      <c r="T823" s="12">
        <v>0.29166666666666669</v>
      </c>
      <c r="U823" s="12">
        <v>0.41666666666666669</v>
      </c>
      <c r="V823" s="1">
        <v>3</v>
      </c>
      <c r="W823" s="1">
        <v>3</v>
      </c>
      <c r="X823" s="1">
        <f t="shared" si="53"/>
        <v>6</v>
      </c>
      <c r="Y823" s="5" t="str">
        <f t="shared" si="52"/>
        <v>B</v>
      </c>
    </row>
    <row r="824" spans="2:25" x14ac:dyDescent="0.25">
      <c r="B824" s="11">
        <v>45415</v>
      </c>
      <c r="C824" s="7">
        <v>600004223290</v>
      </c>
      <c r="D824" s="5">
        <v>1</v>
      </c>
      <c r="E824" t="s">
        <v>919</v>
      </c>
      <c r="F824" t="s">
        <v>623</v>
      </c>
      <c r="G824" t="s">
        <v>731</v>
      </c>
      <c r="H824" t="s">
        <v>745</v>
      </c>
      <c r="I824" t="s">
        <v>852</v>
      </c>
      <c r="J824" s="26" t="s">
        <v>525</v>
      </c>
      <c r="K824" s="5" t="s">
        <v>15</v>
      </c>
      <c r="L824" s="1" t="s">
        <v>79</v>
      </c>
      <c r="M824" s="1" t="s">
        <v>43</v>
      </c>
      <c r="N824" s="1" t="s">
        <v>317</v>
      </c>
      <c r="O824" s="1" t="s">
        <v>19</v>
      </c>
      <c r="P824" s="9">
        <v>45418</v>
      </c>
      <c r="Q824" s="1" t="s">
        <v>475</v>
      </c>
      <c r="R824" s="1" t="s">
        <v>63</v>
      </c>
      <c r="S824" s="1">
        <v>1</v>
      </c>
      <c r="T824" s="12">
        <v>0.29166666666666669</v>
      </c>
      <c r="U824" s="12">
        <v>0.625</v>
      </c>
      <c r="V824" s="1">
        <v>8</v>
      </c>
      <c r="W824" s="1">
        <v>8</v>
      </c>
      <c r="X824" s="1">
        <f t="shared" si="53"/>
        <v>8</v>
      </c>
      <c r="Y824" s="5" t="str">
        <f t="shared" si="52"/>
        <v>B</v>
      </c>
    </row>
    <row r="825" spans="2:25" x14ac:dyDescent="0.25">
      <c r="B825" s="11">
        <v>45414</v>
      </c>
      <c r="C825" s="7">
        <v>600004223120</v>
      </c>
      <c r="D825" s="5">
        <v>1</v>
      </c>
      <c r="E825" t="s">
        <v>882</v>
      </c>
      <c r="F825" t="s">
        <v>588</v>
      </c>
      <c r="G825" t="s">
        <v>694</v>
      </c>
      <c r="H825" t="s">
        <v>745</v>
      </c>
      <c r="I825" t="s">
        <v>815</v>
      </c>
      <c r="J825" s="27" t="s">
        <v>525</v>
      </c>
      <c r="K825" s="5" t="s">
        <v>15</v>
      </c>
      <c r="L825" s="1" t="s">
        <v>16</v>
      </c>
      <c r="M825" s="1" t="s">
        <v>137</v>
      </c>
      <c r="N825" s="1" t="s">
        <v>52</v>
      </c>
      <c r="O825" s="1" t="s">
        <v>176</v>
      </c>
      <c r="P825" s="9">
        <v>45415</v>
      </c>
      <c r="Q825" s="1" t="s">
        <v>477</v>
      </c>
      <c r="R825" s="1" t="s">
        <v>63</v>
      </c>
      <c r="S825" s="1">
        <v>3</v>
      </c>
      <c r="T825" s="12">
        <v>0.41666666666666669</v>
      </c>
      <c r="U825" s="12">
        <v>0.5</v>
      </c>
      <c r="V825" s="1">
        <v>2</v>
      </c>
      <c r="W825" s="1">
        <v>2</v>
      </c>
      <c r="X825" s="1">
        <f t="shared" si="53"/>
        <v>6</v>
      </c>
      <c r="Y825" s="5" t="str">
        <f t="shared" si="52"/>
        <v>C</v>
      </c>
    </row>
    <row r="826" spans="2:25" x14ac:dyDescent="0.25">
      <c r="B826" s="11">
        <v>45422</v>
      </c>
      <c r="C826" s="7">
        <v>600004224804</v>
      </c>
      <c r="D826" s="5">
        <v>1</v>
      </c>
      <c r="E826" t="s">
        <v>864</v>
      </c>
      <c r="F826" t="s">
        <v>571</v>
      </c>
      <c r="G826" t="s">
        <v>676</v>
      </c>
      <c r="H826" t="s">
        <v>745</v>
      </c>
      <c r="I826" t="s">
        <v>797</v>
      </c>
      <c r="J826" s="27" t="s">
        <v>525</v>
      </c>
      <c r="K826" s="5" t="s">
        <v>15</v>
      </c>
      <c r="L826" s="1" t="s">
        <v>126</v>
      </c>
      <c r="M826" s="1" t="s">
        <v>67</v>
      </c>
      <c r="N826" s="1" t="s">
        <v>177</v>
      </c>
      <c r="O826" s="1" t="s">
        <v>19</v>
      </c>
      <c r="P826" s="9">
        <v>45422</v>
      </c>
      <c r="Q826" s="1" t="s">
        <v>479</v>
      </c>
      <c r="R826" s="1" t="s">
        <v>63</v>
      </c>
      <c r="S826" s="1">
        <v>2</v>
      </c>
      <c r="T826" s="12">
        <v>0.29166666666666669</v>
      </c>
      <c r="U826" s="12">
        <v>0.41666666666666669</v>
      </c>
      <c r="V826" s="1">
        <v>3</v>
      </c>
      <c r="W826" s="1">
        <v>3</v>
      </c>
      <c r="X826" s="1">
        <f t="shared" ref="X826:X845" si="54">PRODUCT(S826,V826)</f>
        <v>6</v>
      </c>
      <c r="Y826" s="5" t="str">
        <f t="shared" si="52"/>
        <v>B</v>
      </c>
    </row>
    <row r="827" spans="2:25" x14ac:dyDescent="0.25">
      <c r="B827" s="11">
        <v>45426</v>
      </c>
      <c r="C827" s="7">
        <v>600004225746</v>
      </c>
      <c r="D827" s="5">
        <v>1</v>
      </c>
      <c r="E827" t="s">
        <v>493</v>
      </c>
      <c r="F827" t="s">
        <v>537</v>
      </c>
      <c r="G827" t="s">
        <v>642</v>
      </c>
      <c r="H827" t="s">
        <v>745</v>
      </c>
      <c r="I827" t="s">
        <v>763</v>
      </c>
      <c r="J827" s="27" t="s">
        <v>525</v>
      </c>
      <c r="K827" s="5" t="s">
        <v>15</v>
      </c>
      <c r="L827" s="1" t="s">
        <v>126</v>
      </c>
      <c r="M827" s="1" t="s">
        <v>432</v>
      </c>
      <c r="N827" s="1" t="s">
        <v>253</v>
      </c>
      <c r="O827" s="1" t="s">
        <v>19</v>
      </c>
      <c r="P827" s="9">
        <v>45426</v>
      </c>
      <c r="Q827" s="1" t="s">
        <v>475</v>
      </c>
      <c r="R827" s="1" t="s">
        <v>63</v>
      </c>
      <c r="S827" s="1">
        <v>1</v>
      </c>
      <c r="T827" s="12">
        <v>0.5</v>
      </c>
      <c r="U827" s="12">
        <v>0.625</v>
      </c>
      <c r="V827" s="1">
        <v>3</v>
      </c>
      <c r="W827" s="1">
        <v>3</v>
      </c>
      <c r="X827" s="1">
        <f t="shared" si="54"/>
        <v>3</v>
      </c>
      <c r="Y827" s="5" t="str">
        <f t="shared" si="52"/>
        <v>B</v>
      </c>
    </row>
    <row r="828" spans="2:25" x14ac:dyDescent="0.25">
      <c r="B828" s="11">
        <v>45428</v>
      </c>
      <c r="C828" s="7">
        <v>600004226192</v>
      </c>
      <c r="D828" s="5">
        <v>1</v>
      </c>
      <c r="E828" t="s">
        <v>918</v>
      </c>
      <c r="F828" t="s">
        <v>622</v>
      </c>
      <c r="G828" t="s">
        <v>730</v>
      </c>
      <c r="H828" t="s">
        <v>745</v>
      </c>
      <c r="I828" t="s">
        <v>851</v>
      </c>
      <c r="J828" s="26" t="s">
        <v>525</v>
      </c>
      <c r="K828" s="5" t="s">
        <v>15</v>
      </c>
      <c r="L828" s="1" t="s">
        <v>148</v>
      </c>
      <c r="M828" s="1" t="s">
        <v>57</v>
      </c>
      <c r="N828" s="1" t="s">
        <v>108</v>
      </c>
      <c r="O828" s="1" t="s">
        <v>176</v>
      </c>
      <c r="P828" s="9">
        <v>45428</v>
      </c>
      <c r="Q828" s="1" t="s">
        <v>475</v>
      </c>
      <c r="R828" s="1" t="s">
        <v>50</v>
      </c>
      <c r="S828" s="1">
        <v>1</v>
      </c>
      <c r="T828" s="12">
        <v>0.375</v>
      </c>
      <c r="U828" s="12">
        <v>0.5</v>
      </c>
      <c r="V828" s="1">
        <v>3</v>
      </c>
      <c r="W828" s="1">
        <v>3</v>
      </c>
      <c r="X828" s="1">
        <f t="shared" si="54"/>
        <v>3</v>
      </c>
      <c r="Y828" s="5" t="str">
        <f t="shared" si="52"/>
        <v>B</v>
      </c>
    </row>
    <row r="829" spans="2:25" x14ac:dyDescent="0.25">
      <c r="B829" s="11">
        <v>45415</v>
      </c>
      <c r="C829" s="7">
        <v>600004223300</v>
      </c>
      <c r="D829" s="5">
        <v>1</v>
      </c>
      <c r="E829" t="s">
        <v>883</v>
      </c>
      <c r="F829" t="s">
        <v>589</v>
      </c>
      <c r="G829" t="s">
        <v>695</v>
      </c>
      <c r="H829" t="s">
        <v>741</v>
      </c>
      <c r="I829" t="s">
        <v>816</v>
      </c>
      <c r="J829" s="27" t="s">
        <v>524</v>
      </c>
      <c r="K829" s="5" t="s">
        <v>127</v>
      </c>
      <c r="L829" s="1" t="s">
        <v>57</v>
      </c>
      <c r="M829" s="1" t="s">
        <v>433</v>
      </c>
      <c r="N829" s="1" t="s">
        <v>434</v>
      </c>
      <c r="O829" s="1" t="s">
        <v>176</v>
      </c>
      <c r="P829" s="9">
        <v>45425</v>
      </c>
      <c r="Q829" s="1" t="s">
        <v>473</v>
      </c>
      <c r="R829" s="1" t="s">
        <v>63</v>
      </c>
      <c r="S829" s="1">
        <v>1</v>
      </c>
      <c r="T829" s="12">
        <v>0.25</v>
      </c>
      <c r="U829" s="12">
        <v>0.66666666666666663</v>
      </c>
      <c r="V829" s="1">
        <v>10</v>
      </c>
      <c r="W829" s="1">
        <v>10</v>
      </c>
      <c r="X829" s="1">
        <f t="shared" si="54"/>
        <v>10</v>
      </c>
      <c r="Y829" s="5" t="str">
        <f t="shared" si="52"/>
        <v>A</v>
      </c>
    </row>
    <row r="830" spans="2:25" x14ac:dyDescent="0.25">
      <c r="B830" s="11">
        <v>45421</v>
      </c>
      <c r="C830" s="7">
        <v>600004224684</v>
      </c>
      <c r="D830" s="5">
        <v>1</v>
      </c>
      <c r="E830" t="s">
        <v>909</v>
      </c>
      <c r="F830" t="s">
        <v>614</v>
      </c>
      <c r="G830" t="s">
        <v>721</v>
      </c>
      <c r="H830" t="s">
        <v>741</v>
      </c>
      <c r="I830" t="s">
        <v>842</v>
      </c>
      <c r="J830" s="27" t="s">
        <v>524</v>
      </c>
      <c r="K830" s="5" t="s">
        <v>90</v>
      </c>
      <c r="L830" s="1" t="s">
        <v>362</v>
      </c>
      <c r="M830" s="1" t="s">
        <v>435</v>
      </c>
      <c r="N830" s="1" t="s">
        <v>436</v>
      </c>
      <c r="O830" s="1" t="s">
        <v>19</v>
      </c>
      <c r="P830" s="9">
        <v>45426</v>
      </c>
      <c r="Q830" s="1" t="s">
        <v>473</v>
      </c>
      <c r="R830" s="1" t="s">
        <v>63</v>
      </c>
      <c r="S830" s="1">
        <v>3</v>
      </c>
      <c r="T830" s="12">
        <v>0.45833333333333331</v>
      </c>
      <c r="U830" s="12">
        <v>0.66666666666666663</v>
      </c>
      <c r="V830" s="1">
        <v>5</v>
      </c>
      <c r="W830" s="1">
        <v>5</v>
      </c>
      <c r="X830" s="1">
        <f t="shared" si="54"/>
        <v>15</v>
      </c>
      <c r="Y830" s="5" t="str">
        <f t="shared" si="52"/>
        <v>B</v>
      </c>
    </row>
    <row r="831" spans="2:25" x14ac:dyDescent="0.25">
      <c r="B831" s="11">
        <v>45427</v>
      </c>
      <c r="C831" s="7">
        <v>600004226035</v>
      </c>
      <c r="D831" s="5">
        <v>1</v>
      </c>
      <c r="E831" t="s">
        <v>497</v>
      </c>
      <c r="F831" t="s">
        <v>541</v>
      </c>
      <c r="G831" t="s">
        <v>646</v>
      </c>
      <c r="H831" t="s">
        <v>746</v>
      </c>
      <c r="I831" t="s">
        <v>767</v>
      </c>
      <c r="J831" s="27" t="s">
        <v>525</v>
      </c>
      <c r="K831" s="5" t="s">
        <v>76</v>
      </c>
      <c r="L831" s="1" t="s">
        <v>148</v>
      </c>
      <c r="M831" s="1" t="s">
        <v>114</v>
      </c>
      <c r="N831" s="1" t="s">
        <v>437</v>
      </c>
      <c r="O831" s="1" t="s">
        <v>19</v>
      </c>
      <c r="P831" s="9">
        <v>45427</v>
      </c>
      <c r="Q831" s="1" t="s">
        <v>478</v>
      </c>
      <c r="R831" s="1" t="s">
        <v>50</v>
      </c>
      <c r="S831" s="1">
        <v>1</v>
      </c>
      <c r="T831" s="12">
        <v>0.58333333333333337</v>
      </c>
      <c r="U831" s="12">
        <v>0.66666666666666663</v>
      </c>
      <c r="V831" s="1">
        <v>2</v>
      </c>
      <c r="W831" s="1">
        <v>2</v>
      </c>
      <c r="X831" s="1">
        <f t="shared" si="54"/>
        <v>2</v>
      </c>
      <c r="Y831" s="5" t="str">
        <f t="shared" si="52"/>
        <v>C</v>
      </c>
    </row>
    <row r="832" spans="2:25" x14ac:dyDescent="0.25">
      <c r="B832" s="11">
        <v>45426</v>
      </c>
      <c r="C832" s="7">
        <v>600004225706</v>
      </c>
      <c r="D832" s="5">
        <v>1</v>
      </c>
      <c r="E832" t="s">
        <v>909</v>
      </c>
      <c r="F832" t="s">
        <v>614</v>
      </c>
      <c r="G832" t="s">
        <v>721</v>
      </c>
      <c r="H832" t="s">
        <v>741</v>
      </c>
      <c r="I832" t="s">
        <v>842</v>
      </c>
      <c r="J832" s="27" t="s">
        <v>524</v>
      </c>
      <c r="K832" s="5" t="s">
        <v>90</v>
      </c>
      <c r="L832" s="1" t="s">
        <v>57</v>
      </c>
      <c r="M832" s="1" t="s">
        <v>421</v>
      </c>
      <c r="N832" s="1" t="s">
        <v>362</v>
      </c>
      <c r="O832" s="1" t="s">
        <v>19</v>
      </c>
      <c r="P832" s="9">
        <v>45426</v>
      </c>
      <c r="Q832" s="1" t="s">
        <v>474</v>
      </c>
      <c r="R832" s="1" t="s">
        <v>63</v>
      </c>
      <c r="S832" s="1">
        <v>2</v>
      </c>
      <c r="T832" s="12">
        <v>0.29166666666666669</v>
      </c>
      <c r="U832" s="12">
        <v>0.45833333333333331</v>
      </c>
      <c r="V832" s="1">
        <v>4</v>
      </c>
      <c r="W832" s="1">
        <v>4</v>
      </c>
      <c r="X832" s="1">
        <f t="shared" si="54"/>
        <v>8</v>
      </c>
      <c r="Y832" s="5" t="str">
        <f t="shared" si="52"/>
        <v>B</v>
      </c>
    </row>
    <row r="833" spans="2:25" x14ac:dyDescent="0.25">
      <c r="B833" s="11">
        <v>45422</v>
      </c>
      <c r="C833" s="7">
        <v>600004224806</v>
      </c>
      <c r="D833" s="4">
        <v>1</v>
      </c>
      <c r="E833" t="s">
        <v>494</v>
      </c>
      <c r="F833" t="s">
        <v>538</v>
      </c>
      <c r="G833" t="s">
        <v>643</v>
      </c>
      <c r="H833" t="s">
        <v>745</v>
      </c>
      <c r="I833" t="s">
        <v>764</v>
      </c>
      <c r="J833" s="29" t="s">
        <v>525</v>
      </c>
      <c r="K833" s="4" t="s">
        <v>15</v>
      </c>
      <c r="L833" s="1" t="s">
        <v>79</v>
      </c>
      <c r="M833" s="1" t="s">
        <v>62</v>
      </c>
      <c r="N833" s="1" t="s">
        <v>110</v>
      </c>
      <c r="O833" s="1" t="s">
        <v>19</v>
      </c>
      <c r="P833" s="9">
        <v>45422</v>
      </c>
      <c r="Q833" s="1" t="s">
        <v>478</v>
      </c>
      <c r="R833" s="1" t="s">
        <v>50</v>
      </c>
      <c r="S833" s="1">
        <v>1</v>
      </c>
      <c r="T833" s="12">
        <v>0.29166666666666669</v>
      </c>
      <c r="U833" s="12">
        <v>0.41666666666666669</v>
      </c>
      <c r="V833" s="1">
        <v>3</v>
      </c>
      <c r="W833" s="1">
        <v>3</v>
      </c>
      <c r="X833" s="1">
        <f t="shared" si="54"/>
        <v>3</v>
      </c>
      <c r="Y833" s="5" t="str">
        <f t="shared" si="52"/>
        <v>B</v>
      </c>
    </row>
    <row r="834" spans="2:25" x14ac:dyDescent="0.25">
      <c r="B834" s="11">
        <v>45427</v>
      </c>
      <c r="C834" s="7">
        <v>600004226009</v>
      </c>
      <c r="D834" s="5">
        <v>1</v>
      </c>
      <c r="E834" t="s">
        <v>515</v>
      </c>
      <c r="F834" t="s">
        <v>559</v>
      </c>
      <c r="G834" t="s">
        <v>664</v>
      </c>
      <c r="H834" t="s">
        <v>745</v>
      </c>
      <c r="I834" t="s">
        <v>785</v>
      </c>
      <c r="J834" s="26" t="s">
        <v>525</v>
      </c>
      <c r="K834" s="5" t="s">
        <v>122</v>
      </c>
      <c r="L834" s="1" t="s">
        <v>57</v>
      </c>
      <c r="M834" s="1" t="s">
        <v>62</v>
      </c>
      <c r="N834" s="1" t="s">
        <v>110</v>
      </c>
      <c r="O834" s="1" t="s">
        <v>19</v>
      </c>
      <c r="P834" s="9">
        <v>45427</v>
      </c>
      <c r="Q834" s="1" t="s">
        <v>479</v>
      </c>
      <c r="R834" s="1" t="s">
        <v>63</v>
      </c>
      <c r="S834" s="1">
        <v>2</v>
      </c>
      <c r="T834" s="12">
        <v>0.29166666666666669</v>
      </c>
      <c r="U834" s="12">
        <v>0.375</v>
      </c>
      <c r="V834" s="1">
        <v>2</v>
      </c>
      <c r="W834" s="1">
        <v>2</v>
      </c>
      <c r="X834" s="1">
        <f t="shared" si="54"/>
        <v>4</v>
      </c>
      <c r="Y834" s="5" t="str">
        <f t="shared" si="52"/>
        <v>C</v>
      </c>
    </row>
    <row r="835" spans="2:25" x14ac:dyDescent="0.25">
      <c r="B835" s="11">
        <v>45427</v>
      </c>
      <c r="C835" s="7">
        <v>600004226037</v>
      </c>
      <c r="D835" s="5">
        <v>1</v>
      </c>
      <c r="E835" t="s">
        <v>493</v>
      </c>
      <c r="F835" t="s">
        <v>537</v>
      </c>
      <c r="G835" t="s">
        <v>642</v>
      </c>
      <c r="H835" t="s">
        <v>745</v>
      </c>
      <c r="I835" t="s">
        <v>763</v>
      </c>
      <c r="J835" s="27" t="s">
        <v>525</v>
      </c>
      <c r="K835" s="5" t="s">
        <v>15</v>
      </c>
      <c r="L835" s="1" t="s">
        <v>126</v>
      </c>
      <c r="M835" s="1" t="s">
        <v>45</v>
      </c>
      <c r="N835" s="1" t="s">
        <v>194</v>
      </c>
      <c r="O835" s="1" t="s">
        <v>19</v>
      </c>
      <c r="P835" s="9">
        <v>45427</v>
      </c>
      <c r="Q835" s="1" t="s">
        <v>479</v>
      </c>
      <c r="R835" s="1" t="s">
        <v>63</v>
      </c>
      <c r="S835" s="1">
        <v>2</v>
      </c>
      <c r="T835" s="12">
        <v>0.39583333333333331</v>
      </c>
      <c r="U835" s="12">
        <v>0.47916666666666669</v>
      </c>
      <c r="V835" s="1">
        <v>2</v>
      </c>
      <c r="W835" s="1">
        <v>2</v>
      </c>
      <c r="X835" s="1">
        <f t="shared" si="54"/>
        <v>4</v>
      </c>
      <c r="Y835" s="5" t="str">
        <f t="shared" si="52"/>
        <v>C</v>
      </c>
    </row>
    <row r="836" spans="2:25" x14ac:dyDescent="0.25">
      <c r="B836" s="11">
        <v>45427</v>
      </c>
      <c r="C836" s="7">
        <v>600004226034</v>
      </c>
      <c r="D836" s="5">
        <v>1</v>
      </c>
      <c r="E836" t="s">
        <v>497</v>
      </c>
      <c r="F836" t="s">
        <v>541</v>
      </c>
      <c r="G836" t="s">
        <v>646</v>
      </c>
      <c r="H836" t="s">
        <v>746</v>
      </c>
      <c r="I836" t="s">
        <v>767</v>
      </c>
      <c r="J836" s="27" t="s">
        <v>525</v>
      </c>
      <c r="K836" s="5" t="s">
        <v>76</v>
      </c>
      <c r="L836" s="1" t="s">
        <v>438</v>
      </c>
      <c r="M836" s="1" t="s">
        <v>439</v>
      </c>
      <c r="N836" s="1" t="s">
        <v>253</v>
      </c>
      <c r="O836" s="1" t="s">
        <v>19</v>
      </c>
      <c r="P836" s="9">
        <v>45427</v>
      </c>
      <c r="Q836" s="1" t="s">
        <v>477</v>
      </c>
      <c r="R836" s="1" t="s">
        <v>63</v>
      </c>
      <c r="S836" s="1">
        <v>2</v>
      </c>
      <c r="T836" s="12">
        <v>0.58333333333333337</v>
      </c>
      <c r="U836" s="12">
        <v>0.66666666666666663</v>
      </c>
      <c r="V836" s="1">
        <v>2</v>
      </c>
      <c r="W836" s="1">
        <v>2</v>
      </c>
      <c r="X836" s="1">
        <f t="shared" si="54"/>
        <v>4</v>
      </c>
      <c r="Y836" s="5" t="str">
        <f t="shared" si="52"/>
        <v>C</v>
      </c>
    </row>
    <row r="837" spans="2:25" x14ac:dyDescent="0.25">
      <c r="B837" s="11">
        <v>45421</v>
      </c>
      <c r="C837" s="7">
        <v>600004224554</v>
      </c>
      <c r="D837" s="5">
        <v>1</v>
      </c>
      <c r="E837" t="s">
        <v>919</v>
      </c>
      <c r="F837" t="s">
        <v>623</v>
      </c>
      <c r="G837" t="s">
        <v>731</v>
      </c>
      <c r="H837" t="s">
        <v>745</v>
      </c>
      <c r="I837" t="s">
        <v>852</v>
      </c>
      <c r="J837" s="26" t="s">
        <v>525</v>
      </c>
      <c r="K837" s="5" t="s">
        <v>15</v>
      </c>
      <c r="L837" s="1" t="s">
        <v>36</v>
      </c>
      <c r="M837" s="1" t="s">
        <v>112</v>
      </c>
      <c r="N837" s="1" t="s">
        <v>253</v>
      </c>
      <c r="O837" s="1" t="s">
        <v>19</v>
      </c>
      <c r="P837" s="9">
        <v>45422</v>
      </c>
      <c r="Q837" s="1" t="s">
        <v>479</v>
      </c>
      <c r="R837" s="1" t="s">
        <v>63</v>
      </c>
      <c r="S837" s="1">
        <v>3</v>
      </c>
      <c r="T837" s="12">
        <v>0.58333333333333337</v>
      </c>
      <c r="U837" s="12">
        <v>0.66666666666666663</v>
      </c>
      <c r="V837" s="1">
        <v>2</v>
      </c>
      <c r="W837" s="1">
        <v>2</v>
      </c>
      <c r="X837" s="1">
        <f t="shared" si="54"/>
        <v>6</v>
      </c>
      <c r="Y837" s="5" t="str">
        <f t="shared" si="52"/>
        <v>C</v>
      </c>
    </row>
    <row r="838" spans="2:25" x14ac:dyDescent="0.25">
      <c r="B838" s="11">
        <v>45425</v>
      </c>
      <c r="C838" s="7">
        <v>600004225361</v>
      </c>
      <c r="D838" s="5">
        <v>1</v>
      </c>
      <c r="E838" t="s">
        <v>874</v>
      </c>
      <c r="F838" t="s">
        <v>572</v>
      </c>
      <c r="G838" t="s">
        <v>686</v>
      </c>
      <c r="H838" t="s">
        <v>745</v>
      </c>
      <c r="I838" t="s">
        <v>807</v>
      </c>
      <c r="J838" s="26" t="s">
        <v>525</v>
      </c>
      <c r="K838" s="5" t="s">
        <v>168</v>
      </c>
      <c r="L838" s="1" t="s">
        <v>57</v>
      </c>
      <c r="M838" s="1" t="s">
        <v>427</v>
      </c>
      <c r="N838" s="1" t="s">
        <v>440</v>
      </c>
      <c r="O838" s="1" t="s">
        <v>19</v>
      </c>
      <c r="P838" s="9">
        <v>45425</v>
      </c>
      <c r="Q838" s="1" t="s">
        <v>475</v>
      </c>
      <c r="R838" s="1" t="s">
        <v>50</v>
      </c>
      <c r="S838" s="1">
        <v>1</v>
      </c>
      <c r="T838" s="12">
        <v>0.29166666666666669</v>
      </c>
      <c r="U838" s="12">
        <v>0.33333333333333331</v>
      </c>
      <c r="V838" s="1">
        <v>1</v>
      </c>
      <c r="W838" s="1">
        <v>1</v>
      </c>
      <c r="X838" s="1">
        <f t="shared" si="54"/>
        <v>1</v>
      </c>
      <c r="Y838" s="5" t="str">
        <f t="shared" si="52"/>
        <v>C</v>
      </c>
    </row>
    <row r="839" spans="2:25" x14ac:dyDescent="0.25">
      <c r="B839" s="11">
        <v>45422</v>
      </c>
      <c r="C839" s="7">
        <v>600004224802</v>
      </c>
      <c r="D839" s="5">
        <v>1</v>
      </c>
      <c r="E839" t="s">
        <v>497</v>
      </c>
      <c r="F839" t="s">
        <v>541</v>
      </c>
      <c r="G839" t="s">
        <v>646</v>
      </c>
      <c r="H839" t="s">
        <v>746</v>
      </c>
      <c r="I839" t="s">
        <v>767</v>
      </c>
      <c r="J839" s="27" t="s">
        <v>525</v>
      </c>
      <c r="K839" s="5" t="s">
        <v>76</v>
      </c>
      <c r="L839" s="1" t="s">
        <v>36</v>
      </c>
      <c r="M839" s="1" t="s">
        <v>423</v>
      </c>
      <c r="N839" s="1" t="s">
        <v>129</v>
      </c>
      <c r="O839" s="1" t="s">
        <v>19</v>
      </c>
      <c r="P839" s="9">
        <v>45422</v>
      </c>
      <c r="Q839" s="1" t="s">
        <v>477</v>
      </c>
      <c r="R839" s="1" t="s">
        <v>63</v>
      </c>
      <c r="S839" s="1">
        <v>1</v>
      </c>
      <c r="T839" s="12">
        <v>0.29166666666666669</v>
      </c>
      <c r="U839" s="12">
        <v>0.47916666666666669</v>
      </c>
      <c r="V839" s="1">
        <v>4.5</v>
      </c>
      <c r="W839" s="1">
        <v>4.5</v>
      </c>
      <c r="X839" s="1">
        <f t="shared" si="54"/>
        <v>4.5</v>
      </c>
      <c r="Y839" s="5" t="str">
        <f t="shared" si="52"/>
        <v>B</v>
      </c>
    </row>
    <row r="840" spans="2:25" x14ac:dyDescent="0.25">
      <c r="B840" s="11">
        <v>45425</v>
      </c>
      <c r="C840" s="7">
        <v>600004225352</v>
      </c>
      <c r="D840" s="4">
        <v>1</v>
      </c>
      <c r="E840" t="s">
        <v>494</v>
      </c>
      <c r="F840" t="s">
        <v>538</v>
      </c>
      <c r="G840" t="s">
        <v>643</v>
      </c>
      <c r="H840" t="s">
        <v>745</v>
      </c>
      <c r="I840" t="s">
        <v>764</v>
      </c>
      <c r="J840" s="27" t="s">
        <v>525</v>
      </c>
      <c r="K840" s="4" t="s">
        <v>15</v>
      </c>
      <c r="L840" s="1" t="s">
        <v>71</v>
      </c>
      <c r="M840" s="1" t="s">
        <v>55</v>
      </c>
      <c r="N840" s="1" t="s">
        <v>56</v>
      </c>
      <c r="O840" s="1" t="s">
        <v>19</v>
      </c>
      <c r="P840" s="9">
        <v>45425</v>
      </c>
      <c r="Q840" s="1" t="s">
        <v>477</v>
      </c>
      <c r="R840" s="1" t="s">
        <v>63</v>
      </c>
      <c r="S840" s="1">
        <v>3</v>
      </c>
      <c r="T840" s="12">
        <v>0.29166666666666669</v>
      </c>
      <c r="U840" s="12">
        <v>0.39583333333333331</v>
      </c>
      <c r="V840" s="1">
        <v>2.5</v>
      </c>
      <c r="W840" s="1">
        <v>2.5</v>
      </c>
      <c r="X840" s="1">
        <f t="shared" si="54"/>
        <v>7.5</v>
      </c>
      <c r="Y840" s="5" t="str">
        <f t="shared" si="52"/>
        <v>B</v>
      </c>
    </row>
    <row r="841" spans="2:25" x14ac:dyDescent="0.25">
      <c r="B841" s="11">
        <v>45425</v>
      </c>
      <c r="C841" s="7">
        <v>600004225423</v>
      </c>
      <c r="D841" s="5">
        <v>1</v>
      </c>
      <c r="E841" t="s">
        <v>875</v>
      </c>
      <c r="F841" t="s">
        <v>581</v>
      </c>
      <c r="G841" t="s">
        <v>687</v>
      </c>
      <c r="H841" t="s">
        <v>745</v>
      </c>
      <c r="I841" t="s">
        <v>808</v>
      </c>
      <c r="J841" s="27" t="s">
        <v>525</v>
      </c>
      <c r="K841" s="5" t="s">
        <v>15</v>
      </c>
      <c r="L841" s="1" t="s">
        <v>79</v>
      </c>
      <c r="M841" s="1" t="s">
        <v>43</v>
      </c>
      <c r="N841" s="1" t="s">
        <v>441</v>
      </c>
      <c r="O841" s="1" t="s">
        <v>19</v>
      </c>
      <c r="P841" s="9">
        <v>45425</v>
      </c>
      <c r="Q841" s="1" t="s">
        <v>475</v>
      </c>
      <c r="R841" s="1" t="s">
        <v>50</v>
      </c>
      <c r="S841" s="1">
        <v>1</v>
      </c>
      <c r="T841" s="12">
        <v>0.5</v>
      </c>
      <c r="U841" s="12">
        <v>0.5625</v>
      </c>
      <c r="V841" s="1">
        <v>1.5</v>
      </c>
      <c r="W841" s="1">
        <v>1.5</v>
      </c>
      <c r="X841" s="1">
        <f t="shared" si="54"/>
        <v>1.5</v>
      </c>
      <c r="Y841" s="5" t="str">
        <f t="shared" si="52"/>
        <v>C</v>
      </c>
    </row>
    <row r="842" spans="2:25" x14ac:dyDescent="0.25">
      <c r="B842" s="11">
        <v>45425</v>
      </c>
      <c r="C842" s="7">
        <v>600004225354</v>
      </c>
      <c r="D842" s="5">
        <v>1</v>
      </c>
      <c r="E842" t="s">
        <v>918</v>
      </c>
      <c r="F842" t="s">
        <v>622</v>
      </c>
      <c r="G842" t="s">
        <v>730</v>
      </c>
      <c r="H842" t="s">
        <v>745</v>
      </c>
      <c r="I842" t="s">
        <v>851</v>
      </c>
      <c r="J842" s="26" t="s">
        <v>525</v>
      </c>
      <c r="K842" s="5" t="s">
        <v>15</v>
      </c>
      <c r="L842" s="1" t="s">
        <v>71</v>
      </c>
      <c r="M842" s="1" t="s">
        <v>303</v>
      </c>
      <c r="N842" s="1" t="s">
        <v>270</v>
      </c>
      <c r="O842" s="1" t="s">
        <v>19</v>
      </c>
      <c r="P842" s="9">
        <v>45425</v>
      </c>
      <c r="Q842" s="1" t="s">
        <v>479</v>
      </c>
      <c r="R842" s="1" t="s">
        <v>63</v>
      </c>
      <c r="S842" s="1">
        <v>3</v>
      </c>
      <c r="T842" s="12">
        <v>0.52083333333333337</v>
      </c>
      <c r="U842" s="12">
        <v>0.60416666666666663</v>
      </c>
      <c r="V842" s="1">
        <v>2</v>
      </c>
      <c r="W842" s="1">
        <v>2</v>
      </c>
      <c r="X842" s="1">
        <f t="shared" si="54"/>
        <v>6</v>
      </c>
      <c r="Y842" s="5" t="str">
        <f t="shared" si="52"/>
        <v>C</v>
      </c>
    </row>
    <row r="843" spans="2:25" x14ac:dyDescent="0.25">
      <c r="B843" s="11">
        <v>45425</v>
      </c>
      <c r="C843" s="7">
        <v>600004225420</v>
      </c>
      <c r="D843" s="5">
        <v>1</v>
      </c>
      <c r="E843" t="s">
        <v>884</v>
      </c>
      <c r="F843" t="s">
        <v>590</v>
      </c>
      <c r="G843" t="s">
        <v>696</v>
      </c>
      <c r="H843" t="s">
        <v>745</v>
      </c>
      <c r="I843" t="s">
        <v>817</v>
      </c>
      <c r="J843" s="27" t="s">
        <v>525</v>
      </c>
      <c r="K843" s="5" t="s">
        <v>44</v>
      </c>
      <c r="L843" s="1" t="s">
        <v>148</v>
      </c>
      <c r="M843" s="1" t="s">
        <v>114</v>
      </c>
      <c r="N843" s="1" t="s">
        <v>115</v>
      </c>
      <c r="O843" s="1" t="s">
        <v>19</v>
      </c>
      <c r="P843" s="9">
        <v>45425</v>
      </c>
      <c r="Q843" s="1" t="s">
        <v>476</v>
      </c>
      <c r="R843" s="1" t="s">
        <v>63</v>
      </c>
      <c r="S843" s="1">
        <v>1</v>
      </c>
      <c r="T843" s="12">
        <v>0.54166666666666663</v>
      </c>
      <c r="U843" s="12">
        <v>0.58333333333333337</v>
      </c>
      <c r="V843" s="1">
        <v>1</v>
      </c>
      <c r="W843" s="1">
        <v>1</v>
      </c>
      <c r="X843" s="1">
        <f t="shared" si="54"/>
        <v>1</v>
      </c>
      <c r="Y843" s="5" t="str">
        <f t="shared" si="52"/>
        <v>C</v>
      </c>
    </row>
    <row r="844" spans="2:25" x14ac:dyDescent="0.25">
      <c r="B844" s="11">
        <v>45427</v>
      </c>
      <c r="C844" s="7">
        <v>600004225943</v>
      </c>
      <c r="D844" s="5">
        <v>1</v>
      </c>
      <c r="E844" t="s">
        <v>891</v>
      </c>
      <c r="F844" t="s">
        <v>596</v>
      </c>
      <c r="G844" t="s">
        <v>703</v>
      </c>
      <c r="H844" t="s">
        <v>747</v>
      </c>
      <c r="I844" t="s">
        <v>824</v>
      </c>
      <c r="J844" s="27" t="s">
        <v>524</v>
      </c>
      <c r="K844" s="5" t="s">
        <v>127</v>
      </c>
      <c r="L844" s="1" t="s">
        <v>79</v>
      </c>
      <c r="M844" s="1" t="s">
        <v>146</v>
      </c>
      <c r="N844" s="1" t="s">
        <v>317</v>
      </c>
      <c r="O844" s="1" t="s">
        <v>19</v>
      </c>
      <c r="P844" s="9">
        <v>45427</v>
      </c>
      <c r="Q844" s="1" t="s">
        <v>478</v>
      </c>
      <c r="R844" s="1" t="s">
        <v>50</v>
      </c>
      <c r="S844" s="1">
        <v>1</v>
      </c>
      <c r="T844" s="12">
        <v>0.29166666666666669</v>
      </c>
      <c r="U844" s="12">
        <v>0.375</v>
      </c>
      <c r="V844" s="1">
        <v>2</v>
      </c>
      <c r="W844" s="1">
        <v>2</v>
      </c>
      <c r="X844" s="1">
        <f t="shared" si="54"/>
        <v>2</v>
      </c>
      <c r="Y844" s="5" t="str">
        <f t="shared" si="52"/>
        <v>C</v>
      </c>
    </row>
    <row r="845" spans="2:25" x14ac:dyDescent="0.25">
      <c r="B845" s="11">
        <v>45425</v>
      </c>
      <c r="C845" s="7">
        <v>600004225425</v>
      </c>
      <c r="D845" s="5">
        <v>1</v>
      </c>
      <c r="E845" t="s">
        <v>918</v>
      </c>
      <c r="F845" t="s">
        <v>622</v>
      </c>
      <c r="G845" t="s">
        <v>730</v>
      </c>
      <c r="H845" t="s">
        <v>745</v>
      </c>
      <c r="I845" t="s">
        <v>851</v>
      </c>
      <c r="J845" s="26" t="s">
        <v>525</v>
      </c>
      <c r="K845" s="5" t="s">
        <v>15</v>
      </c>
      <c r="L845" s="1" t="s">
        <v>79</v>
      </c>
      <c r="M845" s="1" t="s">
        <v>148</v>
      </c>
      <c r="N845" s="1" t="s">
        <v>108</v>
      </c>
      <c r="O845" s="1" t="s">
        <v>176</v>
      </c>
      <c r="P845" s="9">
        <v>45425</v>
      </c>
      <c r="Q845" s="1" t="s">
        <v>475</v>
      </c>
      <c r="R845" s="1" t="s">
        <v>50</v>
      </c>
      <c r="S845" s="1">
        <v>1</v>
      </c>
      <c r="T845" s="12">
        <v>0.5</v>
      </c>
      <c r="U845" s="12">
        <v>0.58333333333333337</v>
      </c>
      <c r="V845" s="1">
        <v>2</v>
      </c>
      <c r="W845" s="1">
        <v>2</v>
      </c>
      <c r="X845" s="1">
        <f t="shared" si="54"/>
        <v>2</v>
      </c>
      <c r="Y845" s="5" t="str">
        <f t="shared" si="52"/>
        <v>C</v>
      </c>
    </row>
    <row r="846" spans="2:25" x14ac:dyDescent="0.25">
      <c r="B846" s="11">
        <v>45450</v>
      </c>
      <c r="C846" s="7">
        <v>600004230866</v>
      </c>
      <c r="D846" s="5">
        <v>1</v>
      </c>
      <c r="E846" t="s">
        <v>864</v>
      </c>
      <c r="F846" t="s">
        <v>571</v>
      </c>
      <c r="G846" t="s">
        <v>676</v>
      </c>
      <c r="H846" t="s">
        <v>745</v>
      </c>
      <c r="I846" t="s">
        <v>797</v>
      </c>
      <c r="J846" s="27" t="s">
        <v>525</v>
      </c>
      <c r="K846" s="5" t="s">
        <v>15</v>
      </c>
      <c r="L846" s="1" t="s">
        <v>89</v>
      </c>
      <c r="M846" s="1" t="s">
        <v>281</v>
      </c>
      <c r="N846" s="1" t="s">
        <v>442</v>
      </c>
      <c r="O846" s="1" t="s">
        <v>19</v>
      </c>
      <c r="P846" s="9">
        <v>45450</v>
      </c>
      <c r="Q846" s="1" t="s">
        <v>479</v>
      </c>
      <c r="R846" s="1" t="s">
        <v>63</v>
      </c>
      <c r="S846" s="1">
        <v>2</v>
      </c>
      <c r="T846" s="12">
        <v>0.29166666666666669</v>
      </c>
      <c r="U846" s="12">
        <v>0.33333333333333331</v>
      </c>
      <c r="V846" s="1">
        <v>1</v>
      </c>
      <c r="W846" s="1">
        <v>1</v>
      </c>
      <c r="X846" s="1">
        <f t="shared" ref="X846:X851" si="55">PRODUCT(S846,V846)</f>
        <v>2</v>
      </c>
      <c r="Y846" s="5" t="str">
        <f t="shared" si="52"/>
        <v>C</v>
      </c>
    </row>
    <row r="847" spans="2:25" x14ac:dyDescent="0.25">
      <c r="B847" s="11">
        <v>45446</v>
      </c>
      <c r="C847" s="7">
        <v>600004229769</v>
      </c>
      <c r="D847" s="5">
        <v>1</v>
      </c>
      <c r="E847" t="s">
        <v>489</v>
      </c>
      <c r="F847" t="s">
        <v>533</v>
      </c>
      <c r="G847" t="s">
        <v>638</v>
      </c>
      <c r="H847" t="s">
        <v>745</v>
      </c>
      <c r="I847" t="s">
        <v>759</v>
      </c>
      <c r="J847" s="27" t="s">
        <v>525</v>
      </c>
      <c r="K847" s="5" t="s">
        <v>15</v>
      </c>
      <c r="L847" s="1" t="s">
        <v>16</v>
      </c>
      <c r="M847" s="1" t="s">
        <v>137</v>
      </c>
      <c r="N847" s="1" t="s">
        <v>67</v>
      </c>
      <c r="O847" s="1" t="s">
        <v>19</v>
      </c>
      <c r="P847" s="9">
        <v>45446</v>
      </c>
      <c r="Q847" s="1" t="s">
        <v>477</v>
      </c>
      <c r="R847" s="1" t="s">
        <v>63</v>
      </c>
      <c r="S847" s="1">
        <v>2</v>
      </c>
      <c r="T847" s="12">
        <v>0.29166666666666669</v>
      </c>
      <c r="U847" s="12">
        <v>0.375</v>
      </c>
      <c r="V847" s="1">
        <v>2</v>
      </c>
      <c r="W847" s="1">
        <v>2</v>
      </c>
      <c r="X847" s="1">
        <f t="shared" si="55"/>
        <v>4</v>
      </c>
      <c r="Y847" s="5" t="str">
        <f t="shared" si="52"/>
        <v>C</v>
      </c>
    </row>
    <row r="848" spans="2:25" x14ac:dyDescent="0.25">
      <c r="B848" s="11">
        <v>45447</v>
      </c>
      <c r="C848" s="7">
        <v>600004230060</v>
      </c>
      <c r="D848" s="5">
        <v>1</v>
      </c>
      <c r="E848" t="s">
        <v>489</v>
      </c>
      <c r="F848" t="s">
        <v>533</v>
      </c>
      <c r="G848" t="s">
        <v>638</v>
      </c>
      <c r="H848" t="s">
        <v>745</v>
      </c>
      <c r="I848" t="s">
        <v>759</v>
      </c>
      <c r="J848" s="27" t="s">
        <v>525</v>
      </c>
      <c r="K848" s="5" t="s">
        <v>15</v>
      </c>
      <c r="L848" s="1" t="s">
        <v>57</v>
      </c>
      <c r="M848" s="1" t="s">
        <v>137</v>
      </c>
      <c r="N848" s="1" t="s">
        <v>117</v>
      </c>
      <c r="O848" s="1" t="s">
        <v>19</v>
      </c>
      <c r="P848" s="9">
        <v>45447</v>
      </c>
      <c r="Q848" s="1" t="s">
        <v>477</v>
      </c>
      <c r="R848" s="1" t="s">
        <v>63</v>
      </c>
      <c r="S848" s="1">
        <v>2</v>
      </c>
      <c r="T848" s="12">
        <v>0.29166666666666669</v>
      </c>
      <c r="U848" s="12">
        <v>0.39583333333333331</v>
      </c>
      <c r="V848" s="1">
        <v>2.5</v>
      </c>
      <c r="W848" s="1">
        <v>2.5</v>
      </c>
      <c r="X848" s="1">
        <f t="shared" si="55"/>
        <v>5</v>
      </c>
      <c r="Y848" s="5" t="str">
        <f t="shared" si="52"/>
        <v>B</v>
      </c>
    </row>
    <row r="849" spans="2:25" x14ac:dyDescent="0.25">
      <c r="B849" s="11">
        <v>45446</v>
      </c>
      <c r="C849" s="7">
        <v>600004229771</v>
      </c>
      <c r="D849" s="5">
        <v>1</v>
      </c>
      <c r="E849" t="s">
        <v>923</v>
      </c>
      <c r="F849" t="s">
        <v>627</v>
      </c>
      <c r="G849" t="s">
        <v>735</v>
      </c>
      <c r="H849" t="s">
        <v>740</v>
      </c>
      <c r="I849" t="s">
        <v>856</v>
      </c>
      <c r="J849" s="26" t="s">
        <v>524</v>
      </c>
      <c r="K849" s="5" t="s">
        <v>168</v>
      </c>
      <c r="L849" s="1" t="s">
        <v>57</v>
      </c>
      <c r="M849" s="1" t="s">
        <v>101</v>
      </c>
      <c r="N849" s="1" t="s">
        <v>443</v>
      </c>
      <c r="O849" s="1" t="s">
        <v>19</v>
      </c>
      <c r="P849" s="9">
        <v>45446</v>
      </c>
      <c r="Q849" s="1" t="s">
        <v>474</v>
      </c>
      <c r="R849" s="1" t="s">
        <v>63</v>
      </c>
      <c r="S849" s="1">
        <v>3</v>
      </c>
      <c r="T849" s="12">
        <v>0.25</v>
      </c>
      <c r="U849" s="12">
        <v>0.58333333333333337</v>
      </c>
      <c r="V849" s="1">
        <v>8</v>
      </c>
      <c r="W849" s="1">
        <v>8</v>
      </c>
      <c r="X849" s="1">
        <f t="shared" si="55"/>
        <v>24</v>
      </c>
      <c r="Y849" s="5" t="str">
        <f t="shared" si="52"/>
        <v>B</v>
      </c>
    </row>
    <row r="850" spans="2:25" x14ac:dyDescent="0.25">
      <c r="B850" s="11">
        <v>45453</v>
      </c>
      <c r="C850" s="7">
        <v>600004231304</v>
      </c>
      <c r="D850" s="5">
        <v>1</v>
      </c>
      <c r="E850" t="s">
        <v>482</v>
      </c>
      <c r="F850" t="s">
        <v>526</v>
      </c>
      <c r="G850" t="s">
        <v>631</v>
      </c>
      <c r="H850" t="s">
        <v>740</v>
      </c>
      <c r="I850" t="s">
        <v>752</v>
      </c>
      <c r="J850" s="27" t="s">
        <v>524</v>
      </c>
      <c r="K850" s="5" t="s">
        <v>70</v>
      </c>
      <c r="L850" s="1" t="s">
        <v>36</v>
      </c>
      <c r="M850" s="1" t="s">
        <v>112</v>
      </c>
      <c r="N850" s="1" t="s">
        <v>112</v>
      </c>
      <c r="O850" s="1" t="s">
        <v>19</v>
      </c>
      <c r="P850" s="9">
        <v>45454</v>
      </c>
      <c r="Q850" s="1" t="s">
        <v>474</v>
      </c>
      <c r="R850" s="1" t="s">
        <v>63</v>
      </c>
      <c r="S850" s="1">
        <v>2</v>
      </c>
      <c r="T850" s="12">
        <v>0.25</v>
      </c>
      <c r="U850" s="12">
        <v>0.54166666666666663</v>
      </c>
      <c r="V850" s="1">
        <v>7</v>
      </c>
      <c r="W850" s="1">
        <v>7</v>
      </c>
      <c r="X850" s="1">
        <f t="shared" si="55"/>
        <v>14</v>
      </c>
      <c r="Y850" s="5" t="str">
        <f t="shared" si="52"/>
        <v>B</v>
      </c>
    </row>
    <row r="851" spans="2:25" x14ac:dyDescent="0.25">
      <c r="B851" s="11">
        <v>45456</v>
      </c>
      <c r="C851" s="7">
        <v>600004232015</v>
      </c>
      <c r="D851" s="5">
        <v>1</v>
      </c>
      <c r="E851" t="s">
        <v>485</v>
      </c>
      <c r="F851" t="s">
        <v>529</v>
      </c>
      <c r="G851" t="s">
        <v>634</v>
      </c>
      <c r="H851" t="s">
        <v>742</v>
      </c>
      <c r="I851" t="s">
        <v>755</v>
      </c>
      <c r="J851" s="27" t="s">
        <v>524</v>
      </c>
      <c r="K851" s="5" t="s">
        <v>64</v>
      </c>
      <c r="L851" s="1" t="s">
        <v>79</v>
      </c>
      <c r="M851" s="1" t="s">
        <v>279</v>
      </c>
      <c r="N851" s="1" t="s">
        <v>444</v>
      </c>
      <c r="O851" s="20" t="s">
        <v>19</v>
      </c>
      <c r="P851" s="9">
        <v>45456</v>
      </c>
      <c r="Q851" s="1" t="s">
        <v>473</v>
      </c>
      <c r="R851" s="1" t="s">
        <v>63</v>
      </c>
      <c r="S851" s="1">
        <v>1</v>
      </c>
      <c r="T851" s="12">
        <v>0.25</v>
      </c>
      <c r="U851" s="12">
        <v>0.29166666666666669</v>
      </c>
      <c r="V851" s="1">
        <v>1</v>
      </c>
      <c r="W851" s="1">
        <v>1</v>
      </c>
      <c r="X851" s="1">
        <f t="shared" si="55"/>
        <v>1</v>
      </c>
      <c r="Y851" s="5" t="str">
        <f t="shared" si="52"/>
        <v>C</v>
      </c>
    </row>
    <row r="852" spans="2:25" x14ac:dyDescent="0.25">
      <c r="B852" s="11">
        <v>45457</v>
      </c>
      <c r="C852" s="7">
        <v>600004232245</v>
      </c>
      <c r="D852" s="5">
        <v>1</v>
      </c>
      <c r="E852" t="s">
        <v>924</v>
      </c>
      <c r="F852" t="s">
        <v>628</v>
      </c>
      <c r="G852" t="s">
        <v>736</v>
      </c>
      <c r="H852" t="s">
        <v>740</v>
      </c>
      <c r="I852" t="s">
        <v>857</v>
      </c>
      <c r="J852" s="26" t="s">
        <v>524</v>
      </c>
      <c r="K852" s="5" t="s">
        <v>446</v>
      </c>
      <c r="L852" s="1" t="s">
        <v>79</v>
      </c>
      <c r="M852" s="1" t="s">
        <v>80</v>
      </c>
      <c r="N852" s="1" t="s">
        <v>441</v>
      </c>
      <c r="O852" s="1" t="s">
        <v>19</v>
      </c>
      <c r="P852" s="9">
        <v>45457</v>
      </c>
      <c r="Q852" s="1" t="s">
        <v>475</v>
      </c>
      <c r="R852" s="1" t="s">
        <v>50</v>
      </c>
      <c r="S852" s="1">
        <v>1</v>
      </c>
      <c r="T852" s="12">
        <v>0.41666666666666669</v>
      </c>
      <c r="U852" s="12">
        <v>0.58333333333333337</v>
      </c>
      <c r="V852" s="1">
        <v>4</v>
      </c>
      <c r="W852" s="1">
        <v>4</v>
      </c>
      <c r="X852" s="1">
        <f t="shared" ref="X852:X862" si="56">PRODUCT(S852,V852)</f>
        <v>4</v>
      </c>
      <c r="Y852" s="5" t="str">
        <f t="shared" si="52"/>
        <v>B</v>
      </c>
    </row>
    <row r="853" spans="2:25" x14ac:dyDescent="0.25">
      <c r="B853" s="11">
        <v>45467</v>
      </c>
      <c r="C853" s="7">
        <v>600004234294</v>
      </c>
      <c r="D853" s="5">
        <v>1</v>
      </c>
      <c r="E853" t="s">
        <v>512</v>
      </c>
      <c r="F853" t="s">
        <v>556</v>
      </c>
      <c r="G853" t="s">
        <v>661</v>
      </c>
      <c r="H853" t="s">
        <v>745</v>
      </c>
      <c r="I853" t="s">
        <v>782</v>
      </c>
      <c r="J853" s="26" t="s">
        <v>525</v>
      </c>
      <c r="K853" s="5" t="s">
        <v>88</v>
      </c>
      <c r="L853" s="1" t="s">
        <v>89</v>
      </c>
      <c r="M853" s="1" t="s">
        <v>137</v>
      </c>
      <c r="N853" s="1" t="s">
        <v>52</v>
      </c>
      <c r="O853" s="1" t="s">
        <v>19</v>
      </c>
      <c r="P853" s="9">
        <v>45467</v>
      </c>
      <c r="Q853" s="1" t="s">
        <v>477</v>
      </c>
      <c r="R853" s="1" t="s">
        <v>63</v>
      </c>
      <c r="S853" s="1">
        <v>3</v>
      </c>
      <c r="T853" s="12">
        <v>0.3125</v>
      </c>
      <c r="U853" s="12">
        <v>0.375</v>
      </c>
      <c r="V853" s="1">
        <v>1.5</v>
      </c>
      <c r="W853" s="1">
        <v>1.5</v>
      </c>
      <c r="X853" s="1">
        <f t="shared" si="56"/>
        <v>4.5</v>
      </c>
      <c r="Y853" s="5" t="str">
        <f t="shared" si="52"/>
        <v>C</v>
      </c>
    </row>
    <row r="854" spans="2:25" x14ac:dyDescent="0.25">
      <c r="B854" s="11">
        <v>45461</v>
      </c>
      <c r="C854" s="7">
        <v>600004233062</v>
      </c>
      <c r="D854" s="5">
        <v>1</v>
      </c>
      <c r="E854" t="s">
        <v>918</v>
      </c>
      <c r="F854" t="s">
        <v>622</v>
      </c>
      <c r="G854" t="s">
        <v>730</v>
      </c>
      <c r="H854" t="s">
        <v>745</v>
      </c>
      <c r="I854" t="s">
        <v>851</v>
      </c>
      <c r="J854" s="26" t="s">
        <v>525</v>
      </c>
      <c r="K854" s="5" t="s">
        <v>15</v>
      </c>
      <c r="L854" s="1" t="s">
        <v>57</v>
      </c>
      <c r="M854" s="1" t="s">
        <v>71</v>
      </c>
      <c r="N854" s="1" t="s">
        <v>116</v>
      </c>
      <c r="O854" s="1" t="s">
        <v>19</v>
      </c>
      <c r="P854" s="9">
        <v>45461</v>
      </c>
      <c r="Q854" s="1" t="s">
        <v>477</v>
      </c>
      <c r="R854" s="1" t="s">
        <v>63</v>
      </c>
      <c r="S854" s="1">
        <v>3</v>
      </c>
      <c r="T854" s="12">
        <v>0.29166666666666669</v>
      </c>
      <c r="U854" s="12">
        <v>0.375</v>
      </c>
      <c r="V854" s="1">
        <v>2</v>
      </c>
      <c r="W854" s="1">
        <v>2</v>
      </c>
      <c r="X854" s="1">
        <f t="shared" si="56"/>
        <v>6</v>
      </c>
      <c r="Y854" s="5" t="str">
        <f t="shared" si="52"/>
        <v>C</v>
      </c>
    </row>
    <row r="855" spans="2:25" x14ac:dyDescent="0.25">
      <c r="B855" s="11">
        <v>45454</v>
      </c>
      <c r="C855" s="7">
        <v>600004231544</v>
      </c>
      <c r="D855" s="5">
        <v>1</v>
      </c>
      <c r="E855" t="s">
        <v>918</v>
      </c>
      <c r="F855" t="s">
        <v>622</v>
      </c>
      <c r="G855" t="s">
        <v>730</v>
      </c>
      <c r="H855" t="s">
        <v>745</v>
      </c>
      <c r="I855" t="s">
        <v>851</v>
      </c>
      <c r="J855" s="26" t="s">
        <v>525</v>
      </c>
      <c r="K855" s="5" t="s">
        <v>15</v>
      </c>
      <c r="L855" s="1" t="s">
        <v>71</v>
      </c>
      <c r="M855" s="1" t="s">
        <v>58</v>
      </c>
      <c r="N855" s="1" t="s">
        <v>116</v>
      </c>
      <c r="O855" s="1" t="s">
        <v>19</v>
      </c>
      <c r="P855" s="9">
        <v>45454</v>
      </c>
      <c r="Q855" s="1" t="s">
        <v>477</v>
      </c>
      <c r="R855" s="1" t="s">
        <v>63</v>
      </c>
      <c r="S855" s="1">
        <v>2</v>
      </c>
      <c r="T855" s="12">
        <v>0.54166666666666663</v>
      </c>
      <c r="U855" s="12">
        <v>0.58333333333333337</v>
      </c>
      <c r="V855" s="1">
        <v>1</v>
      </c>
      <c r="W855" s="1">
        <v>1</v>
      </c>
      <c r="X855" s="1">
        <f t="shared" si="56"/>
        <v>2</v>
      </c>
      <c r="Y855" s="5" t="str">
        <f t="shared" si="52"/>
        <v>C</v>
      </c>
    </row>
    <row r="856" spans="2:25" x14ac:dyDescent="0.25">
      <c r="B856" s="11">
        <v>45455</v>
      </c>
      <c r="C856" s="7">
        <v>600004231758</v>
      </c>
      <c r="D856" s="1">
        <v>1</v>
      </c>
      <c r="E856" t="s">
        <v>874</v>
      </c>
      <c r="F856" t="s">
        <v>572</v>
      </c>
      <c r="G856" t="s">
        <v>686</v>
      </c>
      <c r="H856" t="s">
        <v>745</v>
      </c>
      <c r="I856" t="s">
        <v>807</v>
      </c>
      <c r="J856" s="26" t="s">
        <v>525</v>
      </c>
      <c r="K856" s="1" t="s">
        <v>168</v>
      </c>
      <c r="L856" s="1" t="s">
        <v>57</v>
      </c>
      <c r="M856" s="1" t="s">
        <v>328</v>
      </c>
      <c r="N856" s="1" t="s">
        <v>45</v>
      </c>
      <c r="O856" s="1" t="s">
        <v>19</v>
      </c>
      <c r="P856" s="9">
        <v>45455</v>
      </c>
      <c r="Q856" s="1" t="s">
        <v>479</v>
      </c>
      <c r="R856" s="1" t="s">
        <v>63</v>
      </c>
      <c r="S856" s="1">
        <v>2</v>
      </c>
      <c r="T856" s="12">
        <v>0.29166666666666669</v>
      </c>
      <c r="U856" s="12">
        <v>0.41666666666666669</v>
      </c>
      <c r="V856" s="1">
        <v>3</v>
      </c>
      <c r="W856" s="1">
        <v>3</v>
      </c>
      <c r="X856" s="1">
        <f t="shared" si="56"/>
        <v>6</v>
      </c>
      <c r="Y856" s="5" t="str">
        <f t="shared" si="52"/>
        <v>B</v>
      </c>
    </row>
    <row r="857" spans="2:25" x14ac:dyDescent="0.25">
      <c r="B857" s="11">
        <v>45461</v>
      </c>
      <c r="C857" s="7">
        <v>600004233011</v>
      </c>
      <c r="D857" s="5">
        <v>1</v>
      </c>
      <c r="E857" t="s">
        <v>900</v>
      </c>
      <c r="F857" t="s">
        <v>605</v>
      </c>
      <c r="G857" t="s">
        <v>712</v>
      </c>
      <c r="H857" t="s">
        <v>745</v>
      </c>
      <c r="I857" t="s">
        <v>833</v>
      </c>
      <c r="J857" s="27" t="s">
        <v>525</v>
      </c>
      <c r="K857" s="5" t="s">
        <v>88</v>
      </c>
      <c r="L857" s="1" t="s">
        <v>36</v>
      </c>
      <c r="M857" s="1" t="s">
        <v>129</v>
      </c>
      <c r="N857" s="1" t="s">
        <v>396</v>
      </c>
      <c r="O857" s="1" t="s">
        <v>19</v>
      </c>
      <c r="P857" s="9">
        <v>45461</v>
      </c>
      <c r="Q857" s="1" t="s">
        <v>477</v>
      </c>
      <c r="R857" s="1" t="s">
        <v>63</v>
      </c>
      <c r="S857" s="1">
        <v>2</v>
      </c>
      <c r="T857" s="12">
        <v>0.625</v>
      </c>
      <c r="U857" s="12">
        <v>0.66666666666666663</v>
      </c>
      <c r="V857" s="1">
        <v>1</v>
      </c>
      <c r="W857" s="1">
        <v>1</v>
      </c>
      <c r="X857" s="1">
        <f t="shared" si="56"/>
        <v>2</v>
      </c>
      <c r="Y857" s="5" t="str">
        <f t="shared" si="52"/>
        <v>C</v>
      </c>
    </row>
    <row r="858" spans="2:25" x14ac:dyDescent="0.25">
      <c r="B858" s="11">
        <v>45454</v>
      </c>
      <c r="C858" s="7">
        <v>600004231537</v>
      </c>
      <c r="D858" s="5">
        <v>1</v>
      </c>
      <c r="E858" t="s">
        <v>493</v>
      </c>
      <c r="F858" t="s">
        <v>537</v>
      </c>
      <c r="G858" t="s">
        <v>642</v>
      </c>
      <c r="H858" t="s">
        <v>745</v>
      </c>
      <c r="I858" t="s">
        <v>763</v>
      </c>
      <c r="J858" s="27" t="s">
        <v>525</v>
      </c>
      <c r="K858" s="5" t="s">
        <v>15</v>
      </c>
      <c r="L858" s="1" t="s">
        <v>57</v>
      </c>
      <c r="M858" s="1" t="s">
        <v>71</v>
      </c>
      <c r="N858" s="1" t="s">
        <v>194</v>
      </c>
      <c r="O858" s="1" t="s">
        <v>19</v>
      </c>
      <c r="P858" s="9">
        <v>45454</v>
      </c>
      <c r="Q858" s="1" t="s">
        <v>477</v>
      </c>
      <c r="R858" s="1" t="s">
        <v>63</v>
      </c>
      <c r="S858" s="1">
        <v>2</v>
      </c>
      <c r="T858" s="12">
        <v>0.5</v>
      </c>
      <c r="U858" s="12">
        <v>0.58333333333333337</v>
      </c>
      <c r="V858" s="1">
        <v>2</v>
      </c>
      <c r="W858" s="1">
        <v>2</v>
      </c>
      <c r="X858" s="1">
        <f t="shared" si="56"/>
        <v>4</v>
      </c>
      <c r="Y858" s="5" t="str">
        <f t="shared" si="52"/>
        <v>C</v>
      </c>
    </row>
    <row r="859" spans="2:25" x14ac:dyDescent="0.25">
      <c r="B859" s="11">
        <v>45456</v>
      </c>
      <c r="C859" s="7">
        <v>600004232047</v>
      </c>
      <c r="D859" s="5">
        <v>1</v>
      </c>
      <c r="E859" t="s">
        <v>493</v>
      </c>
      <c r="F859" t="s">
        <v>537</v>
      </c>
      <c r="G859" t="s">
        <v>642</v>
      </c>
      <c r="H859" t="s">
        <v>745</v>
      </c>
      <c r="I859" t="s">
        <v>763</v>
      </c>
      <c r="J859" s="27" t="s">
        <v>525</v>
      </c>
      <c r="K859" s="5" t="s">
        <v>15</v>
      </c>
      <c r="L859" s="1" t="s">
        <v>137</v>
      </c>
      <c r="M859" s="1" t="s">
        <v>52</v>
      </c>
      <c r="N859" s="1" t="s">
        <v>53</v>
      </c>
      <c r="O859" s="1" t="s">
        <v>19</v>
      </c>
      <c r="P859" s="9">
        <v>45456</v>
      </c>
      <c r="Q859" s="1" t="s">
        <v>477</v>
      </c>
      <c r="R859" s="1" t="s">
        <v>63</v>
      </c>
      <c r="S859" s="1">
        <v>3</v>
      </c>
      <c r="T859" s="12">
        <v>0.5625</v>
      </c>
      <c r="U859" s="12">
        <v>0.64583333333333337</v>
      </c>
      <c r="V859" s="1">
        <v>2</v>
      </c>
      <c r="W859" s="1">
        <v>2</v>
      </c>
      <c r="X859" s="1">
        <f t="shared" si="56"/>
        <v>6</v>
      </c>
      <c r="Y859" s="5" t="str">
        <f t="shared" si="52"/>
        <v>C</v>
      </c>
    </row>
    <row r="860" spans="2:25" x14ac:dyDescent="0.25">
      <c r="B860" s="11">
        <v>45457</v>
      </c>
      <c r="C860" s="7">
        <v>600004232229</v>
      </c>
      <c r="D860" s="5">
        <v>1</v>
      </c>
      <c r="E860" t="s">
        <v>504</v>
      </c>
      <c r="F860" t="s">
        <v>548</v>
      </c>
      <c r="G860" t="s">
        <v>653</v>
      </c>
      <c r="H860" t="s">
        <v>745</v>
      </c>
      <c r="I860" t="s">
        <v>774</v>
      </c>
      <c r="J860" s="27" t="s">
        <v>525</v>
      </c>
      <c r="K860" s="5" t="s">
        <v>15</v>
      </c>
      <c r="L860" s="1" t="s">
        <v>137</v>
      </c>
      <c r="M860" s="1" t="s">
        <v>52</v>
      </c>
      <c r="N860" s="1" t="s">
        <v>177</v>
      </c>
      <c r="O860" s="1" t="s">
        <v>19</v>
      </c>
      <c r="P860" s="9">
        <v>45457</v>
      </c>
      <c r="Q860" s="1" t="s">
        <v>479</v>
      </c>
      <c r="R860" s="1" t="s">
        <v>63</v>
      </c>
      <c r="S860" s="1">
        <v>2</v>
      </c>
      <c r="T860" s="12">
        <v>0.39583333333333331</v>
      </c>
      <c r="U860" s="12">
        <v>0.47916666666666669</v>
      </c>
      <c r="V860" s="1">
        <v>2</v>
      </c>
      <c r="W860" s="1">
        <v>2</v>
      </c>
      <c r="X860" s="1">
        <f t="shared" si="56"/>
        <v>4</v>
      </c>
      <c r="Y860" s="5" t="str">
        <f t="shared" si="52"/>
        <v>C</v>
      </c>
    </row>
    <row r="861" spans="2:25" x14ac:dyDescent="0.25">
      <c r="B861" s="11">
        <v>45455</v>
      </c>
      <c r="C861" s="7">
        <v>600004231748</v>
      </c>
      <c r="D861" s="5">
        <v>1</v>
      </c>
      <c r="E861" t="s">
        <v>497</v>
      </c>
      <c r="F861" t="s">
        <v>541</v>
      </c>
      <c r="G861" t="s">
        <v>646</v>
      </c>
      <c r="H861" t="s">
        <v>746</v>
      </c>
      <c r="I861" t="s">
        <v>767</v>
      </c>
      <c r="J861" s="27" t="s">
        <v>525</v>
      </c>
      <c r="K861" s="5" t="s">
        <v>76</v>
      </c>
      <c r="L861" s="1" t="s">
        <v>36</v>
      </c>
      <c r="M861" s="1" t="s">
        <v>394</v>
      </c>
      <c r="N861" s="1" t="s">
        <v>129</v>
      </c>
      <c r="O861" s="1" t="s">
        <v>19</v>
      </c>
      <c r="P861" s="9">
        <v>45455</v>
      </c>
      <c r="Q861" s="1" t="s">
        <v>477</v>
      </c>
      <c r="R861" s="1" t="s">
        <v>63</v>
      </c>
      <c r="S861" s="1">
        <v>3</v>
      </c>
      <c r="T861" s="12">
        <v>0.29166666666666669</v>
      </c>
      <c r="U861" s="12">
        <v>0.375</v>
      </c>
      <c r="V861" s="1">
        <v>2</v>
      </c>
      <c r="W861" s="1">
        <v>2</v>
      </c>
      <c r="X861" s="1">
        <f t="shared" si="56"/>
        <v>6</v>
      </c>
      <c r="Y861" s="5" t="str">
        <f t="shared" si="52"/>
        <v>C</v>
      </c>
    </row>
    <row r="862" spans="2:25" x14ac:dyDescent="0.25">
      <c r="B862" s="11">
        <v>45454</v>
      </c>
      <c r="C862" s="7">
        <v>600004231541</v>
      </c>
      <c r="D862" s="5">
        <v>1</v>
      </c>
      <c r="E862" t="s">
        <v>515</v>
      </c>
      <c r="F862" t="s">
        <v>559</v>
      </c>
      <c r="G862" t="s">
        <v>664</v>
      </c>
      <c r="H862" t="s">
        <v>745</v>
      </c>
      <c r="I862" t="s">
        <v>785</v>
      </c>
      <c r="J862" s="27" t="s">
        <v>525</v>
      </c>
      <c r="K862" s="5" t="s">
        <v>122</v>
      </c>
      <c r="L862" s="1" t="s">
        <v>33</v>
      </c>
      <c r="M862" s="1" t="s">
        <v>38</v>
      </c>
      <c r="N862" s="1" t="s">
        <v>147</v>
      </c>
      <c r="O862" s="1" t="s">
        <v>19</v>
      </c>
      <c r="P862" s="9">
        <v>45454</v>
      </c>
      <c r="Q862" s="1" t="s">
        <v>479</v>
      </c>
      <c r="R862" s="1" t="s">
        <v>63</v>
      </c>
      <c r="S862" s="1">
        <v>2</v>
      </c>
      <c r="T862" s="12">
        <v>0.58333333333333337</v>
      </c>
      <c r="U862" s="12">
        <v>0.66666666666666663</v>
      </c>
      <c r="V862" s="1">
        <v>2</v>
      </c>
      <c r="W862" s="1">
        <v>2</v>
      </c>
      <c r="X862" s="1">
        <f t="shared" si="56"/>
        <v>4</v>
      </c>
      <c r="Y862" s="5" t="str">
        <f t="shared" si="52"/>
        <v>C</v>
      </c>
    </row>
    <row r="863" spans="2:25" x14ac:dyDescent="0.25">
      <c r="B863" s="11">
        <v>45481</v>
      </c>
      <c r="C863" s="7">
        <v>600004237510</v>
      </c>
      <c r="D863" s="5">
        <v>1</v>
      </c>
      <c r="E863" t="s">
        <v>891</v>
      </c>
      <c r="F863" t="s">
        <v>596</v>
      </c>
      <c r="G863" t="s">
        <v>703</v>
      </c>
      <c r="H863" t="s">
        <v>747</v>
      </c>
      <c r="I863" t="s">
        <v>824</v>
      </c>
      <c r="J863" s="27" t="s">
        <v>524</v>
      </c>
      <c r="K863" s="5" t="s">
        <v>127</v>
      </c>
      <c r="L863" s="1" t="s">
        <v>89</v>
      </c>
      <c r="M863" s="1" t="s">
        <v>57</v>
      </c>
      <c r="N863" s="1" t="s">
        <v>447</v>
      </c>
      <c r="O863" s="1" t="s">
        <v>176</v>
      </c>
      <c r="P863" s="9">
        <v>45483</v>
      </c>
      <c r="Q863" s="1" t="s">
        <v>480</v>
      </c>
      <c r="R863" s="1" t="s">
        <v>63</v>
      </c>
      <c r="S863" s="1">
        <v>1</v>
      </c>
      <c r="T863" s="12">
        <v>0.39583333333333331</v>
      </c>
      <c r="U863" s="12">
        <v>0.45833333333333331</v>
      </c>
      <c r="V863" s="1">
        <v>1.5</v>
      </c>
      <c r="W863" s="1">
        <v>1.5</v>
      </c>
      <c r="X863" s="1">
        <f t="shared" ref="X863:X883" si="57">PRODUCT(S863,V863)</f>
        <v>1.5</v>
      </c>
      <c r="Y863" s="5" t="str">
        <f t="shared" si="52"/>
        <v>C</v>
      </c>
    </row>
    <row r="864" spans="2:25" x14ac:dyDescent="0.25">
      <c r="B864" s="11">
        <v>45475</v>
      </c>
      <c r="C864" s="7">
        <v>600004236327</v>
      </c>
      <c r="D864" s="5">
        <v>1</v>
      </c>
      <c r="E864" t="s">
        <v>482</v>
      </c>
      <c r="F864" t="s">
        <v>526</v>
      </c>
      <c r="G864" t="s">
        <v>631</v>
      </c>
      <c r="H864" t="s">
        <v>740</v>
      </c>
      <c r="I864" t="s">
        <v>752</v>
      </c>
      <c r="J864" s="27" t="s">
        <v>524</v>
      </c>
      <c r="K864" s="5" t="s">
        <v>70</v>
      </c>
      <c r="L864" s="1" t="s">
        <v>36</v>
      </c>
      <c r="M864" s="1" t="s">
        <v>34</v>
      </c>
      <c r="N864" s="1" t="s">
        <v>323</v>
      </c>
      <c r="O864" s="1" t="s">
        <v>176</v>
      </c>
      <c r="P864" s="9">
        <v>45481</v>
      </c>
      <c r="Q864" s="1" t="s">
        <v>480</v>
      </c>
      <c r="R864" s="1" t="s">
        <v>63</v>
      </c>
      <c r="S864" s="1">
        <v>1</v>
      </c>
      <c r="T864" s="12">
        <v>0.375</v>
      </c>
      <c r="U864" s="12">
        <v>0.47916666666666669</v>
      </c>
      <c r="V864" s="1">
        <v>2.5</v>
      </c>
      <c r="W864" s="1">
        <v>2.5</v>
      </c>
      <c r="X864" s="1">
        <f t="shared" si="57"/>
        <v>2.5</v>
      </c>
      <c r="Y864" s="5" t="str">
        <f t="shared" si="52"/>
        <v>B</v>
      </c>
    </row>
    <row r="865" spans="2:25" x14ac:dyDescent="0.25">
      <c r="B865" s="11">
        <v>45495</v>
      </c>
      <c r="C865" s="7">
        <v>600004240265</v>
      </c>
      <c r="D865" s="5">
        <v>1</v>
      </c>
      <c r="E865" t="s">
        <v>882</v>
      </c>
      <c r="F865" t="s">
        <v>588</v>
      </c>
      <c r="G865" t="s">
        <v>694</v>
      </c>
      <c r="H865" t="s">
        <v>745</v>
      </c>
      <c r="I865" t="s">
        <v>815</v>
      </c>
      <c r="J865" s="27" t="s">
        <v>525</v>
      </c>
      <c r="K865" s="5" t="s">
        <v>15</v>
      </c>
      <c r="L865" s="1" t="s">
        <v>57</v>
      </c>
      <c r="M865" s="1" t="s">
        <v>55</v>
      </c>
      <c r="N865" s="1" t="s">
        <v>56</v>
      </c>
      <c r="O865" s="1" t="s">
        <v>176</v>
      </c>
      <c r="P865" s="9">
        <v>45496</v>
      </c>
      <c r="Q865" s="1" t="s">
        <v>479</v>
      </c>
      <c r="R865" s="1" t="s">
        <v>63</v>
      </c>
      <c r="S865" s="1">
        <v>2</v>
      </c>
      <c r="T865" s="12">
        <v>0.29166666666666669</v>
      </c>
      <c r="U865" s="12">
        <v>0.375</v>
      </c>
      <c r="V865" s="1">
        <v>2</v>
      </c>
      <c r="W865" s="1">
        <v>2</v>
      </c>
      <c r="X865" s="1">
        <f t="shared" si="57"/>
        <v>4</v>
      </c>
      <c r="Y865" s="5" t="str">
        <f t="shared" si="52"/>
        <v>C</v>
      </c>
    </row>
    <row r="866" spans="2:25" x14ac:dyDescent="0.25">
      <c r="B866" s="11">
        <v>45495</v>
      </c>
      <c r="C866" s="7">
        <v>600004240267</v>
      </c>
      <c r="D866" s="5">
        <v>1</v>
      </c>
      <c r="E866" t="s">
        <v>518</v>
      </c>
      <c r="F866" t="s">
        <v>562</v>
      </c>
      <c r="G866" t="s">
        <v>667</v>
      </c>
      <c r="H866" t="s">
        <v>745</v>
      </c>
      <c r="I866" t="s">
        <v>788</v>
      </c>
      <c r="J866" s="27" t="s">
        <v>525</v>
      </c>
      <c r="K866" s="5" t="s">
        <v>44</v>
      </c>
      <c r="L866" s="1" t="s">
        <v>57</v>
      </c>
      <c r="M866" s="1" t="s">
        <v>55</v>
      </c>
      <c r="N866" s="1" t="s">
        <v>56</v>
      </c>
      <c r="O866" s="1" t="s">
        <v>176</v>
      </c>
      <c r="P866" s="9">
        <v>45496</v>
      </c>
      <c r="Q866" s="1" t="s">
        <v>477</v>
      </c>
      <c r="R866" s="1" t="s">
        <v>63</v>
      </c>
      <c r="S866" s="1">
        <v>2</v>
      </c>
      <c r="T866" s="12">
        <v>0.58333333333333337</v>
      </c>
      <c r="U866" s="12">
        <v>0.66666666666666663</v>
      </c>
      <c r="V866" s="1">
        <v>2</v>
      </c>
      <c r="W866" s="1">
        <v>2</v>
      </c>
      <c r="X866" s="1">
        <f t="shared" si="57"/>
        <v>4</v>
      </c>
      <c r="Y866" s="5" t="str">
        <f t="shared" si="52"/>
        <v>C</v>
      </c>
    </row>
    <row r="867" spans="2:25" x14ac:dyDescent="0.25">
      <c r="B867" s="11">
        <v>45495</v>
      </c>
      <c r="C867" s="7">
        <v>600004240264</v>
      </c>
      <c r="D867" s="5">
        <v>1</v>
      </c>
      <c r="E867" t="s">
        <v>885</v>
      </c>
      <c r="F867" t="s">
        <v>591</v>
      </c>
      <c r="G867" t="s">
        <v>697</v>
      </c>
      <c r="H867" t="s">
        <v>745</v>
      </c>
      <c r="I867" t="s">
        <v>818</v>
      </c>
      <c r="J867" s="27" t="s">
        <v>525</v>
      </c>
      <c r="K867" s="5" t="s">
        <v>15</v>
      </c>
      <c r="L867" s="1" t="s">
        <v>55</v>
      </c>
      <c r="M867" s="1" t="s">
        <v>303</v>
      </c>
      <c r="N867" s="1" t="s">
        <v>124</v>
      </c>
      <c r="O867" s="1" t="s">
        <v>176</v>
      </c>
      <c r="P867" s="9">
        <v>45496</v>
      </c>
      <c r="Q867" s="1" t="s">
        <v>477</v>
      </c>
      <c r="R867" s="1" t="s">
        <v>63</v>
      </c>
      <c r="S867" s="1">
        <v>2</v>
      </c>
      <c r="T867" s="12">
        <v>0.5</v>
      </c>
      <c r="U867" s="12">
        <v>0.58333333333333337</v>
      </c>
      <c r="V867" s="1">
        <v>2</v>
      </c>
      <c r="W867" s="1">
        <v>2</v>
      </c>
      <c r="X867" s="1">
        <f t="shared" si="57"/>
        <v>4</v>
      </c>
      <c r="Y867" s="5" t="str">
        <f t="shared" si="52"/>
        <v>C</v>
      </c>
    </row>
    <row r="868" spans="2:25" x14ac:dyDescent="0.25">
      <c r="B868" s="11">
        <v>45491</v>
      </c>
      <c r="C868" s="7">
        <v>600004239712</v>
      </c>
      <c r="D868" s="5">
        <v>1</v>
      </c>
      <c r="E868" t="s">
        <v>925</v>
      </c>
      <c r="F868" t="s">
        <v>568</v>
      </c>
      <c r="G868" t="s">
        <v>737</v>
      </c>
      <c r="H868" t="s">
        <v>745</v>
      </c>
      <c r="I868" t="s">
        <v>858</v>
      </c>
      <c r="J868" s="26" t="s">
        <v>525</v>
      </c>
      <c r="K868" s="5" t="s">
        <v>51</v>
      </c>
      <c r="L868" s="1" t="s">
        <v>79</v>
      </c>
      <c r="M868" s="1" t="s">
        <v>448</v>
      </c>
      <c r="N868" s="1" t="s">
        <v>157</v>
      </c>
      <c r="O868" s="1" t="s">
        <v>19</v>
      </c>
      <c r="P868" s="9">
        <v>45491</v>
      </c>
      <c r="Q868" s="1" t="s">
        <v>475</v>
      </c>
      <c r="R868" s="1" t="s">
        <v>50</v>
      </c>
      <c r="S868" s="1">
        <v>2</v>
      </c>
      <c r="T868" s="12">
        <v>0.41666666666666669</v>
      </c>
      <c r="U868" s="12">
        <v>0.625</v>
      </c>
      <c r="V868" s="1">
        <v>5</v>
      </c>
      <c r="W868" s="1">
        <v>5</v>
      </c>
      <c r="X868" s="1">
        <f t="shared" si="57"/>
        <v>10</v>
      </c>
      <c r="Y868" s="5" t="str">
        <f t="shared" si="52"/>
        <v>B</v>
      </c>
    </row>
    <row r="869" spans="2:25" x14ac:dyDescent="0.25">
      <c r="B869" s="11">
        <v>45489</v>
      </c>
      <c r="C869" s="7">
        <v>600004239285</v>
      </c>
      <c r="D869" s="5">
        <v>1</v>
      </c>
      <c r="E869" t="s">
        <v>865</v>
      </c>
      <c r="F869" t="s">
        <v>572</v>
      </c>
      <c r="G869" t="s">
        <v>677</v>
      </c>
      <c r="H869" t="s">
        <v>745</v>
      </c>
      <c r="I869" t="s">
        <v>798</v>
      </c>
      <c r="J869" s="27" t="s">
        <v>525</v>
      </c>
      <c r="K869" s="5" t="s">
        <v>168</v>
      </c>
      <c r="L869" s="1" t="s">
        <v>79</v>
      </c>
      <c r="M869" s="1" t="s">
        <v>211</v>
      </c>
      <c r="N869" s="1" t="s">
        <v>308</v>
      </c>
      <c r="O869" s="1" t="s">
        <v>176</v>
      </c>
      <c r="P869" s="9">
        <v>45490</v>
      </c>
      <c r="Q869" s="1" t="s">
        <v>475</v>
      </c>
      <c r="R869" s="1" t="s">
        <v>50</v>
      </c>
      <c r="S869" s="1">
        <v>1</v>
      </c>
      <c r="T869" s="12">
        <v>0.41666666666666669</v>
      </c>
      <c r="U869" s="12">
        <v>0.45833333333333331</v>
      </c>
      <c r="V869" s="1">
        <v>1</v>
      </c>
      <c r="W869" s="1">
        <v>1</v>
      </c>
      <c r="X869" s="1">
        <f t="shared" si="57"/>
        <v>1</v>
      </c>
      <c r="Y869" s="5" t="str">
        <f t="shared" si="52"/>
        <v>C</v>
      </c>
    </row>
    <row r="870" spans="2:25" x14ac:dyDescent="0.25">
      <c r="B870" s="11">
        <v>45483</v>
      </c>
      <c r="C870" s="7">
        <v>600004238096</v>
      </c>
      <c r="D870" s="5">
        <v>1</v>
      </c>
      <c r="E870" t="s">
        <v>925</v>
      </c>
      <c r="F870" t="s">
        <v>568</v>
      </c>
      <c r="G870" t="s">
        <v>737</v>
      </c>
      <c r="H870" t="s">
        <v>745</v>
      </c>
      <c r="I870" t="s">
        <v>858</v>
      </c>
      <c r="J870" s="26" t="s">
        <v>525</v>
      </c>
      <c r="K870" s="5" t="s">
        <v>51</v>
      </c>
      <c r="L870" s="1" t="s">
        <v>79</v>
      </c>
      <c r="M870" s="1" t="s">
        <v>80</v>
      </c>
      <c r="N870" s="1" t="s">
        <v>369</v>
      </c>
      <c r="O870" s="1" t="s">
        <v>19</v>
      </c>
      <c r="P870" s="9">
        <v>45483</v>
      </c>
      <c r="Q870" s="1" t="s">
        <v>475</v>
      </c>
      <c r="R870" s="1" t="s">
        <v>50</v>
      </c>
      <c r="S870" s="1">
        <v>1</v>
      </c>
      <c r="T870" s="12">
        <v>0.29166666666666669</v>
      </c>
      <c r="U870" s="12">
        <v>0.33333333333333331</v>
      </c>
      <c r="V870" s="1">
        <v>1</v>
      </c>
      <c r="W870" s="1">
        <v>1</v>
      </c>
      <c r="X870" s="1">
        <f t="shared" si="57"/>
        <v>1</v>
      </c>
      <c r="Y870" s="5" t="str">
        <f t="shared" si="52"/>
        <v>C</v>
      </c>
    </row>
    <row r="871" spans="2:25" x14ac:dyDescent="0.25">
      <c r="B871" s="11">
        <v>45477</v>
      </c>
      <c r="C871" s="7">
        <v>600004236892</v>
      </c>
      <c r="D871" s="5">
        <v>1</v>
      </c>
      <c r="E871" t="s">
        <v>862</v>
      </c>
      <c r="F871" t="s">
        <v>569</v>
      </c>
      <c r="G871" t="s">
        <v>674</v>
      </c>
      <c r="H871" t="s">
        <v>745</v>
      </c>
      <c r="I871" t="s">
        <v>795</v>
      </c>
      <c r="J871" s="27" t="s">
        <v>525</v>
      </c>
      <c r="K871" s="5" t="s">
        <v>140</v>
      </c>
      <c r="L871" s="5" t="s">
        <v>184</v>
      </c>
      <c r="M871" s="1" t="s">
        <v>449</v>
      </c>
      <c r="N871" s="1" t="s">
        <v>317</v>
      </c>
      <c r="O871" s="1" t="s">
        <v>19</v>
      </c>
      <c r="P871" s="9">
        <v>45477</v>
      </c>
      <c r="Q871" s="1" t="s">
        <v>475</v>
      </c>
      <c r="R871" s="1" t="s">
        <v>50</v>
      </c>
      <c r="S871" s="1">
        <v>1</v>
      </c>
      <c r="T871" s="12">
        <v>0.41666666666666669</v>
      </c>
      <c r="U871" s="12">
        <v>0.625</v>
      </c>
      <c r="V871" s="1">
        <v>5</v>
      </c>
      <c r="W871" s="1">
        <v>5</v>
      </c>
      <c r="X871" s="1">
        <f t="shared" si="57"/>
        <v>5</v>
      </c>
      <c r="Y871" s="5" t="str">
        <f t="shared" si="52"/>
        <v>B</v>
      </c>
    </row>
    <row r="872" spans="2:25" x14ac:dyDescent="0.25">
      <c r="B872" s="11">
        <v>45474</v>
      </c>
      <c r="C872" s="7">
        <v>600004235947</v>
      </c>
      <c r="D872" s="5">
        <v>1</v>
      </c>
      <c r="E872" t="s">
        <v>496</v>
      </c>
      <c r="F872" t="s">
        <v>540</v>
      </c>
      <c r="G872" t="s">
        <v>645</v>
      </c>
      <c r="H872" t="s">
        <v>745</v>
      </c>
      <c r="I872" t="s">
        <v>766</v>
      </c>
      <c r="J872" s="27" t="s">
        <v>525</v>
      </c>
      <c r="K872" s="5" t="s">
        <v>15</v>
      </c>
      <c r="L872" s="1" t="s">
        <v>57</v>
      </c>
      <c r="M872" s="1" t="s">
        <v>433</v>
      </c>
      <c r="N872" s="1" t="s">
        <v>392</v>
      </c>
      <c r="O872" s="1" t="s">
        <v>19</v>
      </c>
      <c r="P872" s="9">
        <v>45474</v>
      </c>
      <c r="Q872" s="1" t="s">
        <v>476</v>
      </c>
      <c r="R872" s="1" t="s">
        <v>63</v>
      </c>
      <c r="S872" s="1">
        <v>1</v>
      </c>
      <c r="T872" s="12">
        <v>0.375</v>
      </c>
      <c r="U872" s="12">
        <v>0.45833333333333331</v>
      </c>
      <c r="V872" s="1">
        <v>2</v>
      </c>
      <c r="W872" s="1">
        <v>2</v>
      </c>
      <c r="X872" s="1">
        <f t="shared" si="57"/>
        <v>2</v>
      </c>
      <c r="Y872" s="5" t="str">
        <f t="shared" si="52"/>
        <v>C</v>
      </c>
    </row>
    <row r="873" spans="2:25" x14ac:dyDescent="0.25">
      <c r="B873" s="11">
        <v>45475</v>
      </c>
      <c r="C873" s="7">
        <v>600004236326</v>
      </c>
      <c r="D873" s="5">
        <v>1</v>
      </c>
      <c r="E873" t="s">
        <v>872</v>
      </c>
      <c r="F873" t="s">
        <v>579</v>
      </c>
      <c r="G873" t="s">
        <v>684</v>
      </c>
      <c r="H873" t="s">
        <v>746</v>
      </c>
      <c r="I873" t="s">
        <v>805</v>
      </c>
      <c r="J873" s="26" t="s">
        <v>525</v>
      </c>
      <c r="K873" s="5" t="s">
        <v>76</v>
      </c>
      <c r="L873" s="1" t="s">
        <v>89</v>
      </c>
      <c r="M873" s="1" t="s">
        <v>275</v>
      </c>
      <c r="N873" s="1" t="s">
        <v>104</v>
      </c>
      <c r="O873" s="1" t="s">
        <v>19</v>
      </c>
      <c r="P873" s="9">
        <v>45475</v>
      </c>
      <c r="Q873" s="1" t="s">
        <v>476</v>
      </c>
      <c r="R873" s="1" t="s">
        <v>63</v>
      </c>
      <c r="S873" s="1">
        <v>1</v>
      </c>
      <c r="T873" s="12">
        <v>0.375</v>
      </c>
      <c r="U873" s="12">
        <v>0.4375</v>
      </c>
      <c r="V873" s="1">
        <v>1.5</v>
      </c>
      <c r="W873" s="1">
        <v>1.5</v>
      </c>
      <c r="X873" s="1">
        <f t="shared" si="57"/>
        <v>1.5</v>
      </c>
      <c r="Y873" s="5" t="str">
        <f t="shared" si="52"/>
        <v>C</v>
      </c>
    </row>
    <row r="874" spans="2:25" x14ac:dyDescent="0.25">
      <c r="B874" s="11">
        <v>45475</v>
      </c>
      <c r="C874" s="7">
        <v>600004236362</v>
      </c>
      <c r="D874" s="5">
        <v>1</v>
      </c>
      <c r="E874" t="s">
        <v>505</v>
      </c>
      <c r="F874" t="s">
        <v>549</v>
      </c>
      <c r="G874" t="s">
        <v>654</v>
      </c>
      <c r="H874" t="s">
        <v>745</v>
      </c>
      <c r="I874" t="s">
        <v>775</v>
      </c>
      <c r="J874" s="27" t="s">
        <v>525</v>
      </c>
      <c r="K874" s="5" t="s">
        <v>15</v>
      </c>
      <c r="L874" s="1" t="s">
        <v>57</v>
      </c>
      <c r="M874" s="1" t="s">
        <v>62</v>
      </c>
      <c r="N874" s="1" t="s">
        <v>121</v>
      </c>
      <c r="O874" s="1" t="s">
        <v>176</v>
      </c>
      <c r="P874" s="9">
        <v>45475</v>
      </c>
      <c r="Q874" s="1" t="s">
        <v>477</v>
      </c>
      <c r="R874" s="1" t="s">
        <v>63</v>
      </c>
      <c r="S874" s="1">
        <v>2</v>
      </c>
      <c r="T874" s="12">
        <v>0.5</v>
      </c>
      <c r="U874" s="12">
        <v>0.58333333333333337</v>
      </c>
      <c r="V874" s="1">
        <v>2</v>
      </c>
      <c r="W874" s="1">
        <v>2</v>
      </c>
      <c r="X874" s="1">
        <f t="shared" si="57"/>
        <v>4</v>
      </c>
      <c r="Y874" s="5" t="str">
        <f t="shared" si="52"/>
        <v>C</v>
      </c>
    </row>
    <row r="875" spans="2:25" x14ac:dyDescent="0.25">
      <c r="B875" s="11">
        <v>45475</v>
      </c>
      <c r="C875" s="7">
        <v>600004236308</v>
      </c>
      <c r="D875" s="5">
        <v>1</v>
      </c>
      <c r="E875" t="s">
        <v>493</v>
      </c>
      <c r="F875" t="s">
        <v>537</v>
      </c>
      <c r="G875" t="s">
        <v>642</v>
      </c>
      <c r="H875" t="s">
        <v>745</v>
      </c>
      <c r="I875" t="s">
        <v>763</v>
      </c>
      <c r="J875" s="26" t="s">
        <v>525</v>
      </c>
      <c r="K875" s="5" t="s">
        <v>15</v>
      </c>
      <c r="L875" s="1" t="s">
        <v>16</v>
      </c>
      <c r="M875" s="1" t="s">
        <v>57</v>
      </c>
      <c r="N875" s="1" t="s">
        <v>67</v>
      </c>
      <c r="O875" s="1" t="s">
        <v>19</v>
      </c>
      <c r="P875" s="9">
        <v>45475</v>
      </c>
      <c r="Q875" s="1" t="s">
        <v>477</v>
      </c>
      <c r="R875" s="1" t="s">
        <v>63</v>
      </c>
      <c r="S875" s="1">
        <v>2</v>
      </c>
      <c r="T875" s="12">
        <v>0.29166666666666669</v>
      </c>
      <c r="U875" s="12">
        <v>0.41666666666666669</v>
      </c>
      <c r="V875" s="1">
        <v>3</v>
      </c>
      <c r="W875" s="1">
        <v>3</v>
      </c>
      <c r="X875" s="1">
        <f t="shared" si="57"/>
        <v>6</v>
      </c>
      <c r="Y875" s="5" t="str">
        <f t="shared" si="52"/>
        <v>B</v>
      </c>
    </row>
    <row r="876" spans="2:25" x14ac:dyDescent="0.25">
      <c r="B876" s="11">
        <v>45489</v>
      </c>
      <c r="C876" s="7">
        <v>600004239289</v>
      </c>
      <c r="D876" s="5">
        <v>1</v>
      </c>
      <c r="E876" t="s">
        <v>500</v>
      </c>
      <c r="F876" t="s">
        <v>544</v>
      </c>
      <c r="G876" t="s">
        <v>649</v>
      </c>
      <c r="H876" t="s">
        <v>745</v>
      </c>
      <c r="I876" t="s">
        <v>770</v>
      </c>
      <c r="J876" s="27" t="s">
        <v>525</v>
      </c>
      <c r="K876" s="5" t="s">
        <v>15</v>
      </c>
      <c r="L876" s="1" t="s">
        <v>16</v>
      </c>
      <c r="M876" s="1" t="s">
        <v>57</v>
      </c>
      <c r="N876" s="1" t="s">
        <v>67</v>
      </c>
      <c r="O876" s="1" t="s">
        <v>19</v>
      </c>
      <c r="P876" s="9">
        <v>45489</v>
      </c>
      <c r="Q876" s="1" t="s">
        <v>477</v>
      </c>
      <c r="R876" s="1" t="s">
        <v>63</v>
      </c>
      <c r="S876" s="1">
        <v>2</v>
      </c>
      <c r="T876" s="12">
        <v>0.58333333333333337</v>
      </c>
      <c r="U876" s="12">
        <v>0.64583333333333337</v>
      </c>
      <c r="V876" s="1">
        <v>1.5</v>
      </c>
      <c r="W876" s="1">
        <v>1.5</v>
      </c>
      <c r="X876" s="1">
        <f t="shared" si="57"/>
        <v>3</v>
      </c>
      <c r="Y876" s="5" t="str">
        <f t="shared" si="52"/>
        <v>C</v>
      </c>
    </row>
    <row r="877" spans="2:25" x14ac:dyDescent="0.25">
      <c r="B877" s="11">
        <v>45483</v>
      </c>
      <c r="C877" s="7">
        <v>600004238204</v>
      </c>
      <c r="D877" s="5">
        <v>1</v>
      </c>
      <c r="E877" t="s">
        <v>872</v>
      </c>
      <c r="F877" t="s">
        <v>579</v>
      </c>
      <c r="G877" t="s">
        <v>684</v>
      </c>
      <c r="H877" t="s">
        <v>746</v>
      </c>
      <c r="I877" t="s">
        <v>805</v>
      </c>
      <c r="J877" s="26" t="s">
        <v>525</v>
      </c>
      <c r="K877" s="5" t="s">
        <v>76</v>
      </c>
      <c r="L877" s="1" t="s">
        <v>57</v>
      </c>
      <c r="M877" s="1" t="s">
        <v>76</v>
      </c>
      <c r="N877" s="1" t="s">
        <v>164</v>
      </c>
      <c r="O877" s="1" t="s">
        <v>19</v>
      </c>
      <c r="P877" s="9">
        <v>45483</v>
      </c>
      <c r="Q877" s="1" t="s">
        <v>477</v>
      </c>
      <c r="R877" s="1" t="s">
        <v>63</v>
      </c>
      <c r="S877" s="1">
        <v>3</v>
      </c>
      <c r="T877" s="12">
        <v>0.5625</v>
      </c>
      <c r="U877" s="12">
        <v>0.66666666666666663</v>
      </c>
      <c r="V877" s="1">
        <v>2.5</v>
      </c>
      <c r="W877" s="1">
        <v>2.5</v>
      </c>
      <c r="X877" s="1">
        <f t="shared" si="57"/>
        <v>7.5</v>
      </c>
      <c r="Y877" s="5" t="str">
        <f t="shared" ref="Y877:Y918" si="58">IF(W877=0,"D",IF(W877&lt;=2,"C",IF(W877&lt;=8,"B",IF(W877&gt;8,"A"))))</f>
        <v>B</v>
      </c>
    </row>
    <row r="878" spans="2:25" x14ac:dyDescent="0.25">
      <c r="B878" s="11">
        <v>45483</v>
      </c>
      <c r="C878" s="7">
        <v>600004238094</v>
      </c>
      <c r="D878" s="1">
        <v>1</v>
      </c>
      <c r="E878" t="s">
        <v>517</v>
      </c>
      <c r="F878" t="s">
        <v>561</v>
      </c>
      <c r="G878" t="s">
        <v>666</v>
      </c>
      <c r="H878" t="s">
        <v>745</v>
      </c>
      <c r="I878" t="s">
        <v>787</v>
      </c>
      <c r="J878" s="27" t="s">
        <v>525</v>
      </c>
      <c r="K878" s="5" t="s">
        <v>15</v>
      </c>
      <c r="L878" s="1" t="s">
        <v>16</v>
      </c>
      <c r="M878" s="1" t="s">
        <v>57</v>
      </c>
      <c r="N878" s="1" t="s">
        <v>73</v>
      </c>
      <c r="O878" s="1" t="s">
        <v>19</v>
      </c>
      <c r="P878" s="9">
        <v>45483</v>
      </c>
      <c r="Q878" s="1" t="s">
        <v>479</v>
      </c>
      <c r="R878" s="1" t="s">
        <v>63</v>
      </c>
      <c r="S878" s="1">
        <v>3</v>
      </c>
      <c r="T878" s="12">
        <v>0.39583333333333331</v>
      </c>
      <c r="U878" s="12">
        <v>0.47916666666666669</v>
      </c>
      <c r="V878" s="1">
        <v>2</v>
      </c>
      <c r="W878" s="1">
        <v>2</v>
      </c>
      <c r="X878" s="1">
        <f t="shared" si="57"/>
        <v>6</v>
      </c>
      <c r="Y878" s="5" t="str">
        <f t="shared" si="58"/>
        <v>C</v>
      </c>
    </row>
    <row r="879" spans="2:25" x14ac:dyDescent="0.25">
      <c r="B879" s="11">
        <v>45489</v>
      </c>
      <c r="C879" s="7">
        <v>600004239239</v>
      </c>
      <c r="D879" s="5">
        <v>1</v>
      </c>
      <c r="E879" t="s">
        <v>918</v>
      </c>
      <c r="F879" t="s">
        <v>622</v>
      </c>
      <c r="G879" t="s">
        <v>730</v>
      </c>
      <c r="H879" t="s">
        <v>745</v>
      </c>
      <c r="I879" t="s">
        <v>851</v>
      </c>
      <c r="J879" s="26" t="s">
        <v>525</v>
      </c>
      <c r="K879" s="5" t="s">
        <v>15</v>
      </c>
      <c r="L879" s="1" t="s">
        <v>71</v>
      </c>
      <c r="M879" s="1" t="s">
        <v>303</v>
      </c>
      <c r="N879" s="1" t="s">
        <v>55</v>
      </c>
      <c r="O879" s="1" t="s">
        <v>176</v>
      </c>
      <c r="P879" s="9">
        <v>45493</v>
      </c>
      <c r="Q879" s="1" t="s">
        <v>479</v>
      </c>
      <c r="R879" s="1" t="s">
        <v>63</v>
      </c>
      <c r="S879" s="1">
        <v>2</v>
      </c>
      <c r="T879" s="12">
        <v>0.25</v>
      </c>
      <c r="U879" s="12">
        <v>0.58333333333333337</v>
      </c>
      <c r="V879" s="1">
        <v>8</v>
      </c>
      <c r="W879" s="1">
        <v>8</v>
      </c>
      <c r="X879" s="1">
        <f t="shared" si="57"/>
        <v>16</v>
      </c>
      <c r="Y879" s="5" t="str">
        <f t="shared" si="58"/>
        <v>B</v>
      </c>
    </row>
    <row r="880" spans="2:25" x14ac:dyDescent="0.25">
      <c r="B880" s="11">
        <v>45474</v>
      </c>
      <c r="C880" s="7">
        <v>600004235948</v>
      </c>
      <c r="D880" s="5">
        <v>1</v>
      </c>
      <c r="E880" t="s">
        <v>866</v>
      </c>
      <c r="F880" t="s">
        <v>573</v>
      </c>
      <c r="G880" t="s">
        <v>678</v>
      </c>
      <c r="H880" t="s">
        <v>745</v>
      </c>
      <c r="I880" t="s">
        <v>799</v>
      </c>
      <c r="J880" s="27" t="s">
        <v>524</v>
      </c>
      <c r="K880" s="5" t="s">
        <v>15</v>
      </c>
      <c r="L880" s="1" t="s">
        <v>57</v>
      </c>
      <c r="M880" s="1" t="s">
        <v>433</v>
      </c>
      <c r="N880" s="1" t="s">
        <v>392</v>
      </c>
      <c r="O880" s="1" t="s">
        <v>19</v>
      </c>
      <c r="P880" s="9">
        <v>45474</v>
      </c>
      <c r="Q880" s="1" t="s">
        <v>479</v>
      </c>
      <c r="R880" s="1" t="s">
        <v>63</v>
      </c>
      <c r="S880" s="1">
        <v>2</v>
      </c>
      <c r="T880" s="12">
        <v>0.5</v>
      </c>
      <c r="U880" s="12">
        <v>0.58333333333333337</v>
      </c>
      <c r="V880" s="1">
        <v>2</v>
      </c>
      <c r="W880" s="1">
        <v>2</v>
      </c>
      <c r="X880" s="1">
        <f t="shared" si="57"/>
        <v>4</v>
      </c>
      <c r="Y880" s="5" t="str">
        <f t="shared" si="58"/>
        <v>C</v>
      </c>
    </row>
    <row r="881" spans="2:25" x14ac:dyDescent="0.25">
      <c r="B881" s="11">
        <v>45478</v>
      </c>
      <c r="C881" s="7">
        <v>600004237140</v>
      </c>
      <c r="D881" s="5">
        <v>1</v>
      </c>
      <c r="E881" t="s">
        <v>910</v>
      </c>
      <c r="F881" t="s">
        <v>615</v>
      </c>
      <c r="G881" t="s">
        <v>722</v>
      </c>
      <c r="H881" t="s">
        <v>750</v>
      </c>
      <c r="I881" t="s">
        <v>843</v>
      </c>
      <c r="J881" s="27" t="s">
        <v>525</v>
      </c>
      <c r="K881" s="5" t="s">
        <v>15</v>
      </c>
      <c r="L881" s="1" t="s">
        <v>89</v>
      </c>
      <c r="M881" s="1" t="s">
        <v>15</v>
      </c>
      <c r="N881" s="1" t="s">
        <v>18</v>
      </c>
      <c r="O881" s="1" t="s">
        <v>19</v>
      </c>
      <c r="P881" s="9">
        <v>45478</v>
      </c>
      <c r="Q881" s="1" t="s">
        <v>479</v>
      </c>
      <c r="R881" s="1" t="s">
        <v>63</v>
      </c>
      <c r="S881" s="1">
        <v>2</v>
      </c>
      <c r="T881" s="12">
        <v>0.52083333333333337</v>
      </c>
      <c r="U881" s="12">
        <v>0.60416666666666663</v>
      </c>
      <c r="V881" s="1">
        <v>2</v>
      </c>
      <c r="W881" s="1">
        <v>2</v>
      </c>
      <c r="X881" s="1">
        <f t="shared" si="57"/>
        <v>4</v>
      </c>
      <c r="Y881" s="5" t="str">
        <f t="shared" si="58"/>
        <v>C</v>
      </c>
    </row>
    <row r="882" spans="2:25" x14ac:dyDescent="0.25">
      <c r="B882" s="11">
        <v>45483</v>
      </c>
      <c r="C882" s="7">
        <v>600004238122</v>
      </c>
      <c r="D882" s="5">
        <v>1</v>
      </c>
      <c r="E882" t="s">
        <v>862</v>
      </c>
      <c r="F882" t="s">
        <v>569</v>
      </c>
      <c r="G882" t="s">
        <v>674</v>
      </c>
      <c r="H882" t="s">
        <v>745</v>
      </c>
      <c r="I882" t="s">
        <v>795</v>
      </c>
      <c r="J882" s="27" t="s">
        <v>525</v>
      </c>
      <c r="K882" s="5" t="s">
        <v>140</v>
      </c>
      <c r="L882" s="1" t="s">
        <v>36</v>
      </c>
      <c r="M882" s="1" t="s">
        <v>33</v>
      </c>
      <c r="N882" s="1" t="s">
        <v>34</v>
      </c>
      <c r="O882" s="1" t="s">
        <v>19</v>
      </c>
      <c r="P882" s="9">
        <v>45483</v>
      </c>
      <c r="Q882" s="1" t="s">
        <v>479</v>
      </c>
      <c r="R882" s="1" t="s">
        <v>63</v>
      </c>
      <c r="S882" s="1">
        <v>2</v>
      </c>
      <c r="T882" s="12">
        <v>0.29166666666666669</v>
      </c>
      <c r="U882" s="12">
        <v>0.375</v>
      </c>
      <c r="V882" s="1">
        <v>2</v>
      </c>
      <c r="W882" s="1">
        <v>2</v>
      </c>
      <c r="X882" s="1">
        <f t="shared" si="57"/>
        <v>4</v>
      </c>
      <c r="Y882" s="5" t="str">
        <f t="shared" si="58"/>
        <v>C</v>
      </c>
    </row>
    <row r="883" spans="2:25" x14ac:dyDescent="0.25">
      <c r="B883" s="11">
        <v>45483</v>
      </c>
      <c r="C883" s="7">
        <v>600004238123</v>
      </c>
      <c r="D883" s="1">
        <v>1</v>
      </c>
      <c r="E883" t="s">
        <v>517</v>
      </c>
      <c r="F883" t="s">
        <v>561</v>
      </c>
      <c r="G883" t="s">
        <v>666</v>
      </c>
      <c r="H883" t="s">
        <v>745</v>
      </c>
      <c r="I883" t="s">
        <v>787</v>
      </c>
      <c r="J883" s="27" t="s">
        <v>525</v>
      </c>
      <c r="K883" s="5" t="s">
        <v>15</v>
      </c>
      <c r="L883" s="1" t="s">
        <v>79</v>
      </c>
      <c r="M883" s="1" t="s">
        <v>110</v>
      </c>
      <c r="N883" s="1" t="s">
        <v>110</v>
      </c>
      <c r="O883" s="1" t="s">
        <v>19</v>
      </c>
      <c r="P883" s="9">
        <v>45483</v>
      </c>
      <c r="Q883" s="1" t="s">
        <v>475</v>
      </c>
      <c r="R883" s="1" t="s">
        <v>50</v>
      </c>
      <c r="S883" s="1">
        <v>1</v>
      </c>
      <c r="T883" s="12">
        <v>0.29166666666666669</v>
      </c>
      <c r="U883" s="12">
        <v>0.41666666666666669</v>
      </c>
      <c r="V883" s="1">
        <v>3</v>
      </c>
      <c r="W883" s="1">
        <v>3</v>
      </c>
      <c r="X883" s="1">
        <f t="shared" si="57"/>
        <v>3</v>
      </c>
      <c r="Y883" s="5" t="str">
        <f t="shared" si="58"/>
        <v>B</v>
      </c>
    </row>
    <row r="884" spans="2:25" x14ac:dyDescent="0.25">
      <c r="B884" s="11">
        <v>45509</v>
      </c>
      <c r="C884" s="7">
        <v>600004243150</v>
      </c>
      <c r="D884" s="5">
        <v>1</v>
      </c>
      <c r="E884" t="s">
        <v>926</v>
      </c>
      <c r="F884" t="s">
        <v>629</v>
      </c>
      <c r="G884" t="s">
        <v>738</v>
      </c>
      <c r="H884" t="s">
        <v>751</v>
      </c>
      <c r="I884" t="s">
        <v>859</v>
      </c>
      <c r="J884" s="26" t="s">
        <v>524</v>
      </c>
      <c r="K884" s="5" t="s">
        <v>127</v>
      </c>
      <c r="L884" s="1" t="s">
        <v>36</v>
      </c>
      <c r="M884" s="1" t="s">
        <v>96</v>
      </c>
      <c r="N884" s="1" t="s">
        <v>96</v>
      </c>
      <c r="O884" s="1" t="s">
        <v>176</v>
      </c>
      <c r="P884" s="9">
        <v>45509</v>
      </c>
      <c r="Q884" s="1" t="s">
        <v>474</v>
      </c>
      <c r="R884" s="1" t="s">
        <v>63</v>
      </c>
      <c r="S884" s="1">
        <v>2</v>
      </c>
      <c r="T884" s="12">
        <v>0.39583333333333331</v>
      </c>
      <c r="U884" s="12">
        <v>0.4375</v>
      </c>
      <c r="V884" s="1">
        <v>1</v>
      </c>
      <c r="W884" s="1">
        <v>1</v>
      </c>
      <c r="X884" s="1">
        <f t="shared" ref="X884:X897" si="59">PRODUCT(S884,V884)</f>
        <v>2</v>
      </c>
      <c r="Y884" s="5" t="str">
        <f t="shared" si="58"/>
        <v>C</v>
      </c>
    </row>
    <row r="885" spans="2:25" x14ac:dyDescent="0.25">
      <c r="B885" s="11">
        <v>45520</v>
      </c>
      <c r="C885" s="7">
        <v>600004245629</v>
      </c>
      <c r="D885" s="5">
        <v>1</v>
      </c>
      <c r="E885" t="s">
        <v>512</v>
      </c>
      <c r="F885" t="s">
        <v>556</v>
      </c>
      <c r="G885" t="s">
        <v>661</v>
      </c>
      <c r="H885" t="s">
        <v>745</v>
      </c>
      <c r="I885" t="s">
        <v>782</v>
      </c>
      <c r="J885" s="27" t="s">
        <v>525</v>
      </c>
      <c r="K885" s="5" t="s">
        <v>88</v>
      </c>
      <c r="L885" s="1" t="s">
        <v>36</v>
      </c>
      <c r="M885" s="1" t="s">
        <v>129</v>
      </c>
      <c r="N885" s="1" t="s">
        <v>294</v>
      </c>
      <c r="O885" s="1" t="s">
        <v>19</v>
      </c>
      <c r="P885" s="9">
        <v>45520</v>
      </c>
      <c r="Q885" s="1" t="s">
        <v>479</v>
      </c>
      <c r="R885" s="1" t="s">
        <v>63</v>
      </c>
      <c r="S885" s="1">
        <v>3</v>
      </c>
      <c r="T885" s="12">
        <v>0.39583333333333331</v>
      </c>
      <c r="U885" s="12">
        <v>0.45833333333333331</v>
      </c>
      <c r="V885" s="1">
        <v>1.5</v>
      </c>
      <c r="W885" s="1">
        <v>1.5</v>
      </c>
      <c r="X885" s="1">
        <f t="shared" si="59"/>
        <v>4.5</v>
      </c>
      <c r="Y885" s="5" t="str">
        <f t="shared" si="58"/>
        <v>C</v>
      </c>
    </row>
    <row r="886" spans="2:25" x14ac:dyDescent="0.25">
      <c r="B886" s="11">
        <v>45517</v>
      </c>
      <c r="C886" s="7">
        <v>600004245095</v>
      </c>
      <c r="D886" s="5">
        <v>1</v>
      </c>
      <c r="E886" t="s">
        <v>864</v>
      </c>
      <c r="F886" t="s">
        <v>571</v>
      </c>
      <c r="G886" t="s">
        <v>676</v>
      </c>
      <c r="H886" t="s">
        <v>745</v>
      </c>
      <c r="I886" t="s">
        <v>797</v>
      </c>
      <c r="J886" s="27" t="s">
        <v>525</v>
      </c>
      <c r="K886" s="5" t="s">
        <v>15</v>
      </c>
      <c r="L886" s="1" t="s">
        <v>382</v>
      </c>
      <c r="M886" s="1" t="s">
        <v>112</v>
      </c>
      <c r="N886" s="1" t="s">
        <v>402</v>
      </c>
      <c r="O886" s="1" t="s">
        <v>19</v>
      </c>
      <c r="P886" s="9">
        <v>45517</v>
      </c>
      <c r="Q886" s="1" t="s">
        <v>479</v>
      </c>
      <c r="R886" s="1" t="s">
        <v>63</v>
      </c>
      <c r="S886" s="1">
        <v>2</v>
      </c>
      <c r="T886" s="12">
        <v>0.54166666666666663</v>
      </c>
      <c r="U886" s="12">
        <v>0.625</v>
      </c>
      <c r="V886" s="1">
        <v>2</v>
      </c>
      <c r="W886" s="1">
        <v>2</v>
      </c>
      <c r="X886" s="1">
        <f t="shared" si="59"/>
        <v>4</v>
      </c>
      <c r="Y886" s="5" t="str">
        <f t="shared" si="58"/>
        <v>C</v>
      </c>
    </row>
    <row r="887" spans="2:25" x14ac:dyDescent="0.25">
      <c r="B887" s="11">
        <v>45517</v>
      </c>
      <c r="C887" s="7">
        <v>600004245094</v>
      </c>
      <c r="D887" s="4">
        <v>1</v>
      </c>
      <c r="E887" t="s">
        <v>496</v>
      </c>
      <c r="F887" t="s">
        <v>540</v>
      </c>
      <c r="G887" t="s">
        <v>645</v>
      </c>
      <c r="H887" t="s">
        <v>745</v>
      </c>
      <c r="I887" t="s">
        <v>766</v>
      </c>
      <c r="J887" s="27" t="s">
        <v>525</v>
      </c>
      <c r="K887" s="5" t="s">
        <v>15</v>
      </c>
      <c r="L887" s="1" t="s">
        <v>382</v>
      </c>
      <c r="M887" s="1" t="s">
        <v>112</v>
      </c>
      <c r="N887" s="1" t="s">
        <v>73</v>
      </c>
      <c r="O887" s="1" t="s">
        <v>19</v>
      </c>
      <c r="P887" s="9">
        <v>45517</v>
      </c>
      <c r="Q887" s="1" t="s">
        <v>477</v>
      </c>
      <c r="R887" s="1" t="s">
        <v>63</v>
      </c>
      <c r="S887" s="1">
        <v>2</v>
      </c>
      <c r="T887" s="12">
        <v>0.5</v>
      </c>
      <c r="U887" s="12">
        <v>0.54166666666666663</v>
      </c>
      <c r="V887" s="1">
        <v>1</v>
      </c>
      <c r="W887" s="1">
        <v>1</v>
      </c>
      <c r="X887" s="1">
        <f t="shared" si="59"/>
        <v>2</v>
      </c>
      <c r="Y887" s="5" t="str">
        <f t="shared" si="58"/>
        <v>C</v>
      </c>
    </row>
    <row r="888" spans="2:25" x14ac:dyDescent="0.25">
      <c r="B888" s="11">
        <v>45516</v>
      </c>
      <c r="C888" s="7">
        <v>600004244759</v>
      </c>
      <c r="D888" s="5">
        <v>1</v>
      </c>
      <c r="E888" t="s">
        <v>896</v>
      </c>
      <c r="F888" t="s">
        <v>601</v>
      </c>
      <c r="G888" t="s">
        <v>708</v>
      </c>
      <c r="H888" t="s">
        <v>743</v>
      </c>
      <c r="I888" t="s">
        <v>829</v>
      </c>
      <c r="J888" s="27" t="s">
        <v>525</v>
      </c>
      <c r="K888" s="5" t="s">
        <v>122</v>
      </c>
      <c r="L888" s="1" t="s">
        <v>79</v>
      </c>
      <c r="M888" s="1" t="s">
        <v>173</v>
      </c>
      <c r="N888" s="1" t="s">
        <v>135</v>
      </c>
      <c r="O888" s="1" t="s">
        <v>19</v>
      </c>
      <c r="P888" s="9">
        <v>45516</v>
      </c>
      <c r="Q888" s="1" t="s">
        <v>475</v>
      </c>
      <c r="R888" s="1" t="s">
        <v>50</v>
      </c>
      <c r="S888" s="1">
        <v>1</v>
      </c>
      <c r="T888" s="12">
        <v>0.29166666666666669</v>
      </c>
      <c r="U888" s="12">
        <v>0.39583333333333331</v>
      </c>
      <c r="V888" s="1">
        <v>2.5</v>
      </c>
      <c r="W888" s="1">
        <v>2.5</v>
      </c>
      <c r="X888" s="1">
        <f t="shared" si="59"/>
        <v>2.5</v>
      </c>
      <c r="Y888" s="5" t="str">
        <f t="shared" si="58"/>
        <v>B</v>
      </c>
    </row>
    <row r="889" spans="2:25" x14ac:dyDescent="0.25">
      <c r="B889" s="11">
        <v>45516</v>
      </c>
      <c r="C889" s="7">
        <v>600004244854</v>
      </c>
      <c r="D889" s="5">
        <v>1</v>
      </c>
      <c r="E889" t="s">
        <v>883</v>
      </c>
      <c r="F889" t="s">
        <v>589</v>
      </c>
      <c r="G889" t="s">
        <v>695</v>
      </c>
      <c r="H889" t="s">
        <v>741</v>
      </c>
      <c r="I889" t="s">
        <v>816</v>
      </c>
      <c r="J889" s="27" t="s">
        <v>524</v>
      </c>
      <c r="K889" s="5" t="s">
        <v>127</v>
      </c>
      <c r="L889" s="1" t="s">
        <v>36</v>
      </c>
      <c r="M889" s="1" t="s">
        <v>96</v>
      </c>
      <c r="N889" s="1" t="s">
        <v>96</v>
      </c>
      <c r="O889" s="1" t="s">
        <v>19</v>
      </c>
      <c r="P889" s="9">
        <v>45519</v>
      </c>
      <c r="Q889" s="1" t="s">
        <v>481</v>
      </c>
      <c r="R889" s="1" t="s">
        <v>63</v>
      </c>
      <c r="S889" s="1">
        <v>1</v>
      </c>
      <c r="T889" s="12">
        <v>0.39583333333333331</v>
      </c>
      <c r="U889" s="12">
        <v>0.60416666666666663</v>
      </c>
      <c r="V889" s="1">
        <v>5</v>
      </c>
      <c r="W889" s="1">
        <v>5</v>
      </c>
      <c r="X889" s="1">
        <f t="shared" si="59"/>
        <v>5</v>
      </c>
      <c r="Y889" s="5" t="str">
        <f t="shared" si="58"/>
        <v>B</v>
      </c>
    </row>
    <row r="890" spans="2:25" x14ac:dyDescent="0.25">
      <c r="B890" s="11">
        <v>45512</v>
      </c>
      <c r="C890" s="7">
        <v>600004244002</v>
      </c>
      <c r="D890" s="5">
        <v>1</v>
      </c>
      <c r="E890" t="s">
        <v>875</v>
      </c>
      <c r="F890" t="s">
        <v>581</v>
      </c>
      <c r="G890" t="s">
        <v>687</v>
      </c>
      <c r="H890" t="s">
        <v>745</v>
      </c>
      <c r="I890" t="s">
        <v>808</v>
      </c>
      <c r="J890" s="27" t="s">
        <v>525</v>
      </c>
      <c r="K890" s="5" t="s">
        <v>15</v>
      </c>
      <c r="L890" s="1" t="s">
        <v>71</v>
      </c>
      <c r="M890" s="1" t="s">
        <v>303</v>
      </c>
      <c r="N890" s="1" t="s">
        <v>116</v>
      </c>
      <c r="O890" s="1" t="s">
        <v>19</v>
      </c>
      <c r="P890" s="9">
        <v>45512</v>
      </c>
      <c r="Q890" s="1" t="s">
        <v>477</v>
      </c>
      <c r="R890" s="1" t="s">
        <v>63</v>
      </c>
      <c r="S890" s="1">
        <v>3</v>
      </c>
      <c r="T890" s="12">
        <v>0.54166666666666663</v>
      </c>
      <c r="U890" s="12">
        <v>0.60416666666666663</v>
      </c>
      <c r="V890" s="1">
        <v>1.5</v>
      </c>
      <c r="W890" s="1">
        <v>1.5</v>
      </c>
      <c r="X890" s="1">
        <f t="shared" si="59"/>
        <v>4.5</v>
      </c>
      <c r="Y890" s="5" t="str">
        <f t="shared" si="58"/>
        <v>C</v>
      </c>
    </row>
    <row r="891" spans="2:25" x14ac:dyDescent="0.25">
      <c r="B891" s="11">
        <v>45513</v>
      </c>
      <c r="C891" s="7">
        <v>600004244253</v>
      </c>
      <c r="D891" s="5">
        <v>1</v>
      </c>
      <c r="E891" t="s">
        <v>896</v>
      </c>
      <c r="F891" t="s">
        <v>601</v>
      </c>
      <c r="G891" t="s">
        <v>708</v>
      </c>
      <c r="H891" t="s">
        <v>743</v>
      </c>
      <c r="I891" t="s">
        <v>829</v>
      </c>
      <c r="J891" s="27" t="s">
        <v>525</v>
      </c>
      <c r="K891" s="5" t="s">
        <v>122</v>
      </c>
      <c r="L891" s="1" t="s">
        <v>57</v>
      </c>
      <c r="M891" s="1" t="s">
        <v>173</v>
      </c>
      <c r="N891" s="1" t="s">
        <v>45</v>
      </c>
      <c r="O891" s="1" t="s">
        <v>19</v>
      </c>
      <c r="P891" s="9">
        <v>45513</v>
      </c>
      <c r="Q891" s="1" t="s">
        <v>479</v>
      </c>
      <c r="R891" s="1" t="s">
        <v>63</v>
      </c>
      <c r="S891" s="1">
        <v>2</v>
      </c>
      <c r="T891" s="12">
        <v>0.375</v>
      </c>
      <c r="U891" s="12">
        <v>0.41666666666666669</v>
      </c>
      <c r="V891" s="1">
        <v>1</v>
      </c>
      <c r="W891" s="1">
        <v>1</v>
      </c>
      <c r="X891" s="1">
        <f t="shared" si="59"/>
        <v>2</v>
      </c>
      <c r="Y891" s="5" t="str">
        <f t="shared" si="58"/>
        <v>C</v>
      </c>
    </row>
    <row r="892" spans="2:25" x14ac:dyDescent="0.25">
      <c r="B892" s="11">
        <v>45513</v>
      </c>
      <c r="C892" s="7">
        <v>600004244217</v>
      </c>
      <c r="D892" s="5">
        <v>1</v>
      </c>
      <c r="E892" t="s">
        <v>919</v>
      </c>
      <c r="F892" t="s">
        <v>623</v>
      </c>
      <c r="G892" t="s">
        <v>731</v>
      </c>
      <c r="H892" t="s">
        <v>745</v>
      </c>
      <c r="I892" t="s">
        <v>852</v>
      </c>
      <c r="J892" s="26" t="s">
        <v>525</v>
      </c>
      <c r="K892" s="5" t="s">
        <v>15</v>
      </c>
      <c r="L892" s="1" t="s">
        <v>57</v>
      </c>
      <c r="M892" s="1" t="s">
        <v>453</v>
      </c>
      <c r="N892" s="1" t="s">
        <v>454</v>
      </c>
      <c r="O892" s="1" t="s">
        <v>19</v>
      </c>
      <c r="P892" s="9">
        <v>45513</v>
      </c>
      <c r="Q892" s="1" t="s">
        <v>479</v>
      </c>
      <c r="R892" s="1" t="s">
        <v>63</v>
      </c>
      <c r="S892" s="1">
        <v>2</v>
      </c>
      <c r="T892" s="12">
        <v>0.29166666666666669</v>
      </c>
      <c r="U892" s="12">
        <v>0.35416666666666669</v>
      </c>
      <c r="V892" s="1">
        <v>1.5</v>
      </c>
      <c r="W892" s="1">
        <v>1.5</v>
      </c>
      <c r="X892" s="1">
        <f t="shared" si="59"/>
        <v>3</v>
      </c>
      <c r="Y892" s="5" t="str">
        <f t="shared" si="58"/>
        <v>C</v>
      </c>
    </row>
    <row r="893" spans="2:25" x14ac:dyDescent="0.25">
      <c r="B893" s="11">
        <v>45512</v>
      </c>
      <c r="C893" s="7">
        <v>600004244001</v>
      </c>
      <c r="D893" s="5">
        <v>1</v>
      </c>
      <c r="E893" t="s">
        <v>497</v>
      </c>
      <c r="F893" t="s">
        <v>541</v>
      </c>
      <c r="G893" t="s">
        <v>646</v>
      </c>
      <c r="H893" t="s">
        <v>746</v>
      </c>
      <c r="I893" t="s">
        <v>767</v>
      </c>
      <c r="J893" s="27" t="s">
        <v>525</v>
      </c>
      <c r="K893" s="5" t="s">
        <v>76</v>
      </c>
      <c r="L893" s="1" t="s">
        <v>57</v>
      </c>
      <c r="M893" s="1" t="s">
        <v>329</v>
      </c>
      <c r="N893" s="1" t="s">
        <v>297</v>
      </c>
      <c r="O893" s="1" t="s">
        <v>19</v>
      </c>
      <c r="P893" s="9">
        <v>45512</v>
      </c>
      <c r="Q893" s="1" t="s">
        <v>477</v>
      </c>
      <c r="R893" s="1" t="s">
        <v>63</v>
      </c>
      <c r="S893" s="1">
        <v>3</v>
      </c>
      <c r="T893" s="12">
        <v>0.60416666666666663</v>
      </c>
      <c r="U893" s="12">
        <v>0.64583333333333337</v>
      </c>
      <c r="V893" s="1">
        <v>1</v>
      </c>
      <c r="W893" s="1">
        <v>1</v>
      </c>
      <c r="X893" s="1">
        <f t="shared" si="59"/>
        <v>3</v>
      </c>
      <c r="Y893" s="5" t="str">
        <f t="shared" si="58"/>
        <v>C</v>
      </c>
    </row>
    <row r="894" spans="2:25" x14ac:dyDescent="0.25">
      <c r="B894" s="11">
        <v>45513</v>
      </c>
      <c r="C894" s="7">
        <v>600004244216</v>
      </c>
      <c r="D894" s="5">
        <v>1</v>
      </c>
      <c r="E894" t="s">
        <v>927</v>
      </c>
      <c r="F894" t="s">
        <v>630</v>
      </c>
      <c r="G894" t="s">
        <v>739</v>
      </c>
      <c r="H894" t="s">
        <v>748</v>
      </c>
      <c r="I894" t="s">
        <v>860</v>
      </c>
      <c r="J894" s="26" t="s">
        <v>525</v>
      </c>
      <c r="K894" s="5" t="s">
        <v>15</v>
      </c>
      <c r="L894" s="1" t="s">
        <v>57</v>
      </c>
      <c r="M894" s="1" t="s">
        <v>62</v>
      </c>
      <c r="N894" s="1" t="s">
        <v>62</v>
      </c>
      <c r="O894" s="1" t="s">
        <v>19</v>
      </c>
      <c r="P894" s="9">
        <v>45513</v>
      </c>
      <c r="Q894" s="1" t="s">
        <v>477</v>
      </c>
      <c r="R894" s="1" t="s">
        <v>63</v>
      </c>
      <c r="S894" s="1">
        <v>3</v>
      </c>
      <c r="T894" s="12">
        <v>0.375</v>
      </c>
      <c r="U894" s="12">
        <v>0.4375</v>
      </c>
      <c r="V894" s="1">
        <v>1.5</v>
      </c>
      <c r="W894" s="1">
        <v>1.5</v>
      </c>
      <c r="X894" s="1">
        <f t="shared" si="59"/>
        <v>4.5</v>
      </c>
      <c r="Y894" s="5" t="str">
        <f t="shared" si="58"/>
        <v>C</v>
      </c>
    </row>
    <row r="895" spans="2:25" x14ac:dyDescent="0.25">
      <c r="B895" s="11">
        <v>45511</v>
      </c>
      <c r="C895" s="7">
        <v>600004243777</v>
      </c>
      <c r="D895" s="5">
        <v>1</v>
      </c>
      <c r="E895" t="s">
        <v>507</v>
      </c>
      <c r="F895" t="s">
        <v>551</v>
      </c>
      <c r="G895" t="s">
        <v>656</v>
      </c>
      <c r="H895" t="s">
        <v>745</v>
      </c>
      <c r="I895" t="s">
        <v>777</v>
      </c>
      <c r="J895" s="27" t="s">
        <v>525</v>
      </c>
      <c r="K895" s="5" t="s">
        <v>15</v>
      </c>
      <c r="L895" s="1" t="s">
        <v>16</v>
      </c>
      <c r="M895" s="1" t="s">
        <v>52</v>
      </c>
      <c r="N895" s="1" t="s">
        <v>232</v>
      </c>
      <c r="O895" s="1" t="s">
        <v>19</v>
      </c>
      <c r="P895" s="9">
        <v>45511</v>
      </c>
      <c r="Q895" s="1" t="s">
        <v>477</v>
      </c>
      <c r="R895" s="1" t="s">
        <v>63</v>
      </c>
      <c r="S895" s="1">
        <v>2</v>
      </c>
      <c r="T895" s="12">
        <v>0.52083333333333337</v>
      </c>
      <c r="U895" s="12">
        <v>0.5625</v>
      </c>
      <c r="V895" s="1">
        <v>1</v>
      </c>
      <c r="W895" s="1">
        <v>1</v>
      </c>
      <c r="X895" s="1">
        <f t="shared" si="59"/>
        <v>2</v>
      </c>
      <c r="Y895" s="5" t="str">
        <f t="shared" si="58"/>
        <v>C</v>
      </c>
    </row>
    <row r="896" spans="2:25" x14ac:dyDescent="0.25">
      <c r="B896" s="11">
        <v>45510</v>
      </c>
      <c r="C896" s="7">
        <v>600004243470</v>
      </c>
      <c r="D896" s="5">
        <v>1</v>
      </c>
      <c r="E896" t="s">
        <v>515</v>
      </c>
      <c r="F896" t="s">
        <v>559</v>
      </c>
      <c r="G896" t="s">
        <v>664</v>
      </c>
      <c r="H896" t="s">
        <v>745</v>
      </c>
      <c r="I896" t="s">
        <v>785</v>
      </c>
      <c r="J896" s="26" t="s">
        <v>525</v>
      </c>
      <c r="K896" s="5" t="s">
        <v>122</v>
      </c>
      <c r="L896" s="1" t="s">
        <v>57</v>
      </c>
      <c r="M896" s="1" t="s">
        <v>141</v>
      </c>
      <c r="N896" s="1" t="s">
        <v>376</v>
      </c>
      <c r="O896" s="1" t="s">
        <v>19</v>
      </c>
      <c r="P896" s="9">
        <v>45510</v>
      </c>
      <c r="Q896" s="1" t="s">
        <v>476</v>
      </c>
      <c r="R896" s="1" t="s">
        <v>63</v>
      </c>
      <c r="S896" s="1">
        <v>1</v>
      </c>
      <c r="T896" s="12">
        <v>0.5625</v>
      </c>
      <c r="U896" s="12">
        <v>0.625</v>
      </c>
      <c r="V896" s="1">
        <v>1.5</v>
      </c>
      <c r="W896" s="1">
        <v>1.5</v>
      </c>
      <c r="X896" s="1">
        <f t="shared" si="59"/>
        <v>1.5</v>
      </c>
      <c r="Y896" s="5" t="str">
        <f t="shared" si="58"/>
        <v>C</v>
      </c>
    </row>
    <row r="897" spans="2:25" x14ac:dyDescent="0.25">
      <c r="B897" s="11">
        <v>45511</v>
      </c>
      <c r="C897" s="7">
        <v>600004243750</v>
      </c>
      <c r="D897" s="5">
        <v>1</v>
      </c>
      <c r="E897" t="s">
        <v>517</v>
      </c>
      <c r="F897" t="s">
        <v>561</v>
      </c>
      <c r="G897" t="s">
        <v>666</v>
      </c>
      <c r="H897" t="s">
        <v>745</v>
      </c>
      <c r="I897" t="s">
        <v>787</v>
      </c>
      <c r="J897" s="27" t="s">
        <v>525</v>
      </c>
      <c r="K897" s="5" t="s">
        <v>15</v>
      </c>
      <c r="L897" s="1" t="s">
        <v>71</v>
      </c>
      <c r="M897" s="1" t="s">
        <v>328</v>
      </c>
      <c r="N897" s="1" t="s">
        <v>116</v>
      </c>
      <c r="O897" s="1" t="s">
        <v>19</v>
      </c>
      <c r="P897" s="9">
        <v>45511</v>
      </c>
      <c r="Q897" s="1" t="s">
        <v>477</v>
      </c>
      <c r="R897" s="1" t="s">
        <v>63</v>
      </c>
      <c r="S897" s="1">
        <v>3</v>
      </c>
      <c r="T897" s="12">
        <v>0.35416666666666669</v>
      </c>
      <c r="U897" s="12">
        <v>0.41666666666666669</v>
      </c>
      <c r="V897" s="1">
        <v>1.5</v>
      </c>
      <c r="W897" s="1">
        <v>1.5</v>
      </c>
      <c r="X897" s="1">
        <f t="shared" si="59"/>
        <v>4.5</v>
      </c>
      <c r="Y897" s="5" t="str">
        <f t="shared" si="58"/>
        <v>C</v>
      </c>
    </row>
    <row r="898" spans="2:25" x14ac:dyDescent="0.25">
      <c r="B898" s="11">
        <v>45520</v>
      </c>
      <c r="C898" s="7">
        <v>600004245634</v>
      </c>
      <c r="D898" s="5">
        <v>1</v>
      </c>
      <c r="E898" t="s">
        <v>483</v>
      </c>
      <c r="F898" t="s">
        <v>527</v>
      </c>
      <c r="G898" t="s">
        <v>632</v>
      </c>
      <c r="H898" t="s">
        <v>741</v>
      </c>
      <c r="I898" t="s">
        <v>753</v>
      </c>
      <c r="J898" s="27" t="s">
        <v>524</v>
      </c>
      <c r="K898" s="5" t="s">
        <v>90</v>
      </c>
      <c r="L898" s="1" t="s">
        <v>57</v>
      </c>
      <c r="M898" s="1" t="s">
        <v>90</v>
      </c>
      <c r="N898" s="1" t="s">
        <v>362</v>
      </c>
      <c r="O898" s="1" t="s">
        <v>19</v>
      </c>
      <c r="P898" s="9">
        <v>45520</v>
      </c>
      <c r="Q898" s="1" t="s">
        <v>473</v>
      </c>
      <c r="R898" s="1" t="s">
        <v>63</v>
      </c>
      <c r="S898" s="1">
        <v>1</v>
      </c>
      <c r="T898" s="12">
        <v>0.54166666666666663</v>
      </c>
      <c r="U898" s="12">
        <v>0.66666666666666663</v>
      </c>
      <c r="V898" s="1">
        <v>3</v>
      </c>
      <c r="W898" s="1">
        <v>3</v>
      </c>
      <c r="X898" s="1">
        <f t="shared" ref="X898:X903" si="60">PRODUCT(S898,V898)</f>
        <v>3</v>
      </c>
      <c r="Y898" s="5" t="str">
        <f t="shared" si="58"/>
        <v>B</v>
      </c>
    </row>
    <row r="899" spans="2:25" x14ac:dyDescent="0.25">
      <c r="B899" s="11">
        <v>45505</v>
      </c>
      <c r="C899" s="7">
        <v>600004242415</v>
      </c>
      <c r="D899" s="5">
        <v>1</v>
      </c>
      <c r="E899" t="s">
        <v>514</v>
      </c>
      <c r="F899" t="s">
        <v>558</v>
      </c>
      <c r="G899" t="s">
        <v>663</v>
      </c>
      <c r="H899" t="s">
        <v>741</v>
      </c>
      <c r="I899" t="s">
        <v>784</v>
      </c>
      <c r="J899" s="26" t="s">
        <v>524</v>
      </c>
      <c r="K899" s="5" t="s">
        <v>191</v>
      </c>
      <c r="L899" s="1" t="s">
        <v>57</v>
      </c>
      <c r="M899" s="1" t="s">
        <v>112</v>
      </c>
      <c r="N899" s="1" t="s">
        <v>67</v>
      </c>
      <c r="O899" s="1" t="s">
        <v>19</v>
      </c>
      <c r="P899" s="9">
        <v>45506</v>
      </c>
      <c r="Q899" s="1" t="s">
        <v>480</v>
      </c>
      <c r="R899" s="1" t="s">
        <v>63</v>
      </c>
      <c r="S899" s="1">
        <v>2</v>
      </c>
      <c r="T899" s="12">
        <v>0.33333333333333331</v>
      </c>
      <c r="U899" s="12">
        <v>0.41666666666666669</v>
      </c>
      <c r="V899" s="1">
        <v>2</v>
      </c>
      <c r="W899" s="1">
        <v>2</v>
      </c>
      <c r="X899" s="1">
        <f t="shared" si="60"/>
        <v>4</v>
      </c>
      <c r="Y899" s="5" t="str">
        <f t="shared" si="58"/>
        <v>C</v>
      </c>
    </row>
    <row r="900" spans="2:25" x14ac:dyDescent="0.25">
      <c r="B900" s="11">
        <v>45525</v>
      </c>
      <c r="C900" s="7">
        <v>600004246627</v>
      </c>
      <c r="D900" s="5">
        <v>1</v>
      </c>
      <c r="E900" t="s">
        <v>918</v>
      </c>
      <c r="F900" t="s">
        <v>622</v>
      </c>
      <c r="G900" t="s">
        <v>730</v>
      </c>
      <c r="H900" t="s">
        <v>745</v>
      </c>
      <c r="I900" t="s">
        <v>851</v>
      </c>
      <c r="J900" s="26" t="s">
        <v>525</v>
      </c>
      <c r="K900" s="5" t="s">
        <v>15</v>
      </c>
      <c r="L900" s="1" t="s">
        <v>89</v>
      </c>
      <c r="M900" s="1" t="s">
        <v>55</v>
      </c>
      <c r="N900" s="1" t="s">
        <v>147</v>
      </c>
      <c r="O900" s="1" t="s">
        <v>19</v>
      </c>
      <c r="P900" s="9">
        <v>45527</v>
      </c>
      <c r="Q900" s="1" t="s">
        <v>477</v>
      </c>
      <c r="R900" s="1" t="s">
        <v>63</v>
      </c>
      <c r="S900" s="1">
        <v>2</v>
      </c>
      <c r="T900" s="12">
        <v>0.29166666666666669</v>
      </c>
      <c r="U900" s="12">
        <v>0.64583333333333337</v>
      </c>
      <c r="V900" s="1">
        <v>8.5</v>
      </c>
      <c r="W900" s="1">
        <v>8.5</v>
      </c>
      <c r="X900" s="1">
        <f t="shared" si="60"/>
        <v>17</v>
      </c>
      <c r="Y900" s="5" t="str">
        <f t="shared" si="58"/>
        <v>A</v>
      </c>
    </row>
    <row r="901" spans="2:25" x14ac:dyDescent="0.25">
      <c r="B901" s="11">
        <v>45525</v>
      </c>
      <c r="C901" s="7">
        <v>600004246614</v>
      </c>
      <c r="D901" s="4">
        <v>1</v>
      </c>
      <c r="E901" t="s">
        <v>499</v>
      </c>
      <c r="F901" t="s">
        <v>543</v>
      </c>
      <c r="G901" t="s">
        <v>648</v>
      </c>
      <c r="H901" t="s">
        <v>745</v>
      </c>
      <c r="I901" t="s">
        <v>769</v>
      </c>
      <c r="J901" s="28" t="s">
        <v>525</v>
      </c>
      <c r="K901" s="4" t="s">
        <v>15</v>
      </c>
      <c r="L901" s="1" t="s">
        <v>62</v>
      </c>
      <c r="M901" s="1" t="s">
        <v>455</v>
      </c>
      <c r="N901" s="1" t="s">
        <v>306</v>
      </c>
      <c r="O901" s="1" t="s">
        <v>19</v>
      </c>
      <c r="P901" s="9">
        <v>45525</v>
      </c>
      <c r="Q901" s="1" t="s">
        <v>479</v>
      </c>
      <c r="R901" s="1" t="s">
        <v>63</v>
      </c>
      <c r="S901" s="1">
        <v>2</v>
      </c>
      <c r="T901" s="12">
        <v>0.5</v>
      </c>
      <c r="U901" s="12">
        <v>0.58333333333333337</v>
      </c>
      <c r="V901" s="1">
        <v>2</v>
      </c>
      <c r="W901" s="1">
        <v>2</v>
      </c>
      <c r="X901" s="1">
        <f t="shared" si="60"/>
        <v>4</v>
      </c>
      <c r="Y901" s="5" t="str">
        <f t="shared" si="58"/>
        <v>C</v>
      </c>
    </row>
    <row r="902" spans="2:25" x14ac:dyDescent="0.25">
      <c r="B902" s="11">
        <v>45512</v>
      </c>
      <c r="C902" s="7">
        <v>600004243985</v>
      </c>
      <c r="D902" s="5">
        <v>1</v>
      </c>
      <c r="E902" t="s">
        <v>511</v>
      </c>
      <c r="F902" t="s">
        <v>555</v>
      </c>
      <c r="G902" t="s">
        <v>660</v>
      </c>
      <c r="H902" t="s">
        <v>745</v>
      </c>
      <c r="I902" t="s">
        <v>781</v>
      </c>
      <c r="J902" s="27" t="s">
        <v>525</v>
      </c>
      <c r="K902" s="5" t="s">
        <v>15</v>
      </c>
      <c r="L902" s="1" t="s">
        <v>57</v>
      </c>
      <c r="M902" s="1" t="s">
        <v>62</v>
      </c>
      <c r="N902" s="1" t="s">
        <v>134</v>
      </c>
      <c r="O902" s="1" t="s">
        <v>19</v>
      </c>
      <c r="P902" s="9">
        <v>45523</v>
      </c>
      <c r="Q902" s="1" t="s">
        <v>479</v>
      </c>
      <c r="R902" s="1" t="s">
        <v>63</v>
      </c>
      <c r="S902" s="1">
        <v>3</v>
      </c>
      <c r="T902" s="12">
        <v>0.29166666666666669</v>
      </c>
      <c r="U902" s="12">
        <v>0.625</v>
      </c>
      <c r="V902" s="1">
        <v>8</v>
      </c>
      <c r="W902" s="1">
        <v>8</v>
      </c>
      <c r="X902" s="1">
        <f t="shared" si="60"/>
        <v>24</v>
      </c>
      <c r="Y902" s="5" t="str">
        <f t="shared" si="58"/>
        <v>B</v>
      </c>
    </row>
    <row r="903" spans="2:25" x14ac:dyDescent="0.25">
      <c r="B903" s="11">
        <v>45525</v>
      </c>
      <c r="C903" s="7">
        <v>600004246615</v>
      </c>
      <c r="D903" s="5">
        <v>1</v>
      </c>
      <c r="E903" t="s">
        <v>489</v>
      </c>
      <c r="F903" t="s">
        <v>533</v>
      </c>
      <c r="G903" t="s">
        <v>638</v>
      </c>
      <c r="H903" t="s">
        <v>745</v>
      </c>
      <c r="I903" t="s">
        <v>759</v>
      </c>
      <c r="J903" s="27" t="s">
        <v>525</v>
      </c>
      <c r="K903" s="5" t="s">
        <v>15</v>
      </c>
      <c r="L903" s="1" t="s">
        <v>79</v>
      </c>
      <c r="M903" s="1" t="s">
        <v>263</v>
      </c>
      <c r="N903" s="1" t="s">
        <v>133</v>
      </c>
      <c r="O903" s="1" t="s">
        <v>19</v>
      </c>
      <c r="P903" s="9">
        <v>45527</v>
      </c>
      <c r="Q903" s="1" t="s">
        <v>475</v>
      </c>
      <c r="R903" s="1" t="s">
        <v>50</v>
      </c>
      <c r="S903" s="1">
        <v>1</v>
      </c>
      <c r="T903" s="12">
        <v>0.58333333333333337</v>
      </c>
      <c r="U903" s="12">
        <v>0.625</v>
      </c>
      <c r="V903" s="1">
        <v>1</v>
      </c>
      <c r="W903" s="1">
        <v>1</v>
      </c>
      <c r="X903" s="1">
        <f t="shared" si="60"/>
        <v>1</v>
      </c>
      <c r="Y903" s="5" t="str">
        <f t="shared" si="58"/>
        <v>C</v>
      </c>
    </row>
    <row r="904" spans="2:25" x14ac:dyDescent="0.25">
      <c r="B904" s="11">
        <v>45537</v>
      </c>
      <c r="C904" s="7">
        <v>600004249053</v>
      </c>
      <c r="D904" s="5">
        <v>1</v>
      </c>
      <c r="E904" t="s">
        <v>504</v>
      </c>
      <c r="F904" t="s">
        <v>548</v>
      </c>
      <c r="G904" t="s">
        <v>653</v>
      </c>
      <c r="H904" t="s">
        <v>745</v>
      </c>
      <c r="I904" t="s">
        <v>774</v>
      </c>
      <c r="J904" s="27" t="s">
        <v>525</v>
      </c>
      <c r="K904" s="5" t="s">
        <v>15</v>
      </c>
      <c r="L904" s="1" t="s">
        <v>89</v>
      </c>
      <c r="M904" s="1" t="s">
        <v>298</v>
      </c>
      <c r="N904" s="1" t="s">
        <v>137</v>
      </c>
      <c r="O904" s="1" t="s">
        <v>19</v>
      </c>
      <c r="P904" s="9">
        <v>45537</v>
      </c>
      <c r="Q904" s="1" t="s">
        <v>479</v>
      </c>
      <c r="R904" s="1" t="s">
        <v>63</v>
      </c>
      <c r="S904" s="1">
        <v>2</v>
      </c>
      <c r="T904" s="12">
        <v>0.52083333333333337</v>
      </c>
      <c r="U904" s="12">
        <v>0.58333333333333337</v>
      </c>
      <c r="V904" s="1">
        <v>1.5</v>
      </c>
      <c r="W904" s="1">
        <v>1.5</v>
      </c>
      <c r="X904" s="1">
        <f t="shared" ref="X904:X911" si="61">PRODUCT(S904,V904)</f>
        <v>3</v>
      </c>
      <c r="Y904" s="5" t="str">
        <f t="shared" si="58"/>
        <v>C</v>
      </c>
    </row>
    <row r="905" spans="2:25" x14ac:dyDescent="0.25">
      <c r="B905" s="11">
        <v>45537</v>
      </c>
      <c r="C905" s="7">
        <v>600004249072</v>
      </c>
      <c r="D905" s="5">
        <v>1</v>
      </c>
      <c r="E905" t="s">
        <v>864</v>
      </c>
      <c r="F905" t="s">
        <v>571</v>
      </c>
      <c r="G905" t="s">
        <v>676</v>
      </c>
      <c r="H905" t="s">
        <v>745</v>
      </c>
      <c r="I905" t="s">
        <v>797</v>
      </c>
      <c r="J905" s="27" t="s">
        <v>525</v>
      </c>
      <c r="K905" s="5" t="s">
        <v>15</v>
      </c>
      <c r="L905" s="1" t="s">
        <v>79</v>
      </c>
      <c r="M905" s="1" t="s">
        <v>62</v>
      </c>
      <c r="N905" s="1" t="s">
        <v>457</v>
      </c>
      <c r="O905" s="1" t="s">
        <v>19</v>
      </c>
      <c r="P905" s="9">
        <v>45537</v>
      </c>
      <c r="Q905" s="1" t="s">
        <v>475</v>
      </c>
      <c r="R905" s="1" t="s">
        <v>50</v>
      </c>
      <c r="S905" s="1">
        <v>2</v>
      </c>
      <c r="T905" s="12">
        <v>0.54166666666666663</v>
      </c>
      <c r="U905" s="12">
        <v>0.70833333333333337</v>
      </c>
      <c r="V905" s="1">
        <v>4</v>
      </c>
      <c r="W905" s="1">
        <v>4</v>
      </c>
      <c r="X905" s="1">
        <f t="shared" si="61"/>
        <v>8</v>
      </c>
      <c r="Y905" s="5" t="str">
        <f t="shared" si="58"/>
        <v>B</v>
      </c>
    </row>
    <row r="906" spans="2:25" x14ac:dyDescent="0.25">
      <c r="B906" s="11">
        <v>45539</v>
      </c>
      <c r="C906" s="7">
        <v>600004249543</v>
      </c>
      <c r="D906" s="5">
        <v>1</v>
      </c>
      <c r="E906" t="s">
        <v>504</v>
      </c>
      <c r="F906" t="s">
        <v>548</v>
      </c>
      <c r="G906" t="s">
        <v>653</v>
      </c>
      <c r="H906" t="s">
        <v>745</v>
      </c>
      <c r="I906" t="s">
        <v>774</v>
      </c>
      <c r="J906" s="27" t="s">
        <v>525</v>
      </c>
      <c r="K906" s="5" t="s">
        <v>15</v>
      </c>
      <c r="L906" s="1" t="s">
        <v>36</v>
      </c>
      <c r="M906" s="1" t="s">
        <v>34</v>
      </c>
      <c r="N906" s="1" t="s">
        <v>458</v>
      </c>
      <c r="O906" s="1" t="s">
        <v>176</v>
      </c>
      <c r="P906" s="9">
        <v>45539</v>
      </c>
      <c r="Q906" s="1" t="s">
        <v>479</v>
      </c>
      <c r="R906" s="1" t="s">
        <v>63</v>
      </c>
      <c r="S906" s="1">
        <v>3</v>
      </c>
      <c r="T906" s="12">
        <v>0.45833333333333331</v>
      </c>
      <c r="U906" s="12">
        <v>0.66666666666666663</v>
      </c>
      <c r="V906" s="1">
        <v>5</v>
      </c>
      <c r="W906" s="1">
        <v>5</v>
      </c>
      <c r="X906" s="1">
        <f t="shared" si="61"/>
        <v>15</v>
      </c>
      <c r="Y906" s="5" t="str">
        <f t="shared" si="58"/>
        <v>B</v>
      </c>
    </row>
    <row r="907" spans="2:25" x14ac:dyDescent="0.25">
      <c r="B907" s="11">
        <v>45544</v>
      </c>
      <c r="C907" s="7">
        <v>600004250365</v>
      </c>
      <c r="D907" s="1">
        <v>1</v>
      </c>
      <c r="E907" t="s">
        <v>874</v>
      </c>
      <c r="F907" t="s">
        <v>572</v>
      </c>
      <c r="G907" t="s">
        <v>686</v>
      </c>
      <c r="H907" t="s">
        <v>745</v>
      </c>
      <c r="I907" t="s">
        <v>807</v>
      </c>
      <c r="J907" s="26" t="s">
        <v>525</v>
      </c>
      <c r="K907" s="1" t="s">
        <v>168</v>
      </c>
      <c r="L907" s="1" t="s">
        <v>57</v>
      </c>
      <c r="M907" s="1" t="s">
        <v>342</v>
      </c>
      <c r="N907" s="1" t="s">
        <v>343</v>
      </c>
      <c r="O907" s="1" t="s">
        <v>19</v>
      </c>
      <c r="P907" s="9">
        <v>45544</v>
      </c>
      <c r="Q907" s="1" t="s">
        <v>479</v>
      </c>
      <c r="R907" s="1" t="s">
        <v>63</v>
      </c>
      <c r="S907" s="1">
        <v>2</v>
      </c>
      <c r="T907" s="12">
        <v>0.29166666666666669</v>
      </c>
      <c r="U907" s="12">
        <v>0.47916666666666669</v>
      </c>
      <c r="V907" s="1">
        <v>4.5</v>
      </c>
      <c r="W907" s="1">
        <v>4.5</v>
      </c>
      <c r="X907" s="1">
        <f t="shared" si="61"/>
        <v>9</v>
      </c>
      <c r="Y907" s="5" t="str">
        <f t="shared" si="58"/>
        <v>B</v>
      </c>
    </row>
    <row r="908" spans="2:25" x14ac:dyDescent="0.25">
      <c r="B908" s="11">
        <v>45545</v>
      </c>
      <c r="C908" s="7">
        <v>600004250622</v>
      </c>
      <c r="D908" s="5">
        <v>1</v>
      </c>
      <c r="E908" t="s">
        <v>865</v>
      </c>
      <c r="F908" t="s">
        <v>572</v>
      </c>
      <c r="G908" t="s">
        <v>677</v>
      </c>
      <c r="H908" t="s">
        <v>745</v>
      </c>
      <c r="I908" t="s">
        <v>798</v>
      </c>
      <c r="J908" s="27" t="s">
        <v>525</v>
      </c>
      <c r="K908" s="5" t="s">
        <v>168</v>
      </c>
      <c r="L908" s="1" t="s">
        <v>71</v>
      </c>
      <c r="M908" s="1" t="s">
        <v>148</v>
      </c>
      <c r="N908" s="1" t="s">
        <v>45</v>
      </c>
      <c r="O908" s="1" t="s">
        <v>19</v>
      </c>
      <c r="P908" s="9">
        <v>45545</v>
      </c>
      <c r="Q908" s="1" t="s">
        <v>479</v>
      </c>
      <c r="R908" s="1" t="s">
        <v>63</v>
      </c>
      <c r="S908" s="1">
        <v>3</v>
      </c>
      <c r="T908" s="12">
        <v>0.33333333333333331</v>
      </c>
      <c r="U908" s="12">
        <v>0.5</v>
      </c>
      <c r="V908" s="1">
        <v>4</v>
      </c>
      <c r="W908" s="1">
        <v>4</v>
      </c>
      <c r="X908" s="1">
        <f t="shared" si="61"/>
        <v>12</v>
      </c>
      <c r="Y908" s="5" t="str">
        <f t="shared" si="58"/>
        <v>B</v>
      </c>
    </row>
    <row r="909" spans="2:25" x14ac:dyDescent="0.25">
      <c r="B909" s="11">
        <v>45546</v>
      </c>
      <c r="C909" s="7">
        <v>600004250785</v>
      </c>
      <c r="D909" s="5">
        <v>1</v>
      </c>
      <c r="E909" t="s">
        <v>862</v>
      </c>
      <c r="F909" t="s">
        <v>569</v>
      </c>
      <c r="G909" t="s">
        <v>674</v>
      </c>
      <c r="H909" t="s">
        <v>745</v>
      </c>
      <c r="I909" t="s">
        <v>795</v>
      </c>
      <c r="J909" s="27" t="s">
        <v>525</v>
      </c>
      <c r="K909" s="5" t="s">
        <v>140</v>
      </c>
      <c r="L909" s="1" t="s">
        <v>123</v>
      </c>
      <c r="M909" s="1" t="s">
        <v>180</v>
      </c>
      <c r="N909" s="1" t="s">
        <v>75</v>
      </c>
      <c r="O909" s="1" t="s">
        <v>19</v>
      </c>
      <c r="P909" s="9">
        <v>45546</v>
      </c>
      <c r="Q909" s="1" t="s">
        <v>476</v>
      </c>
      <c r="R909" s="1" t="s">
        <v>63</v>
      </c>
      <c r="S909" s="1">
        <v>1</v>
      </c>
      <c r="T909" s="12">
        <v>0.375</v>
      </c>
      <c r="U909" s="12">
        <v>0.4375</v>
      </c>
      <c r="V909" s="1">
        <v>1.5</v>
      </c>
      <c r="W909" s="1">
        <v>1.5</v>
      </c>
      <c r="X909" s="1">
        <f t="shared" si="61"/>
        <v>1.5</v>
      </c>
      <c r="Y909" s="5" t="str">
        <f t="shared" si="58"/>
        <v>C</v>
      </c>
    </row>
    <row r="910" spans="2:25" x14ac:dyDescent="0.25">
      <c r="B910" s="11">
        <v>45547</v>
      </c>
      <c r="C910" s="7">
        <v>600004250993</v>
      </c>
      <c r="D910" s="5">
        <v>1</v>
      </c>
      <c r="E910" t="s">
        <v>866</v>
      </c>
      <c r="F910" t="s">
        <v>573</v>
      </c>
      <c r="G910" t="s">
        <v>678</v>
      </c>
      <c r="H910" t="s">
        <v>745</v>
      </c>
      <c r="I910" t="s">
        <v>799</v>
      </c>
      <c r="J910" s="27" t="s">
        <v>525</v>
      </c>
      <c r="K910" s="5" t="s">
        <v>15</v>
      </c>
      <c r="L910" s="1" t="s">
        <v>79</v>
      </c>
      <c r="M910" s="1" t="s">
        <v>459</v>
      </c>
      <c r="N910" s="1" t="s">
        <v>110</v>
      </c>
      <c r="O910" s="1" t="s">
        <v>19</v>
      </c>
      <c r="P910" s="9">
        <v>45547</v>
      </c>
      <c r="Q910" s="1" t="s">
        <v>477</v>
      </c>
      <c r="R910" s="1" t="s">
        <v>50</v>
      </c>
      <c r="S910" s="1">
        <v>2</v>
      </c>
      <c r="T910" s="12">
        <v>0.33333333333333331</v>
      </c>
      <c r="U910" s="12">
        <v>0.39583333333333331</v>
      </c>
      <c r="V910" s="1">
        <v>1.5</v>
      </c>
      <c r="W910" s="1">
        <v>1.5</v>
      </c>
      <c r="X910" s="1">
        <f t="shared" si="61"/>
        <v>3</v>
      </c>
      <c r="Y910" s="5" t="str">
        <f t="shared" si="58"/>
        <v>C</v>
      </c>
    </row>
    <row r="911" spans="2:25" x14ac:dyDescent="0.25">
      <c r="B911" s="11">
        <v>45537</v>
      </c>
      <c r="C911" s="7">
        <v>600004249054</v>
      </c>
      <c r="D911" s="5">
        <v>1</v>
      </c>
      <c r="E911" t="s">
        <v>888</v>
      </c>
      <c r="F911" t="s">
        <v>593</v>
      </c>
      <c r="G911" t="s">
        <v>700</v>
      </c>
      <c r="H911" t="s">
        <v>744</v>
      </c>
      <c r="I911" t="s">
        <v>821</v>
      </c>
      <c r="J911" s="27" t="s">
        <v>524</v>
      </c>
      <c r="K911" s="5" t="s">
        <v>64</v>
      </c>
      <c r="L911" s="1" t="s">
        <v>79</v>
      </c>
      <c r="M911" s="1" t="s">
        <v>433</v>
      </c>
      <c r="N911" s="1" t="s">
        <v>157</v>
      </c>
      <c r="O911" s="1" t="s">
        <v>19</v>
      </c>
      <c r="P911" s="9">
        <v>45546</v>
      </c>
      <c r="Q911" s="1" t="s">
        <v>474</v>
      </c>
      <c r="R911" s="1" t="s">
        <v>50</v>
      </c>
      <c r="S911" s="1">
        <v>3</v>
      </c>
      <c r="T911" s="12">
        <v>0.29166666666666669</v>
      </c>
      <c r="U911" s="12">
        <v>0.66666666666666663</v>
      </c>
      <c r="V911" s="1">
        <v>9</v>
      </c>
      <c r="W911" s="1">
        <v>9</v>
      </c>
      <c r="X911" s="1">
        <f t="shared" si="61"/>
        <v>27</v>
      </c>
      <c r="Y911" s="5" t="str">
        <f t="shared" si="58"/>
        <v>A</v>
      </c>
    </row>
    <row r="912" spans="2:25" x14ac:dyDescent="0.25">
      <c r="B912" s="11">
        <v>45553</v>
      </c>
      <c r="C912" s="7">
        <v>600004252165</v>
      </c>
      <c r="D912" s="5">
        <v>1</v>
      </c>
      <c r="E912" t="s">
        <v>496</v>
      </c>
      <c r="F912" t="s">
        <v>540</v>
      </c>
      <c r="G912" t="s">
        <v>645</v>
      </c>
      <c r="H912" t="s">
        <v>745</v>
      </c>
      <c r="I912" t="s">
        <v>766</v>
      </c>
      <c r="J912" s="27" t="s">
        <v>525</v>
      </c>
      <c r="K912" s="5" t="s">
        <v>15</v>
      </c>
      <c r="L912" s="1" t="s">
        <v>79</v>
      </c>
      <c r="M912" s="1" t="s">
        <v>62</v>
      </c>
      <c r="N912" s="1" t="s">
        <v>110</v>
      </c>
      <c r="O912" s="1" t="s">
        <v>19</v>
      </c>
      <c r="P912" s="9">
        <v>45553</v>
      </c>
      <c r="Q912" s="1" t="s">
        <v>475</v>
      </c>
      <c r="R912" s="1" t="s">
        <v>50</v>
      </c>
      <c r="S912" s="1">
        <v>1</v>
      </c>
      <c r="T912" s="12">
        <v>0.45833333333333331</v>
      </c>
      <c r="U912" s="12">
        <v>0.5</v>
      </c>
      <c r="V912" s="1">
        <v>1</v>
      </c>
      <c r="W912" s="1">
        <v>1</v>
      </c>
      <c r="X912" s="1">
        <f t="shared" ref="X912:X918" si="62">PRODUCT(S912,V912)</f>
        <v>1</v>
      </c>
      <c r="Y912" s="5" t="str">
        <f t="shared" si="58"/>
        <v>C</v>
      </c>
    </row>
    <row r="913" spans="2:25" x14ac:dyDescent="0.25">
      <c r="B913" s="11">
        <v>45558</v>
      </c>
      <c r="C913" s="7">
        <v>600004252850</v>
      </c>
      <c r="D913" s="5">
        <v>1</v>
      </c>
      <c r="E913" t="s">
        <v>919</v>
      </c>
      <c r="F913" t="s">
        <v>623</v>
      </c>
      <c r="G913" t="s">
        <v>731</v>
      </c>
      <c r="H913" t="s">
        <v>745</v>
      </c>
      <c r="I913" t="s">
        <v>852</v>
      </c>
      <c r="J913" s="26" t="s">
        <v>525</v>
      </c>
      <c r="K913" s="5" t="s">
        <v>15</v>
      </c>
      <c r="L913" s="1" t="s">
        <v>79</v>
      </c>
      <c r="M913" s="1" t="s">
        <v>62</v>
      </c>
      <c r="N913" s="1" t="s">
        <v>110</v>
      </c>
      <c r="O913" s="1" t="s">
        <v>19</v>
      </c>
      <c r="P913" s="9">
        <v>45558</v>
      </c>
      <c r="Q913" s="1" t="s">
        <v>475</v>
      </c>
      <c r="R913" s="1" t="s">
        <v>50</v>
      </c>
      <c r="S913" s="1">
        <v>1</v>
      </c>
      <c r="T913" s="12">
        <v>0.29166666666666669</v>
      </c>
      <c r="U913" s="12">
        <v>0.3125</v>
      </c>
      <c r="V913" s="1">
        <v>0.5</v>
      </c>
      <c r="W913" s="1">
        <v>0.5</v>
      </c>
      <c r="X913" s="1">
        <f t="shared" si="62"/>
        <v>0.5</v>
      </c>
      <c r="Y913" s="5" t="str">
        <f t="shared" si="58"/>
        <v>C</v>
      </c>
    </row>
    <row r="914" spans="2:25" x14ac:dyDescent="0.25">
      <c r="B914" s="11">
        <v>45554</v>
      </c>
      <c r="C914" s="7">
        <v>600004252341</v>
      </c>
      <c r="D914" s="5">
        <v>1</v>
      </c>
      <c r="E914" t="s">
        <v>489</v>
      </c>
      <c r="F914" t="s">
        <v>533</v>
      </c>
      <c r="G914" t="s">
        <v>638</v>
      </c>
      <c r="H914" t="s">
        <v>745</v>
      </c>
      <c r="I914" t="s">
        <v>759</v>
      </c>
      <c r="J914" s="26" t="s">
        <v>525</v>
      </c>
      <c r="K914" s="5" t="s">
        <v>15</v>
      </c>
      <c r="L914" s="1" t="s">
        <v>79</v>
      </c>
      <c r="M914" s="1" t="s">
        <v>460</v>
      </c>
      <c r="N914" s="1" t="s">
        <v>292</v>
      </c>
      <c r="O914" s="1" t="s">
        <v>19</v>
      </c>
      <c r="P914" s="9">
        <v>45554</v>
      </c>
      <c r="Q914" s="1" t="s">
        <v>475</v>
      </c>
      <c r="R914" s="1" t="s">
        <v>50</v>
      </c>
      <c r="S914" s="1">
        <v>1</v>
      </c>
      <c r="T914" s="12">
        <v>0.58333333333333337</v>
      </c>
      <c r="U914" s="12">
        <v>0.625</v>
      </c>
      <c r="V914" s="1">
        <v>1</v>
      </c>
      <c r="W914" s="1">
        <v>1</v>
      </c>
      <c r="X914" s="1">
        <f t="shared" si="62"/>
        <v>1</v>
      </c>
      <c r="Y914" s="5" t="str">
        <f t="shared" si="58"/>
        <v>C</v>
      </c>
    </row>
    <row r="915" spans="2:25" x14ac:dyDescent="0.25">
      <c r="B915" s="11">
        <v>45551</v>
      </c>
      <c r="C915" s="7">
        <v>600004251698</v>
      </c>
      <c r="D915" s="5">
        <v>1</v>
      </c>
      <c r="E915" t="s">
        <v>927</v>
      </c>
      <c r="F915" t="s">
        <v>630</v>
      </c>
      <c r="G915" t="s">
        <v>739</v>
      </c>
      <c r="H915" t="s">
        <v>748</v>
      </c>
      <c r="I915" t="s">
        <v>860</v>
      </c>
      <c r="J915" s="26" t="s">
        <v>525</v>
      </c>
      <c r="K915" s="5" t="s">
        <v>15</v>
      </c>
      <c r="L915" s="1" t="s">
        <v>57</v>
      </c>
      <c r="M915" s="1" t="s">
        <v>111</v>
      </c>
      <c r="N915" s="1" t="s">
        <v>80</v>
      </c>
      <c r="O915" s="1" t="s">
        <v>176</v>
      </c>
      <c r="P915" s="9">
        <v>45551</v>
      </c>
      <c r="Q915" s="1" t="s">
        <v>475</v>
      </c>
      <c r="R915" s="1" t="s">
        <v>50</v>
      </c>
      <c r="S915" s="1">
        <v>1</v>
      </c>
      <c r="T915" s="12">
        <v>0.625</v>
      </c>
      <c r="U915" s="12">
        <v>0.66666666666666663</v>
      </c>
      <c r="V915" s="1">
        <v>1</v>
      </c>
      <c r="W915" s="1">
        <v>1</v>
      </c>
      <c r="X915" s="1">
        <f t="shared" si="62"/>
        <v>1</v>
      </c>
      <c r="Y915" s="5" t="str">
        <f t="shared" si="58"/>
        <v>C</v>
      </c>
    </row>
    <row r="916" spans="2:25" x14ac:dyDescent="0.25">
      <c r="B916" s="11">
        <v>45551</v>
      </c>
      <c r="C916" s="7">
        <v>600004251580</v>
      </c>
      <c r="D916" s="1">
        <v>1</v>
      </c>
      <c r="E916" t="s">
        <v>489</v>
      </c>
      <c r="F916" t="s">
        <v>533</v>
      </c>
      <c r="G916" t="s">
        <v>638</v>
      </c>
      <c r="H916" t="s">
        <v>745</v>
      </c>
      <c r="I916" t="s">
        <v>759</v>
      </c>
      <c r="J916" s="26" t="s">
        <v>525</v>
      </c>
      <c r="K916" s="1" t="s">
        <v>15</v>
      </c>
      <c r="L916" s="1" t="s">
        <v>79</v>
      </c>
      <c r="M916" s="1" t="s">
        <v>263</v>
      </c>
      <c r="N916" s="1" t="s">
        <v>238</v>
      </c>
      <c r="O916" s="1" t="s">
        <v>19</v>
      </c>
      <c r="P916" s="9">
        <v>45551</v>
      </c>
      <c r="Q916" s="1" t="s">
        <v>475</v>
      </c>
      <c r="R916" s="1" t="s">
        <v>50</v>
      </c>
      <c r="S916" s="1">
        <v>1</v>
      </c>
      <c r="T916" s="12">
        <v>0.35416666666666669</v>
      </c>
      <c r="U916" s="12">
        <v>0.4375</v>
      </c>
      <c r="V916" s="1">
        <v>2</v>
      </c>
      <c r="W916" s="1">
        <v>2</v>
      </c>
      <c r="X916" s="1">
        <f t="shared" si="62"/>
        <v>2</v>
      </c>
      <c r="Y916" s="5" t="str">
        <f t="shared" si="58"/>
        <v>C</v>
      </c>
    </row>
    <row r="917" spans="2:25" x14ac:dyDescent="0.25">
      <c r="B917" s="11">
        <v>45551</v>
      </c>
      <c r="C917" s="7">
        <v>600004250787</v>
      </c>
      <c r="D917" s="5">
        <v>1</v>
      </c>
      <c r="E917" t="s">
        <v>882</v>
      </c>
      <c r="F917" t="s">
        <v>588</v>
      </c>
      <c r="G917" t="s">
        <v>694</v>
      </c>
      <c r="H917" t="s">
        <v>745</v>
      </c>
      <c r="I917" t="s">
        <v>815</v>
      </c>
      <c r="J917" s="27" t="s">
        <v>525</v>
      </c>
      <c r="K917" s="5" t="s">
        <v>15</v>
      </c>
      <c r="L917" s="1" t="s">
        <v>57</v>
      </c>
      <c r="M917" s="1" t="s">
        <v>148</v>
      </c>
      <c r="N917" s="1" t="s">
        <v>461</v>
      </c>
      <c r="O917" s="1" t="s">
        <v>176</v>
      </c>
      <c r="P917" s="9">
        <v>45546</v>
      </c>
      <c r="Q917" s="1" t="s">
        <v>479</v>
      </c>
      <c r="R917" s="1" t="s">
        <v>63</v>
      </c>
      <c r="S917" s="1">
        <v>3</v>
      </c>
      <c r="T917" s="12">
        <v>0.39583333333333331</v>
      </c>
      <c r="U917" s="12">
        <v>0.45833333333333331</v>
      </c>
      <c r="V917" s="1">
        <v>1.5</v>
      </c>
      <c r="W917" s="1">
        <v>1.5</v>
      </c>
      <c r="X917" s="1">
        <f t="shared" si="62"/>
        <v>4.5</v>
      </c>
      <c r="Y917" s="5" t="str">
        <f t="shared" si="58"/>
        <v>C</v>
      </c>
    </row>
    <row r="918" spans="2:25" x14ac:dyDescent="0.25">
      <c r="B918" s="11">
        <v>45546</v>
      </c>
      <c r="C918" s="7">
        <v>600004250788</v>
      </c>
      <c r="D918" s="5">
        <v>1</v>
      </c>
      <c r="E918" t="s">
        <v>927</v>
      </c>
      <c r="F918" t="s">
        <v>630</v>
      </c>
      <c r="G918" t="s">
        <v>739</v>
      </c>
      <c r="H918" t="s">
        <v>748</v>
      </c>
      <c r="I918" t="s">
        <v>860</v>
      </c>
      <c r="J918" s="26" t="s">
        <v>525</v>
      </c>
      <c r="K918" s="5" t="s">
        <v>15</v>
      </c>
      <c r="L918" s="1" t="s">
        <v>89</v>
      </c>
      <c r="M918" s="1" t="s">
        <v>57</v>
      </c>
      <c r="N918" s="1" t="s">
        <v>67</v>
      </c>
      <c r="O918" s="1" t="s">
        <v>19</v>
      </c>
      <c r="P918" s="9">
        <v>45546</v>
      </c>
      <c r="Q918" s="1" t="s">
        <v>479</v>
      </c>
      <c r="R918" s="1" t="s">
        <v>63</v>
      </c>
      <c r="S918" s="1">
        <v>2</v>
      </c>
      <c r="T918" s="12">
        <v>0.29166666666666669</v>
      </c>
      <c r="U918" s="12">
        <v>0.35416666666666669</v>
      </c>
      <c r="V918" s="1">
        <v>1.5</v>
      </c>
      <c r="W918" s="1">
        <v>1.5</v>
      </c>
      <c r="X918" s="1">
        <f t="shared" si="62"/>
        <v>3</v>
      </c>
      <c r="Y918" s="5" t="str">
        <f t="shared" si="58"/>
        <v>C</v>
      </c>
    </row>
    <row r="919" spans="2:25" x14ac:dyDescent="0.25">
      <c r="B919" s="20"/>
    </row>
  </sheetData>
  <sheetProtection selectLockedCells="1" selectUnlockedCells="1"/>
  <sortState xmlns:xlrd2="http://schemas.microsoft.com/office/spreadsheetml/2017/richdata2" ref="B220:Y349">
    <sortCondition ref="B349"/>
  </sortState>
  <mergeCells count="1">
    <mergeCell ref="A5:A6"/>
  </mergeCells>
  <phoneticPr fontId="7" type="noConversion"/>
  <conditionalFormatting sqref="C1:C1048576">
    <cfRule type="duplicateValues" dxfId="28" priority="1"/>
  </conditionalFormatting>
  <pageMargins left="0.19685039370078741" right="0.19685039370078741" top="0.19685039370078741" bottom="0.19685039370078741" header="0.19685039370078741" footer="0.19685039370078741"/>
  <pageSetup paperSize="9" orientation="portrait" r:id="rId1"/>
  <headerFooter>
    <oddFooter>&amp;CINTERNAL&amp;R_x000D_&amp;1#&amp;"Calibri"&amp;12&amp;KFF0000 INTERNAL</oddFooter>
  </headerFooter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4FC8-46AA-41DE-AED8-9B61149720C8}">
  <sheetPr codeName="Hoja2"/>
  <dimension ref="A1"/>
  <sheetViews>
    <sheetView showGridLines="0" topLeftCell="A7" zoomScale="60" zoomScaleNormal="60" workbookViewId="0">
      <selection activeCell="F13" sqref="F13"/>
    </sheetView>
  </sheetViews>
  <sheetFormatPr baseColWidth="10" defaultRowHeight="15" x14ac:dyDescent="0.25"/>
  <cols>
    <col min="1" max="31" width="11.42578125" style="24"/>
    <col min="32" max="32" width="13" style="24" customWidth="1"/>
    <col min="33" max="16384" width="11.42578125" style="24"/>
  </cols>
  <sheetData/>
  <sheetProtection sheet="1" objects="1" scenarios="1" selectLockedCells="1"/>
  <pageMargins left="0.7" right="0.7" top="0.75" bottom="0.75" header="0.3" footer="0.3"/>
  <pageSetup orientation="portrait" r:id="rId1"/>
  <headerFooter>
    <oddFooter>&amp;R_x000D_&amp;1#&amp;"Calibri"&amp;12&amp;KFF0000 INTERNAL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docMetadata/LabelInfo.xml><?xml version="1.0" encoding="utf-8"?>
<clbl:labelList xmlns:clbl="http://schemas.microsoft.com/office/2020/mipLabelMetadata">
  <clbl:label id="{9130603a-6ca2-4966-93fc-60f9b23d8304}" enabled="1" method="Standard" siteId="{08378841-ca71-4b8d-a15e-0fdc9842c13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lxobs;alan.ceguil@lanxess.com</dc:creator>
  <cp:keywords>INTERNAL;</cp:keywords>
  <cp:lastModifiedBy>alan ceguil</cp:lastModifiedBy>
  <cp:lastPrinted>2022-07-22T11:31:34Z</cp:lastPrinted>
  <dcterms:created xsi:type="dcterms:W3CDTF">2014-01-13T19:30:16Z</dcterms:created>
  <dcterms:modified xsi:type="dcterms:W3CDTF">2025-11-29T14:07:57Z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SFOXClassification">
    <vt:lpwstr>INTERNAL</vt:lpwstr>
  </property>
  <property fmtid="{D5CDD505-2E9C-101B-9397-08002B2CF9AE}" pid="3" name="MSIP_Label_9130603a-6ca2-4966-93fc-60f9b23d8304_Enabled">
    <vt:lpwstr>true</vt:lpwstr>
  </property>
  <property fmtid="{D5CDD505-2E9C-101B-9397-08002B2CF9AE}" pid="4" name="MSIP_Label_9130603a-6ca2-4966-93fc-60f9b23d8304_SetDate">
    <vt:lpwstr>2022-09-15T11:39:00Z</vt:lpwstr>
  </property>
  <property fmtid="{D5CDD505-2E9C-101B-9397-08002B2CF9AE}" pid="5" name="MSIP_Label_9130603a-6ca2-4966-93fc-60f9b23d8304_Method">
    <vt:lpwstr>Standard</vt:lpwstr>
  </property>
  <property fmtid="{D5CDD505-2E9C-101B-9397-08002B2CF9AE}" pid="6" name="MSIP_Label_9130603a-6ca2-4966-93fc-60f9b23d8304_Name">
    <vt:lpwstr>Internal - All LANXESS Users</vt:lpwstr>
  </property>
  <property fmtid="{D5CDD505-2E9C-101B-9397-08002B2CF9AE}" pid="7" name="MSIP_Label_9130603a-6ca2-4966-93fc-60f9b23d8304_SiteId">
    <vt:lpwstr>08378841-ca71-4b8d-a15e-0fdc9842c13b</vt:lpwstr>
  </property>
  <property fmtid="{D5CDD505-2E9C-101B-9397-08002B2CF9AE}" pid="8" name="MSIP_Label_9130603a-6ca2-4966-93fc-60f9b23d8304_ActionId">
    <vt:lpwstr>96ad34f9-c405-4b7f-ba72-592344a49c92</vt:lpwstr>
  </property>
  <property fmtid="{D5CDD505-2E9C-101B-9397-08002B2CF9AE}" pid="9" name="MSIP_Label_9130603a-6ca2-4966-93fc-60f9b23d8304_ContentBits">
    <vt:lpwstr>2</vt:lpwstr>
  </property>
</Properties>
</file>